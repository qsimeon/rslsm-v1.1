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quileesimeon/Downloads/"/>
    </mc:Choice>
  </mc:AlternateContent>
  <xr:revisionPtr revIDLastSave="0" documentId="8_{6ADE737E-B06D-CC42-AC66-6CB6B80967F1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bom" sheetId="1" r:id="rId1"/>
    <sheet name="Sheet7" sheetId="2" r:id="rId2"/>
    <sheet name="Copy of bom" sheetId="3" r:id="rId3"/>
    <sheet name="ordering pivot" sheetId="4" r:id="rId4"/>
    <sheet name="stock pivot" sheetId="5" r:id="rId5"/>
    <sheet name="ORDER_103" sheetId="6" r:id="rId6"/>
    <sheet name="ORDER_102" sheetId="7" r:id="rId7"/>
    <sheet name="ORDER_101" sheetId="8" r:id="rId8"/>
    <sheet name="thorlabs copy list" sheetId="9" r:id="rId9"/>
    <sheet name="system_sim" sheetId="10" r:id="rId10"/>
    <sheet name="zeguan config 1 sim" sheetId="11" r:id="rId11"/>
  </sheets>
  <definedNames>
    <definedName name="_xlnm._FilterDatabase" localSheetId="0" hidden="1">bom!$A$1:$V$316</definedName>
    <definedName name="_xlnm._FilterDatabase" localSheetId="2" hidden="1">'Copy of bom'!$A$1:$V$305</definedName>
  </definedNames>
  <calcPr calcId="191029"/>
  <pivotCaches>
    <pivotCache cacheId="11" r:id="rId12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71" i="11" l="1"/>
  <c r="F470" i="11"/>
  <c r="F469" i="11"/>
  <c r="F468" i="11"/>
  <c r="F467" i="11"/>
  <c r="F466" i="11"/>
  <c r="F465" i="11"/>
  <c r="F464" i="11"/>
  <c r="F463" i="11"/>
  <c r="C463" i="11"/>
  <c r="I463" i="11" s="1"/>
  <c r="F462" i="11"/>
  <c r="F461" i="11"/>
  <c r="F460" i="11"/>
  <c r="C441" i="11"/>
  <c r="C440" i="11"/>
  <c r="C442" i="11" s="1"/>
  <c r="C439" i="11"/>
  <c r="C437" i="11"/>
  <c r="C436" i="11"/>
  <c r="C435" i="11" s="1"/>
  <c r="C462" i="11" s="1"/>
  <c r="I462" i="11" s="1"/>
  <c r="C320" i="11"/>
  <c r="C318" i="11"/>
  <c r="C313" i="11"/>
  <c r="C323" i="11" s="1"/>
  <c r="C310" i="11"/>
  <c r="C312" i="11" s="1"/>
  <c r="C305" i="11"/>
  <c r="C301" i="11"/>
  <c r="C430" i="11" s="1"/>
  <c r="C431" i="11" s="1"/>
  <c r="C300" i="11"/>
  <c r="C351" i="11" s="1"/>
  <c r="C299" i="11"/>
  <c r="C298" i="11"/>
  <c r="C296" i="11"/>
  <c r="C309" i="11" s="1"/>
  <c r="C292" i="11"/>
  <c r="C293" i="11" s="1"/>
  <c r="C290" i="11"/>
  <c r="C291" i="11" s="1"/>
  <c r="C308" i="11" s="1"/>
  <c r="C306" i="11" s="1"/>
  <c r="C307" i="11" s="1"/>
  <c r="C288" i="11"/>
  <c r="C286" i="11"/>
  <c r="C285" i="11"/>
  <c r="C273" i="11"/>
  <c r="C324" i="11" s="1"/>
  <c r="C264" i="11"/>
  <c r="C260" i="11"/>
  <c r="C259" i="11"/>
  <c r="C257" i="11"/>
  <c r="C248" i="11"/>
  <c r="C249" i="11" s="1"/>
  <c r="C250" i="11" s="1"/>
  <c r="C247" i="11"/>
  <c r="C246" i="11"/>
  <c r="C245" i="11"/>
  <c r="C243" i="11"/>
  <c r="C244" i="11" s="1"/>
  <c r="C242" i="11"/>
  <c r="F233" i="11"/>
  <c r="F232" i="11"/>
  <c r="F231" i="11"/>
  <c r="F230" i="11"/>
  <c r="F229" i="11"/>
  <c r="F228" i="11"/>
  <c r="F227" i="11"/>
  <c r="F226" i="11"/>
  <c r="F225" i="11"/>
  <c r="C225" i="11"/>
  <c r="I225" i="11" s="1"/>
  <c r="F224" i="11"/>
  <c r="C202" i="11"/>
  <c r="C203" i="11" s="1"/>
  <c r="C204" i="11" s="1"/>
  <c r="C205" i="11" s="1"/>
  <c r="C201" i="11"/>
  <c r="C200" i="11"/>
  <c r="C199" i="11"/>
  <c r="C224" i="11" s="1"/>
  <c r="I224" i="11" s="1"/>
  <c r="C198" i="11"/>
  <c r="C126" i="11"/>
  <c r="C127" i="11" s="1"/>
  <c r="C124" i="11"/>
  <c r="C123" i="11"/>
  <c r="C129" i="11" s="1"/>
  <c r="C120" i="11"/>
  <c r="C119" i="11"/>
  <c r="C110" i="11"/>
  <c r="C109" i="11"/>
  <c r="C117" i="11" s="1"/>
  <c r="C81" i="11"/>
  <c r="C80" i="11"/>
  <c r="C79" i="11"/>
  <c r="C76" i="11"/>
  <c r="C78" i="11" s="1"/>
  <c r="C68" i="11"/>
  <c r="C67" i="11"/>
  <c r="C66" i="11"/>
  <c r="C63" i="11"/>
  <c r="C65" i="11" s="1"/>
  <c r="C54" i="11"/>
  <c r="C53" i="11"/>
  <c r="C52" i="11"/>
  <c r="C55" i="11" s="1"/>
  <c r="C49" i="11"/>
  <c r="F476" i="10"/>
  <c r="F475" i="10"/>
  <c r="F474" i="10"/>
  <c r="F473" i="10"/>
  <c r="F472" i="10"/>
  <c r="F471" i="10"/>
  <c r="F470" i="10"/>
  <c r="F469" i="10"/>
  <c r="F468" i="10"/>
  <c r="C468" i="10"/>
  <c r="I468" i="10" s="1"/>
  <c r="F467" i="10"/>
  <c r="C467" i="10"/>
  <c r="I467" i="10" s="1"/>
  <c r="F466" i="10"/>
  <c r="F465" i="10"/>
  <c r="C444" i="10"/>
  <c r="C445" i="10" s="1"/>
  <c r="C442" i="10"/>
  <c r="C441" i="10"/>
  <c r="C440" i="10" s="1"/>
  <c r="C325" i="10"/>
  <c r="C329" i="10" s="1"/>
  <c r="C319" i="10"/>
  <c r="C318" i="10"/>
  <c r="C328" i="10" s="1"/>
  <c r="C315" i="10"/>
  <c r="C317" i="10" s="1"/>
  <c r="C320" i="10" s="1"/>
  <c r="C321" i="10" s="1"/>
  <c r="C330" i="10" s="1"/>
  <c r="C310" i="10"/>
  <c r="C306" i="10"/>
  <c r="C435" i="10" s="1"/>
  <c r="C436" i="10" s="1"/>
  <c r="C305" i="10"/>
  <c r="C356" i="10" s="1"/>
  <c r="C304" i="10"/>
  <c r="C303" i="10"/>
  <c r="C302" i="10"/>
  <c r="C301" i="10"/>
  <c r="C314" i="10" s="1"/>
  <c r="C297" i="10"/>
  <c r="C298" i="10" s="1"/>
  <c r="C295" i="10"/>
  <c r="C296" i="10" s="1"/>
  <c r="C313" i="10" s="1"/>
  <c r="C311" i="10" s="1"/>
  <c r="C312" i="10" s="1"/>
  <c r="C293" i="10"/>
  <c r="C291" i="10"/>
  <c r="C290" i="10"/>
  <c r="C278" i="10"/>
  <c r="C327" i="10" s="1"/>
  <c r="C269" i="10"/>
  <c r="C265" i="10"/>
  <c r="C264" i="10"/>
  <c r="C262" i="10"/>
  <c r="C253" i="10"/>
  <c r="C254" i="10" s="1"/>
  <c r="C255" i="10" s="1"/>
  <c r="C252" i="10"/>
  <c r="C251" i="10"/>
  <c r="C250" i="10"/>
  <c r="C248" i="10"/>
  <c r="C249" i="10" s="1"/>
  <c r="C247" i="10"/>
  <c r="F238" i="10"/>
  <c r="F237" i="10"/>
  <c r="F236" i="10"/>
  <c r="F235" i="10"/>
  <c r="F234" i="10"/>
  <c r="F233" i="10"/>
  <c r="F232" i="10"/>
  <c r="F231" i="10"/>
  <c r="F230" i="10"/>
  <c r="I229" i="10"/>
  <c r="F229" i="10"/>
  <c r="C229" i="10"/>
  <c r="C205" i="10"/>
  <c r="C206" i="10" s="1"/>
  <c r="C207" i="10" s="1"/>
  <c r="C204" i="10"/>
  <c r="C203" i="10"/>
  <c r="C147" i="10"/>
  <c r="C131" i="10"/>
  <c r="C130" i="10"/>
  <c r="C129" i="10"/>
  <c r="C128" i="10"/>
  <c r="C127" i="10"/>
  <c r="C126" i="10"/>
  <c r="C125" i="10"/>
  <c r="C122" i="10"/>
  <c r="C121" i="10"/>
  <c r="C113" i="10"/>
  <c r="C112" i="10"/>
  <c r="C120" i="10" s="1"/>
  <c r="C110" i="10"/>
  <c r="C83" i="10"/>
  <c r="C82" i="10"/>
  <c r="C81" i="10"/>
  <c r="C80" i="10"/>
  <c r="C79" i="10"/>
  <c r="C78" i="10"/>
  <c r="C76" i="10"/>
  <c r="C77" i="10" s="1"/>
  <c r="C68" i="10"/>
  <c r="C67" i="10"/>
  <c r="C66" i="10"/>
  <c r="C63" i="10"/>
  <c r="C55" i="10"/>
  <c r="C54" i="10"/>
  <c r="C53" i="10"/>
  <c r="C52" i="10"/>
  <c r="C51" i="10"/>
  <c r="C50" i="10"/>
  <c r="C49" i="10"/>
  <c r="D18" i="8"/>
  <c r="D8" i="8"/>
  <c r="N305" i="3"/>
  <c r="G305" i="3"/>
  <c r="K305" i="3" s="1"/>
  <c r="N304" i="3"/>
  <c r="G304" i="3"/>
  <c r="N303" i="3"/>
  <c r="G303" i="3"/>
  <c r="K303" i="3" s="1"/>
  <c r="N302" i="3"/>
  <c r="K302" i="3"/>
  <c r="G302" i="3"/>
  <c r="J302" i="3" s="1"/>
  <c r="N301" i="3"/>
  <c r="K301" i="3"/>
  <c r="J301" i="3"/>
  <c r="G301" i="3"/>
  <c r="N300" i="3"/>
  <c r="K300" i="3"/>
  <c r="G300" i="3"/>
  <c r="J300" i="3" s="1"/>
  <c r="N299" i="3"/>
  <c r="J299" i="3"/>
  <c r="G299" i="3"/>
  <c r="K299" i="3" s="1"/>
  <c r="N298" i="3"/>
  <c r="J298" i="3"/>
  <c r="G298" i="3"/>
  <c r="K298" i="3" s="1"/>
  <c r="N297" i="3"/>
  <c r="K297" i="3"/>
  <c r="J297" i="3"/>
  <c r="G297" i="3"/>
  <c r="N296" i="3"/>
  <c r="K296" i="3"/>
  <c r="G296" i="3"/>
  <c r="J296" i="3" s="1"/>
  <c r="N295" i="3"/>
  <c r="K295" i="3"/>
  <c r="G295" i="3"/>
  <c r="J295" i="3" s="1"/>
  <c r="N294" i="3"/>
  <c r="K294" i="3"/>
  <c r="J294" i="3"/>
  <c r="G294" i="3"/>
  <c r="N293" i="3"/>
  <c r="K293" i="3"/>
  <c r="J293" i="3"/>
  <c r="G293" i="3"/>
  <c r="N292" i="3"/>
  <c r="J292" i="3"/>
  <c r="G292" i="3"/>
  <c r="K292" i="3" s="1"/>
  <c r="N291" i="3"/>
  <c r="G291" i="3"/>
  <c r="K291" i="3" s="1"/>
  <c r="N290" i="3"/>
  <c r="G290" i="3"/>
  <c r="N289" i="3"/>
  <c r="G289" i="3"/>
  <c r="J289" i="3" s="1"/>
  <c r="N288" i="3"/>
  <c r="G288" i="3"/>
  <c r="J288" i="3" s="1"/>
  <c r="N287" i="3"/>
  <c r="K287" i="3"/>
  <c r="G287" i="3"/>
  <c r="J287" i="3" s="1"/>
  <c r="N286" i="3"/>
  <c r="K286" i="3"/>
  <c r="J286" i="3"/>
  <c r="G286" i="3"/>
  <c r="N285" i="3"/>
  <c r="K285" i="3"/>
  <c r="J285" i="3"/>
  <c r="G285" i="3"/>
  <c r="N284" i="3"/>
  <c r="K284" i="3"/>
  <c r="J284" i="3"/>
  <c r="G284" i="3"/>
  <c r="N283" i="3"/>
  <c r="G283" i="3"/>
  <c r="N282" i="3"/>
  <c r="G282" i="3"/>
  <c r="K282" i="3" s="1"/>
  <c r="N281" i="3"/>
  <c r="K281" i="3"/>
  <c r="G281" i="3"/>
  <c r="J281" i="3" s="1"/>
  <c r="N280" i="3"/>
  <c r="K280" i="3"/>
  <c r="G280" i="3"/>
  <c r="J280" i="3" s="1"/>
  <c r="N279" i="3"/>
  <c r="G279" i="3"/>
  <c r="J279" i="3" s="1"/>
  <c r="N278" i="3"/>
  <c r="K278" i="3"/>
  <c r="J278" i="3"/>
  <c r="G278" i="3"/>
  <c r="N277" i="3"/>
  <c r="K277" i="3"/>
  <c r="J277" i="3"/>
  <c r="G277" i="3"/>
  <c r="N276" i="3"/>
  <c r="J276" i="3"/>
  <c r="G276" i="3"/>
  <c r="K276" i="3" s="1"/>
  <c r="N275" i="3"/>
  <c r="G275" i="3"/>
  <c r="K275" i="3" s="1"/>
  <c r="N274" i="3"/>
  <c r="G274" i="3"/>
  <c r="N273" i="3"/>
  <c r="G273" i="3"/>
  <c r="N272" i="3"/>
  <c r="G272" i="3"/>
  <c r="J272" i="3" s="1"/>
  <c r="N271" i="3"/>
  <c r="K271" i="3"/>
  <c r="G271" i="3"/>
  <c r="J271" i="3" s="1"/>
  <c r="N270" i="3"/>
  <c r="K270" i="3"/>
  <c r="J270" i="3"/>
  <c r="G270" i="3"/>
  <c r="N269" i="3"/>
  <c r="K269" i="3"/>
  <c r="J269" i="3"/>
  <c r="G269" i="3"/>
  <c r="N268" i="3"/>
  <c r="K268" i="3"/>
  <c r="J268" i="3"/>
  <c r="G268" i="3"/>
  <c r="N267" i="3"/>
  <c r="G267" i="3"/>
  <c r="N266" i="3"/>
  <c r="G266" i="3"/>
  <c r="K266" i="3" s="1"/>
  <c r="N265" i="3"/>
  <c r="K265" i="3"/>
  <c r="G265" i="3"/>
  <c r="J265" i="3" s="1"/>
  <c r="N264" i="3"/>
  <c r="K264" i="3"/>
  <c r="G264" i="3"/>
  <c r="J264" i="3" s="1"/>
  <c r="N263" i="3"/>
  <c r="K263" i="3"/>
  <c r="G263" i="3"/>
  <c r="J263" i="3" s="1"/>
  <c r="N262" i="3"/>
  <c r="K262" i="3"/>
  <c r="J262" i="3"/>
  <c r="G262" i="3"/>
  <c r="N261" i="3"/>
  <c r="J261" i="3"/>
  <c r="G261" i="3"/>
  <c r="K261" i="3" s="1"/>
  <c r="N260" i="3"/>
  <c r="J260" i="3"/>
  <c r="G260" i="3"/>
  <c r="K260" i="3" s="1"/>
  <c r="N259" i="3"/>
  <c r="J259" i="3"/>
  <c r="G259" i="3"/>
  <c r="K259" i="3" s="1"/>
  <c r="N258" i="3"/>
  <c r="G258" i="3"/>
  <c r="N257" i="3"/>
  <c r="G257" i="3"/>
  <c r="J257" i="3" s="1"/>
  <c r="N256" i="3"/>
  <c r="G256" i="3"/>
  <c r="N255" i="3"/>
  <c r="K255" i="3"/>
  <c r="G255" i="3"/>
  <c r="J255" i="3" s="1"/>
  <c r="N254" i="3"/>
  <c r="K254" i="3"/>
  <c r="J254" i="3"/>
  <c r="G254" i="3"/>
  <c r="N253" i="3"/>
  <c r="K253" i="3"/>
  <c r="J253" i="3"/>
  <c r="G253" i="3"/>
  <c r="N252" i="3"/>
  <c r="K252" i="3"/>
  <c r="J252" i="3"/>
  <c r="G252" i="3"/>
  <c r="N251" i="3"/>
  <c r="G251" i="3"/>
  <c r="N250" i="3"/>
  <c r="J250" i="3"/>
  <c r="G250" i="3"/>
  <c r="K250" i="3" s="1"/>
  <c r="N249" i="3"/>
  <c r="G249" i="3"/>
  <c r="J249" i="3" s="1"/>
  <c r="N248" i="3"/>
  <c r="K248" i="3"/>
  <c r="G248" i="3"/>
  <c r="J248" i="3" s="1"/>
  <c r="N247" i="3"/>
  <c r="G247" i="3"/>
  <c r="N246" i="3"/>
  <c r="K246" i="3"/>
  <c r="J246" i="3"/>
  <c r="G246" i="3"/>
  <c r="N245" i="3"/>
  <c r="K245" i="3"/>
  <c r="J245" i="3"/>
  <c r="G245" i="3"/>
  <c r="N244" i="3"/>
  <c r="J244" i="3"/>
  <c r="G244" i="3"/>
  <c r="K244" i="3" s="1"/>
  <c r="N243" i="3"/>
  <c r="G243" i="3"/>
  <c r="K243" i="3" s="1"/>
  <c r="N242" i="3"/>
  <c r="G242" i="3"/>
  <c r="N241" i="3"/>
  <c r="K241" i="3"/>
  <c r="G241" i="3"/>
  <c r="J241" i="3" s="1"/>
  <c r="N240" i="3"/>
  <c r="G240" i="3"/>
  <c r="J240" i="3" s="1"/>
  <c r="N239" i="3"/>
  <c r="K239" i="3"/>
  <c r="G239" i="3"/>
  <c r="J239" i="3" s="1"/>
  <c r="N238" i="3"/>
  <c r="K238" i="3"/>
  <c r="J238" i="3"/>
  <c r="G238" i="3"/>
  <c r="N237" i="3"/>
  <c r="K237" i="3"/>
  <c r="J237" i="3"/>
  <c r="G237" i="3"/>
  <c r="N236" i="3"/>
  <c r="K236" i="3"/>
  <c r="J236" i="3"/>
  <c r="G236" i="3"/>
  <c r="N235" i="3"/>
  <c r="G235" i="3"/>
  <c r="N234" i="3"/>
  <c r="G234" i="3"/>
  <c r="K234" i="3" s="1"/>
  <c r="N233" i="3"/>
  <c r="G233" i="3"/>
  <c r="J233" i="3" s="1"/>
  <c r="N232" i="3"/>
  <c r="K232" i="3"/>
  <c r="G232" i="3"/>
  <c r="J232" i="3" s="1"/>
  <c r="N231" i="3"/>
  <c r="G231" i="3"/>
  <c r="J231" i="3" s="1"/>
  <c r="N230" i="3"/>
  <c r="K230" i="3"/>
  <c r="J230" i="3"/>
  <c r="G230" i="3"/>
  <c r="N229" i="3"/>
  <c r="K229" i="3"/>
  <c r="J229" i="3"/>
  <c r="N228" i="3"/>
  <c r="K228" i="3"/>
  <c r="G228" i="3"/>
  <c r="J228" i="3" s="1"/>
  <c r="N227" i="3"/>
  <c r="G227" i="3"/>
  <c r="K227" i="3" s="1"/>
  <c r="N226" i="3"/>
  <c r="K226" i="3"/>
  <c r="G226" i="3"/>
  <c r="J226" i="3" s="1"/>
  <c r="N225" i="3"/>
  <c r="K225" i="3"/>
  <c r="J225" i="3"/>
  <c r="G225" i="3"/>
  <c r="N224" i="3"/>
  <c r="K224" i="3"/>
  <c r="J224" i="3"/>
  <c r="G224" i="3"/>
  <c r="N223" i="3"/>
  <c r="K223" i="3"/>
  <c r="J223" i="3"/>
  <c r="G223" i="3"/>
  <c r="N222" i="3"/>
  <c r="G222" i="3"/>
  <c r="N221" i="3"/>
  <c r="G221" i="3"/>
  <c r="K221" i="3" s="1"/>
  <c r="N220" i="3"/>
  <c r="K220" i="3"/>
  <c r="G220" i="3"/>
  <c r="J220" i="3" s="1"/>
  <c r="N219" i="3"/>
  <c r="K219" i="3"/>
  <c r="G219" i="3"/>
  <c r="J219" i="3" s="1"/>
  <c r="N218" i="3"/>
  <c r="G218" i="3"/>
  <c r="N217" i="3"/>
  <c r="K217" i="3"/>
  <c r="J217" i="3"/>
  <c r="G217" i="3"/>
  <c r="N216" i="3"/>
  <c r="J216" i="3"/>
  <c r="G216" i="3"/>
  <c r="K216" i="3" s="1"/>
  <c r="N215" i="3"/>
  <c r="J215" i="3"/>
  <c r="G215" i="3"/>
  <c r="K215" i="3" s="1"/>
  <c r="N214" i="3"/>
  <c r="K214" i="3"/>
  <c r="J214" i="3"/>
  <c r="G214" i="3"/>
  <c r="N213" i="3"/>
  <c r="G213" i="3"/>
  <c r="N212" i="3"/>
  <c r="G212" i="3"/>
  <c r="J212" i="3" s="1"/>
  <c r="N211" i="3"/>
  <c r="K211" i="3"/>
  <c r="G211" i="3"/>
  <c r="J211" i="3" s="1"/>
  <c r="N210" i="3"/>
  <c r="K210" i="3"/>
  <c r="G210" i="3"/>
  <c r="J210" i="3" s="1"/>
  <c r="N209" i="3"/>
  <c r="K209" i="3"/>
  <c r="J209" i="3"/>
  <c r="G209" i="3"/>
  <c r="N208" i="3"/>
  <c r="K208" i="3"/>
  <c r="G208" i="3"/>
  <c r="J208" i="3" s="1"/>
  <c r="N207" i="3"/>
  <c r="K207" i="3"/>
  <c r="J207" i="3"/>
  <c r="G207" i="3"/>
  <c r="N206" i="3"/>
  <c r="G206" i="3"/>
  <c r="N205" i="3"/>
  <c r="G205" i="3"/>
  <c r="N204" i="3"/>
  <c r="G204" i="3"/>
  <c r="J204" i="3" s="1"/>
  <c r="N203" i="3"/>
  <c r="K203" i="3"/>
  <c r="G203" i="3"/>
  <c r="J203" i="3" s="1"/>
  <c r="N202" i="3"/>
  <c r="G202" i="3"/>
  <c r="J202" i="3" s="1"/>
  <c r="N201" i="3"/>
  <c r="K201" i="3"/>
  <c r="J201" i="3"/>
  <c r="G201" i="3"/>
  <c r="N200" i="3"/>
  <c r="J200" i="3"/>
  <c r="G200" i="3"/>
  <c r="K200" i="3" s="1"/>
  <c r="N199" i="3"/>
  <c r="J199" i="3"/>
  <c r="G199" i="3"/>
  <c r="K199" i="3" s="1"/>
  <c r="N198" i="3"/>
  <c r="G198" i="3"/>
  <c r="N197" i="3"/>
  <c r="G197" i="3"/>
  <c r="N196" i="3"/>
  <c r="K196" i="3"/>
  <c r="G196" i="3"/>
  <c r="J196" i="3" s="1"/>
  <c r="N195" i="3"/>
  <c r="G195" i="3"/>
  <c r="K195" i="3" s="1"/>
  <c r="N194" i="3"/>
  <c r="K194" i="3"/>
  <c r="G194" i="3"/>
  <c r="J194" i="3" s="1"/>
  <c r="N193" i="3"/>
  <c r="K193" i="3"/>
  <c r="J193" i="3"/>
  <c r="G193" i="3"/>
  <c r="N192" i="3"/>
  <c r="J192" i="3"/>
  <c r="G192" i="3"/>
  <c r="K192" i="3" s="1"/>
  <c r="N191" i="3"/>
  <c r="K191" i="3"/>
  <c r="J191" i="3"/>
  <c r="G191" i="3"/>
  <c r="N190" i="3"/>
  <c r="G190" i="3"/>
  <c r="N189" i="3"/>
  <c r="J189" i="3"/>
  <c r="G189" i="3"/>
  <c r="K189" i="3" s="1"/>
  <c r="N188" i="3"/>
  <c r="K188" i="3"/>
  <c r="G188" i="3"/>
  <c r="J188" i="3" s="1"/>
  <c r="N187" i="3"/>
  <c r="K187" i="3"/>
  <c r="G187" i="3"/>
  <c r="J187" i="3" s="1"/>
  <c r="N186" i="3"/>
  <c r="G186" i="3"/>
  <c r="J186" i="3" s="1"/>
  <c r="N185" i="3"/>
  <c r="K185" i="3"/>
  <c r="J185" i="3"/>
  <c r="G185" i="3"/>
  <c r="N184" i="3"/>
  <c r="J184" i="3"/>
  <c r="G184" i="3"/>
  <c r="K184" i="3" s="1"/>
  <c r="N183" i="3"/>
  <c r="J183" i="3"/>
  <c r="G183" i="3"/>
  <c r="K183" i="3" s="1"/>
  <c r="N182" i="3"/>
  <c r="J182" i="3"/>
  <c r="G182" i="3"/>
  <c r="K182" i="3" s="1"/>
  <c r="N181" i="3"/>
  <c r="G181" i="3"/>
  <c r="N180" i="3"/>
  <c r="K180" i="3"/>
  <c r="G180" i="3"/>
  <c r="J180" i="3" s="1"/>
  <c r="N179" i="3"/>
  <c r="J179" i="3"/>
  <c r="G179" i="3"/>
  <c r="K179" i="3" s="1"/>
  <c r="N178" i="3"/>
  <c r="K178" i="3"/>
  <c r="G178" i="3"/>
  <c r="J178" i="3" s="1"/>
  <c r="N177" i="3"/>
  <c r="K177" i="3"/>
  <c r="J177" i="3"/>
  <c r="G177" i="3"/>
  <c r="N176" i="3"/>
  <c r="G176" i="3"/>
  <c r="N175" i="3"/>
  <c r="K175" i="3"/>
  <c r="J175" i="3"/>
  <c r="G175" i="3"/>
  <c r="N174" i="3"/>
  <c r="G174" i="3"/>
  <c r="N173" i="3"/>
  <c r="G173" i="3"/>
  <c r="K173" i="3" s="1"/>
  <c r="N172" i="3"/>
  <c r="K172" i="3"/>
  <c r="G172" i="3"/>
  <c r="J172" i="3" s="1"/>
  <c r="N171" i="3"/>
  <c r="K171" i="3"/>
  <c r="G171" i="3"/>
  <c r="J171" i="3" s="1"/>
  <c r="N170" i="3"/>
  <c r="K170" i="3"/>
  <c r="J170" i="3"/>
  <c r="G170" i="3"/>
  <c r="N169" i="3"/>
  <c r="K169" i="3"/>
  <c r="J169" i="3"/>
  <c r="G169" i="3"/>
  <c r="N168" i="3"/>
  <c r="J168" i="3"/>
  <c r="G168" i="3"/>
  <c r="K168" i="3" s="1"/>
  <c r="N167" i="3"/>
  <c r="G167" i="3"/>
  <c r="N166" i="3"/>
  <c r="K166" i="3"/>
  <c r="G166" i="3"/>
  <c r="J166" i="3" s="1"/>
  <c r="N165" i="3"/>
  <c r="G165" i="3"/>
  <c r="J165" i="3" s="1"/>
  <c r="N164" i="3"/>
  <c r="G164" i="3"/>
  <c r="J164" i="3" s="1"/>
  <c r="N163" i="3"/>
  <c r="G163" i="3"/>
  <c r="K163" i="3" s="1"/>
  <c r="N162" i="3"/>
  <c r="K162" i="3"/>
  <c r="J162" i="3"/>
  <c r="G162" i="3"/>
  <c r="N161" i="3"/>
  <c r="K161" i="3"/>
  <c r="J161" i="3"/>
  <c r="G161" i="3"/>
  <c r="N160" i="3"/>
  <c r="J160" i="3"/>
  <c r="G160" i="3"/>
  <c r="K160" i="3" s="1"/>
  <c r="N159" i="3"/>
  <c r="G159" i="3"/>
  <c r="N158" i="3"/>
  <c r="G158" i="3"/>
  <c r="N157" i="3"/>
  <c r="G157" i="3"/>
  <c r="N156" i="3"/>
  <c r="G156" i="3"/>
  <c r="J156" i="3" s="1"/>
  <c r="N155" i="3"/>
  <c r="K155" i="3"/>
  <c r="J155" i="3"/>
  <c r="G155" i="3"/>
  <c r="N154" i="3"/>
  <c r="K154" i="3"/>
  <c r="J154" i="3"/>
  <c r="G154" i="3"/>
  <c r="N153" i="3"/>
  <c r="K153" i="3"/>
  <c r="J153" i="3"/>
  <c r="G153" i="3"/>
  <c r="N152" i="3"/>
  <c r="J152" i="3"/>
  <c r="G152" i="3"/>
  <c r="K152" i="3" s="1"/>
  <c r="N151" i="3"/>
  <c r="J151" i="3"/>
  <c r="G151" i="3"/>
  <c r="K151" i="3" s="1"/>
  <c r="N150" i="3"/>
  <c r="G150" i="3"/>
  <c r="K150" i="3" s="1"/>
  <c r="N149" i="3"/>
  <c r="G149" i="3"/>
  <c r="K149" i="3" s="1"/>
  <c r="N148" i="3"/>
  <c r="K148" i="3"/>
  <c r="G148" i="3"/>
  <c r="J148" i="3" s="1"/>
  <c r="N147" i="3"/>
  <c r="G147" i="3"/>
  <c r="J147" i="3" s="1"/>
  <c r="N146" i="3"/>
  <c r="G146" i="3"/>
  <c r="N145" i="3"/>
  <c r="K145" i="3"/>
  <c r="J145" i="3"/>
  <c r="G145" i="3"/>
  <c r="N144" i="3"/>
  <c r="K144" i="3"/>
  <c r="J144" i="3"/>
  <c r="G144" i="3"/>
  <c r="N143" i="3"/>
  <c r="G143" i="3"/>
  <c r="K143" i="3" s="1"/>
  <c r="N142" i="3"/>
  <c r="K142" i="3"/>
  <c r="G142" i="3"/>
  <c r="J142" i="3" s="1"/>
  <c r="N141" i="3"/>
  <c r="G141" i="3"/>
  <c r="K141" i="3" s="1"/>
  <c r="N140" i="3"/>
  <c r="K140" i="3"/>
  <c r="G140" i="3"/>
  <c r="J140" i="3" s="1"/>
  <c r="N139" i="3"/>
  <c r="K139" i="3"/>
  <c r="J139" i="3"/>
  <c r="G139" i="3"/>
  <c r="N138" i="3"/>
  <c r="J138" i="3"/>
  <c r="G138" i="3"/>
  <c r="K138" i="3" s="1"/>
  <c r="N137" i="3"/>
  <c r="K137" i="3"/>
  <c r="J137" i="3"/>
  <c r="G137" i="3"/>
  <c r="N136" i="3"/>
  <c r="G136" i="3"/>
  <c r="K136" i="3" s="1"/>
  <c r="N135" i="3"/>
  <c r="G135" i="3"/>
  <c r="K135" i="3" s="1"/>
  <c r="N134" i="3"/>
  <c r="G134" i="3"/>
  <c r="J134" i="3" s="1"/>
  <c r="N133" i="3"/>
  <c r="K133" i="3"/>
  <c r="J133" i="3"/>
  <c r="G133" i="3"/>
  <c r="N132" i="3"/>
  <c r="G132" i="3"/>
  <c r="N131" i="3"/>
  <c r="J131" i="3"/>
  <c r="G131" i="3"/>
  <c r="K131" i="3" s="1"/>
  <c r="N130" i="3"/>
  <c r="J130" i="3"/>
  <c r="G130" i="3"/>
  <c r="K130" i="3" s="1"/>
  <c r="N129" i="3"/>
  <c r="J129" i="3"/>
  <c r="G129" i="3"/>
  <c r="K129" i="3" s="1"/>
  <c r="N128" i="3"/>
  <c r="G128" i="3"/>
  <c r="K128" i="3" s="1"/>
  <c r="N127" i="3"/>
  <c r="J127" i="3"/>
  <c r="G127" i="3"/>
  <c r="K127" i="3" s="1"/>
  <c r="N126" i="3"/>
  <c r="K126" i="3"/>
  <c r="G126" i="3"/>
  <c r="J126" i="3" s="1"/>
  <c r="N125" i="3"/>
  <c r="G125" i="3"/>
  <c r="N124" i="3"/>
  <c r="G124" i="3"/>
  <c r="J124" i="3" s="1"/>
  <c r="N123" i="3"/>
  <c r="K123" i="3"/>
  <c r="J123" i="3"/>
  <c r="G123" i="3"/>
  <c r="N122" i="3"/>
  <c r="K122" i="3"/>
  <c r="J122" i="3"/>
  <c r="G122" i="3"/>
  <c r="N121" i="3"/>
  <c r="K121" i="3"/>
  <c r="J121" i="3"/>
  <c r="G121" i="3"/>
  <c r="N120" i="3"/>
  <c r="J120" i="3"/>
  <c r="G120" i="3"/>
  <c r="K120" i="3" s="1"/>
  <c r="N119" i="3"/>
  <c r="K119" i="3"/>
  <c r="G119" i="3"/>
  <c r="J119" i="3" s="1"/>
  <c r="N118" i="3"/>
  <c r="G118" i="3"/>
  <c r="N117" i="3"/>
  <c r="K117" i="3"/>
  <c r="J117" i="3"/>
  <c r="G117" i="3"/>
  <c r="N116" i="3"/>
  <c r="G116" i="3"/>
  <c r="K116" i="3" s="1"/>
  <c r="N115" i="3"/>
  <c r="G115" i="3"/>
  <c r="K115" i="3" s="1"/>
  <c r="N114" i="3"/>
  <c r="G114" i="3"/>
  <c r="J114" i="3" s="1"/>
  <c r="N113" i="3"/>
  <c r="J113" i="3"/>
  <c r="G113" i="3"/>
  <c r="K113" i="3" s="1"/>
  <c r="N112" i="3"/>
  <c r="J112" i="3"/>
  <c r="G112" i="3"/>
  <c r="K112" i="3" s="1"/>
  <c r="N111" i="3"/>
  <c r="G111" i="3"/>
  <c r="K111" i="3" s="1"/>
  <c r="N110" i="3"/>
  <c r="K110" i="3"/>
  <c r="G110" i="3"/>
  <c r="J110" i="3" s="1"/>
  <c r="N109" i="3"/>
  <c r="K109" i="3"/>
  <c r="J109" i="3"/>
  <c r="G109" i="3"/>
  <c r="N108" i="3"/>
  <c r="K108" i="3"/>
  <c r="G108" i="3"/>
  <c r="J108" i="3" s="1"/>
  <c r="N107" i="3"/>
  <c r="K107" i="3"/>
  <c r="J107" i="3"/>
  <c r="G107" i="3"/>
  <c r="N106" i="3"/>
  <c r="G106" i="3"/>
  <c r="J106" i="3" s="1"/>
  <c r="N105" i="3"/>
  <c r="K105" i="3"/>
  <c r="J105" i="3"/>
  <c r="G105" i="3"/>
  <c r="N104" i="3"/>
  <c r="G104" i="3"/>
  <c r="K104" i="3" s="1"/>
  <c r="N103" i="3"/>
  <c r="K103" i="3"/>
  <c r="J103" i="3"/>
  <c r="G103" i="3"/>
  <c r="N102" i="3"/>
  <c r="K102" i="3"/>
  <c r="J102" i="3"/>
  <c r="G102" i="3"/>
  <c r="N101" i="3"/>
  <c r="G101" i="3"/>
  <c r="K101" i="3" s="1"/>
  <c r="N100" i="3"/>
  <c r="G100" i="3"/>
  <c r="K100" i="3" s="1"/>
  <c r="N99" i="3"/>
  <c r="G99" i="3"/>
  <c r="N98" i="3"/>
  <c r="K98" i="3"/>
  <c r="J98" i="3"/>
  <c r="G98" i="3"/>
  <c r="N97" i="3"/>
  <c r="G97" i="3"/>
  <c r="K97" i="3" s="1"/>
  <c r="N96" i="3"/>
  <c r="O96" i="3" s="1"/>
  <c r="J96" i="3"/>
  <c r="G96" i="3"/>
  <c r="K96" i="3" s="1"/>
  <c r="N95" i="3"/>
  <c r="J95" i="3"/>
  <c r="G95" i="3"/>
  <c r="K95" i="3" s="1"/>
  <c r="N94" i="3"/>
  <c r="G94" i="3"/>
  <c r="N93" i="3"/>
  <c r="G93" i="3"/>
  <c r="K93" i="3" s="1"/>
  <c r="N92" i="3"/>
  <c r="K92" i="3"/>
  <c r="G92" i="3"/>
  <c r="J92" i="3" s="1"/>
  <c r="N91" i="3"/>
  <c r="K91" i="3"/>
  <c r="J91" i="3"/>
  <c r="G91" i="3"/>
  <c r="N90" i="3"/>
  <c r="K90" i="3"/>
  <c r="J90" i="3"/>
  <c r="G90" i="3"/>
  <c r="N89" i="3"/>
  <c r="K89" i="3"/>
  <c r="J89" i="3"/>
  <c r="G89" i="3"/>
  <c r="N88" i="3"/>
  <c r="G88" i="3"/>
  <c r="N87" i="3"/>
  <c r="J87" i="3"/>
  <c r="G87" i="3"/>
  <c r="K87" i="3" s="1"/>
  <c r="N86" i="3"/>
  <c r="K86" i="3"/>
  <c r="J86" i="3"/>
  <c r="G86" i="3"/>
  <c r="N85" i="3"/>
  <c r="J85" i="3"/>
  <c r="G85" i="3"/>
  <c r="K85" i="3" s="1"/>
  <c r="N84" i="3"/>
  <c r="K84" i="3"/>
  <c r="J84" i="3"/>
  <c r="G84" i="3"/>
  <c r="N83" i="3"/>
  <c r="K83" i="3"/>
  <c r="J83" i="3"/>
  <c r="G83" i="3"/>
  <c r="N82" i="3"/>
  <c r="G82" i="3"/>
  <c r="K82" i="3" s="1"/>
  <c r="N81" i="3"/>
  <c r="O81" i="3" s="1"/>
  <c r="G81" i="3"/>
  <c r="N80" i="3"/>
  <c r="G80" i="3"/>
  <c r="J80" i="3" s="1"/>
  <c r="N79" i="3"/>
  <c r="J79" i="3"/>
  <c r="G79" i="3"/>
  <c r="K79" i="3" s="1"/>
  <c r="N78" i="3"/>
  <c r="G78" i="3"/>
  <c r="J78" i="3" s="1"/>
  <c r="N77" i="3"/>
  <c r="K77" i="3"/>
  <c r="J77" i="3"/>
  <c r="G77" i="3"/>
  <c r="N76" i="3"/>
  <c r="K76" i="3"/>
  <c r="G76" i="3"/>
  <c r="J76" i="3" s="1"/>
  <c r="N75" i="3"/>
  <c r="K75" i="3"/>
  <c r="J75" i="3"/>
  <c r="G75" i="3"/>
  <c r="N74" i="3"/>
  <c r="K74" i="3"/>
  <c r="G74" i="3"/>
  <c r="J74" i="3" s="1"/>
  <c r="N73" i="3"/>
  <c r="K73" i="3"/>
  <c r="J73" i="3"/>
  <c r="G73" i="3"/>
  <c r="N72" i="3"/>
  <c r="K72" i="3"/>
  <c r="J72" i="3"/>
  <c r="G72" i="3"/>
  <c r="N71" i="3"/>
  <c r="K71" i="3"/>
  <c r="G71" i="3"/>
  <c r="J71" i="3" s="1"/>
  <c r="N70" i="3"/>
  <c r="K70" i="3"/>
  <c r="G70" i="3"/>
  <c r="N69" i="3"/>
  <c r="J69" i="3"/>
  <c r="G69" i="3"/>
  <c r="K69" i="3" s="1"/>
  <c r="N68" i="3"/>
  <c r="J68" i="3"/>
  <c r="G68" i="3"/>
  <c r="K68" i="3" s="1"/>
  <c r="N67" i="3"/>
  <c r="G67" i="3"/>
  <c r="J67" i="3" s="1"/>
  <c r="N66" i="3"/>
  <c r="J66" i="3"/>
  <c r="G66" i="3"/>
  <c r="K66" i="3" s="1"/>
  <c r="N65" i="3"/>
  <c r="G65" i="3"/>
  <c r="N64" i="3"/>
  <c r="K64" i="3"/>
  <c r="J64" i="3"/>
  <c r="G64" i="3"/>
  <c r="N63" i="3"/>
  <c r="K63" i="3"/>
  <c r="G63" i="3"/>
  <c r="J63" i="3" s="1"/>
  <c r="N62" i="3"/>
  <c r="K62" i="3"/>
  <c r="J62" i="3"/>
  <c r="G62" i="3"/>
  <c r="N61" i="3"/>
  <c r="G61" i="3"/>
  <c r="J61" i="3" s="1"/>
  <c r="N60" i="3"/>
  <c r="K60" i="3"/>
  <c r="J60" i="3"/>
  <c r="G60" i="3"/>
  <c r="N59" i="3"/>
  <c r="G59" i="3"/>
  <c r="K59" i="3" s="1"/>
  <c r="N58" i="3"/>
  <c r="K58" i="3"/>
  <c r="J58" i="3"/>
  <c r="G58" i="3"/>
  <c r="N57" i="3"/>
  <c r="K57" i="3"/>
  <c r="J57" i="3"/>
  <c r="G57" i="3"/>
  <c r="N56" i="3"/>
  <c r="K56" i="3"/>
  <c r="J56" i="3"/>
  <c r="G56" i="3"/>
  <c r="N55" i="3"/>
  <c r="G55" i="3"/>
  <c r="K55" i="3" s="1"/>
  <c r="N54" i="3"/>
  <c r="G54" i="3"/>
  <c r="J54" i="3" s="1"/>
  <c r="N53" i="3"/>
  <c r="J53" i="3"/>
  <c r="G53" i="3"/>
  <c r="K53" i="3" s="1"/>
  <c r="N52" i="3"/>
  <c r="G52" i="3"/>
  <c r="K52" i="3" s="1"/>
  <c r="N51" i="3"/>
  <c r="O51" i="3" s="1"/>
  <c r="J51" i="3"/>
  <c r="G51" i="3"/>
  <c r="K51" i="3" s="1"/>
  <c r="N50" i="3"/>
  <c r="G50" i="3"/>
  <c r="N49" i="3"/>
  <c r="K49" i="3"/>
  <c r="G49" i="3"/>
  <c r="J49" i="3" s="1"/>
  <c r="N48" i="3"/>
  <c r="G48" i="3"/>
  <c r="K48" i="3" s="1"/>
  <c r="N47" i="3"/>
  <c r="K47" i="3"/>
  <c r="G47" i="3"/>
  <c r="J47" i="3" s="1"/>
  <c r="N46" i="3"/>
  <c r="K46" i="3"/>
  <c r="J46" i="3"/>
  <c r="G46" i="3"/>
  <c r="N45" i="3"/>
  <c r="K45" i="3"/>
  <c r="J45" i="3"/>
  <c r="G45" i="3"/>
  <c r="N44" i="3"/>
  <c r="K44" i="3"/>
  <c r="J44" i="3"/>
  <c r="G44" i="3"/>
  <c r="N43" i="3"/>
  <c r="K43" i="3"/>
  <c r="J43" i="3"/>
  <c r="G43" i="3"/>
  <c r="N42" i="3"/>
  <c r="K42" i="3"/>
  <c r="G42" i="3"/>
  <c r="J42" i="3" s="1"/>
  <c r="N41" i="3"/>
  <c r="G41" i="3"/>
  <c r="K41" i="3" s="1"/>
  <c r="N40" i="3"/>
  <c r="J40" i="3"/>
  <c r="G40" i="3"/>
  <c r="K40" i="3" s="1"/>
  <c r="N39" i="3"/>
  <c r="G39" i="3"/>
  <c r="N38" i="3"/>
  <c r="K38" i="3"/>
  <c r="J38" i="3"/>
  <c r="G38" i="3"/>
  <c r="N37" i="3"/>
  <c r="G37" i="3"/>
  <c r="K37" i="3" s="1"/>
  <c r="N36" i="3"/>
  <c r="J36" i="3"/>
  <c r="G36" i="3"/>
  <c r="K36" i="3" s="1"/>
  <c r="O35" i="3"/>
  <c r="N35" i="3"/>
  <c r="J35" i="3"/>
  <c r="G35" i="3"/>
  <c r="K35" i="3" s="1"/>
  <c r="N34" i="3"/>
  <c r="J34" i="3"/>
  <c r="G34" i="3"/>
  <c r="K34" i="3" s="1"/>
  <c r="N33" i="3"/>
  <c r="G33" i="3"/>
  <c r="J33" i="3" s="1"/>
  <c r="N32" i="3"/>
  <c r="G32" i="3"/>
  <c r="K32" i="3" s="1"/>
  <c r="N31" i="3"/>
  <c r="K31" i="3"/>
  <c r="J31" i="3"/>
  <c r="G31" i="3"/>
  <c r="N30" i="3"/>
  <c r="K30" i="3"/>
  <c r="J30" i="3"/>
  <c r="G30" i="3"/>
  <c r="N29" i="3"/>
  <c r="J29" i="3"/>
  <c r="G29" i="3"/>
  <c r="K29" i="3" s="1"/>
  <c r="N28" i="3"/>
  <c r="K28" i="3"/>
  <c r="G28" i="3"/>
  <c r="J28" i="3" s="1"/>
  <c r="N27" i="3"/>
  <c r="O27" i="3" s="1"/>
  <c r="J27" i="3"/>
  <c r="G27" i="3"/>
  <c r="K27" i="3" s="1"/>
  <c r="N26" i="3"/>
  <c r="K26" i="3"/>
  <c r="J26" i="3"/>
  <c r="G26" i="3"/>
  <c r="N25" i="3"/>
  <c r="O25" i="3" s="1"/>
  <c r="J25" i="3"/>
  <c r="G25" i="3"/>
  <c r="K25" i="3" s="1"/>
  <c r="N24" i="3"/>
  <c r="G24" i="3"/>
  <c r="N23" i="3"/>
  <c r="G23" i="3"/>
  <c r="K23" i="3" s="1"/>
  <c r="N22" i="3"/>
  <c r="K22" i="3"/>
  <c r="J22" i="3"/>
  <c r="G22" i="3"/>
  <c r="N21" i="3"/>
  <c r="G21" i="3"/>
  <c r="K21" i="3" s="1"/>
  <c r="N20" i="3"/>
  <c r="K20" i="3"/>
  <c r="G20" i="3"/>
  <c r="J20" i="3" s="1"/>
  <c r="O19" i="3"/>
  <c r="N19" i="3"/>
  <c r="K19" i="3"/>
  <c r="J19" i="3"/>
  <c r="G19" i="3"/>
  <c r="N18" i="3"/>
  <c r="G18" i="3"/>
  <c r="N17" i="3"/>
  <c r="K17" i="3"/>
  <c r="J17" i="3"/>
  <c r="G17" i="3"/>
  <c r="N16" i="3"/>
  <c r="J16" i="3"/>
  <c r="G16" i="3"/>
  <c r="K16" i="3" s="1"/>
  <c r="N15" i="3"/>
  <c r="K15" i="3"/>
  <c r="J15" i="3"/>
  <c r="G15" i="3"/>
  <c r="N14" i="3"/>
  <c r="G14" i="3"/>
  <c r="K14" i="3" s="1"/>
  <c r="N13" i="3"/>
  <c r="J13" i="3"/>
  <c r="G13" i="3"/>
  <c r="K13" i="3" s="1"/>
  <c r="N12" i="3"/>
  <c r="K12" i="3"/>
  <c r="J12" i="3"/>
  <c r="G12" i="3"/>
  <c r="N11" i="3"/>
  <c r="G11" i="3"/>
  <c r="K11" i="3" s="1"/>
  <c r="N10" i="3"/>
  <c r="J10" i="3"/>
  <c r="G10" i="3"/>
  <c r="K10" i="3" s="1"/>
  <c r="N9" i="3"/>
  <c r="J9" i="3"/>
  <c r="G9" i="3"/>
  <c r="K9" i="3" s="1"/>
  <c r="N8" i="3"/>
  <c r="G8" i="3"/>
  <c r="J8" i="3" s="1"/>
  <c r="N7" i="3"/>
  <c r="G7" i="3"/>
  <c r="K7" i="3" s="1"/>
  <c r="N6" i="3"/>
  <c r="G6" i="3"/>
  <c r="N5" i="3"/>
  <c r="O57" i="3" s="1"/>
  <c r="G5" i="3"/>
  <c r="N4" i="3"/>
  <c r="K4" i="3"/>
  <c r="G4" i="3"/>
  <c r="J4" i="3" s="1"/>
  <c r="N3" i="3"/>
  <c r="G3" i="3"/>
  <c r="K3" i="3" s="1"/>
  <c r="N2" i="3"/>
  <c r="K2" i="3"/>
  <c r="G2" i="3"/>
  <c r="J2" i="3" s="1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N316" i="1"/>
  <c r="G316" i="1"/>
  <c r="K316" i="1" s="1"/>
  <c r="N315" i="1"/>
  <c r="J315" i="1"/>
  <c r="G315" i="1"/>
  <c r="K315" i="1" s="1"/>
  <c r="N314" i="1"/>
  <c r="K314" i="1"/>
  <c r="G314" i="1"/>
  <c r="J314" i="1" s="1"/>
  <c r="N313" i="1"/>
  <c r="K313" i="1"/>
  <c r="G313" i="1"/>
  <c r="J313" i="1" s="1"/>
  <c r="N312" i="1"/>
  <c r="G312" i="1"/>
  <c r="J312" i="1" s="1"/>
  <c r="N311" i="1"/>
  <c r="K311" i="1"/>
  <c r="G311" i="1"/>
  <c r="J311" i="1" s="1"/>
  <c r="N310" i="1"/>
  <c r="J310" i="1"/>
  <c r="G310" i="1"/>
  <c r="K310" i="1" s="1"/>
  <c r="N309" i="1"/>
  <c r="G309" i="1"/>
  <c r="K309" i="1" s="1"/>
  <c r="N308" i="1"/>
  <c r="K308" i="1"/>
  <c r="G308" i="1"/>
  <c r="J308" i="1" s="1"/>
  <c r="N307" i="1"/>
  <c r="G307" i="1"/>
  <c r="N306" i="1"/>
  <c r="K306" i="1"/>
  <c r="G306" i="1"/>
  <c r="J306" i="1" s="1"/>
  <c r="N305" i="1"/>
  <c r="G305" i="1"/>
  <c r="N304" i="1"/>
  <c r="K304" i="1"/>
  <c r="J304" i="1"/>
  <c r="G304" i="1"/>
  <c r="N303" i="1"/>
  <c r="K303" i="1"/>
  <c r="J303" i="1"/>
  <c r="G303" i="1"/>
  <c r="N302" i="1"/>
  <c r="G302" i="1"/>
  <c r="K302" i="1" s="1"/>
  <c r="N301" i="1"/>
  <c r="G301" i="1"/>
  <c r="J301" i="1" s="1"/>
  <c r="N300" i="1"/>
  <c r="K300" i="1"/>
  <c r="J300" i="1"/>
  <c r="G300" i="1"/>
  <c r="N299" i="1"/>
  <c r="G299" i="1"/>
  <c r="K299" i="1" s="1"/>
  <c r="N298" i="1"/>
  <c r="G298" i="1"/>
  <c r="J298" i="1" s="1"/>
  <c r="N297" i="1"/>
  <c r="K297" i="1"/>
  <c r="J297" i="1"/>
  <c r="G297" i="1"/>
  <c r="N296" i="1"/>
  <c r="G296" i="1"/>
  <c r="K296" i="1" s="1"/>
  <c r="N295" i="1"/>
  <c r="K295" i="1"/>
  <c r="J295" i="1"/>
  <c r="G295" i="1"/>
  <c r="N294" i="1"/>
  <c r="J294" i="1"/>
  <c r="G294" i="1"/>
  <c r="K294" i="1" s="1"/>
  <c r="N293" i="1"/>
  <c r="K293" i="1"/>
  <c r="J293" i="1"/>
  <c r="G293" i="1"/>
  <c r="N292" i="1"/>
  <c r="G292" i="1"/>
  <c r="K292" i="1" s="1"/>
  <c r="N291" i="1"/>
  <c r="K291" i="1"/>
  <c r="G291" i="1"/>
  <c r="J291" i="1" s="1"/>
  <c r="N290" i="1"/>
  <c r="K290" i="1"/>
  <c r="J290" i="1"/>
  <c r="G290" i="1"/>
  <c r="N289" i="1"/>
  <c r="G289" i="1"/>
  <c r="K289" i="1" s="1"/>
  <c r="N288" i="1"/>
  <c r="K288" i="1"/>
  <c r="J288" i="1"/>
  <c r="G288" i="1"/>
  <c r="N287" i="1"/>
  <c r="K287" i="1"/>
  <c r="J287" i="1"/>
  <c r="G287" i="1"/>
  <c r="N286" i="1"/>
  <c r="G286" i="1"/>
  <c r="K286" i="1" s="1"/>
  <c r="N285" i="1"/>
  <c r="K285" i="1"/>
  <c r="J285" i="1"/>
  <c r="G285" i="1"/>
  <c r="N284" i="1"/>
  <c r="J284" i="1"/>
  <c r="G284" i="1"/>
  <c r="K284" i="1" s="1"/>
  <c r="N283" i="1"/>
  <c r="K283" i="1"/>
  <c r="J283" i="1"/>
  <c r="G283" i="1"/>
  <c r="N282" i="1"/>
  <c r="G282" i="1"/>
  <c r="K282" i="1" s="1"/>
  <c r="N281" i="1"/>
  <c r="K281" i="1"/>
  <c r="G281" i="1"/>
  <c r="J281" i="1" s="1"/>
  <c r="N280" i="1"/>
  <c r="K280" i="1"/>
  <c r="G280" i="1"/>
  <c r="J280" i="1" s="1"/>
  <c r="N279" i="1"/>
  <c r="J279" i="1"/>
  <c r="G279" i="1"/>
  <c r="K279" i="1" s="1"/>
  <c r="N278" i="1"/>
  <c r="G278" i="1"/>
  <c r="N277" i="1"/>
  <c r="K277" i="1"/>
  <c r="J277" i="1"/>
  <c r="G277" i="1"/>
  <c r="N276" i="1"/>
  <c r="G276" i="1"/>
  <c r="K276" i="1" s="1"/>
  <c r="N275" i="1"/>
  <c r="G275" i="1"/>
  <c r="N274" i="1"/>
  <c r="J274" i="1"/>
  <c r="G274" i="1"/>
  <c r="K274" i="1" s="1"/>
  <c r="N273" i="1"/>
  <c r="K273" i="1"/>
  <c r="J273" i="1"/>
  <c r="G273" i="1"/>
  <c r="N272" i="1"/>
  <c r="K272" i="1"/>
  <c r="J272" i="1"/>
  <c r="G272" i="1"/>
  <c r="N271" i="1"/>
  <c r="K271" i="1"/>
  <c r="G271" i="1"/>
  <c r="J271" i="1" s="1"/>
  <c r="N270" i="1"/>
  <c r="K270" i="1"/>
  <c r="G270" i="1"/>
  <c r="J270" i="1" s="1"/>
  <c r="N269" i="1"/>
  <c r="J269" i="1"/>
  <c r="G269" i="1"/>
  <c r="K269" i="1" s="1"/>
  <c r="N268" i="1"/>
  <c r="K268" i="1"/>
  <c r="G268" i="1"/>
  <c r="J268" i="1" s="1"/>
  <c r="N267" i="1"/>
  <c r="K267" i="1"/>
  <c r="J267" i="1"/>
  <c r="G267" i="1"/>
  <c r="N266" i="1"/>
  <c r="G266" i="1"/>
  <c r="K266" i="1" s="1"/>
  <c r="N265" i="1"/>
  <c r="K265" i="1"/>
  <c r="J265" i="1"/>
  <c r="G265" i="1"/>
  <c r="N264" i="1"/>
  <c r="K264" i="1"/>
  <c r="G264" i="1"/>
  <c r="J264" i="1" s="1"/>
  <c r="N263" i="1"/>
  <c r="K263" i="1"/>
  <c r="G263" i="1"/>
  <c r="J263" i="1" s="1"/>
  <c r="N262" i="1"/>
  <c r="G262" i="1"/>
  <c r="K262" i="1" s="1"/>
  <c r="N261" i="1"/>
  <c r="K261" i="1"/>
  <c r="G261" i="1"/>
  <c r="J261" i="1" s="1"/>
  <c r="N260" i="1"/>
  <c r="K260" i="1"/>
  <c r="G260" i="1"/>
  <c r="J260" i="1" s="1"/>
  <c r="N259" i="1"/>
  <c r="G259" i="1"/>
  <c r="J259" i="1" s="1"/>
  <c r="N258" i="1"/>
  <c r="G258" i="1"/>
  <c r="J258" i="1" s="1"/>
  <c r="N257" i="1"/>
  <c r="K257" i="1"/>
  <c r="J257" i="1"/>
  <c r="G257" i="1"/>
  <c r="N256" i="1"/>
  <c r="K256" i="1"/>
  <c r="J256" i="1"/>
  <c r="G256" i="1"/>
  <c r="N255" i="1"/>
  <c r="K255" i="1"/>
  <c r="J255" i="1"/>
  <c r="G255" i="1"/>
  <c r="N254" i="1"/>
  <c r="G254" i="1"/>
  <c r="J254" i="1" s="1"/>
  <c r="N253" i="1"/>
  <c r="K253" i="1"/>
  <c r="G253" i="1"/>
  <c r="J253" i="1" s="1"/>
  <c r="N252" i="1"/>
  <c r="G252" i="1"/>
  <c r="K252" i="1" s="1"/>
  <c r="N251" i="1"/>
  <c r="G251" i="1"/>
  <c r="J251" i="1" s="1"/>
  <c r="N250" i="1"/>
  <c r="K250" i="1"/>
  <c r="G250" i="1"/>
  <c r="J250" i="1" s="1"/>
  <c r="N249" i="1"/>
  <c r="J249" i="1"/>
  <c r="G249" i="1"/>
  <c r="K249" i="1" s="1"/>
  <c r="N248" i="1"/>
  <c r="J248" i="1"/>
  <c r="G248" i="1"/>
  <c r="K248" i="1" s="1"/>
  <c r="N247" i="1"/>
  <c r="K247" i="1"/>
  <c r="J247" i="1"/>
  <c r="G247" i="1"/>
  <c r="N246" i="1"/>
  <c r="G246" i="1"/>
  <c r="K246" i="1" s="1"/>
  <c r="N245" i="1"/>
  <c r="K245" i="1"/>
  <c r="J245" i="1"/>
  <c r="G245" i="1"/>
  <c r="N244" i="1"/>
  <c r="K244" i="1"/>
  <c r="G244" i="1"/>
  <c r="J244" i="1" s="1"/>
  <c r="N243" i="1"/>
  <c r="K243" i="1"/>
  <c r="G243" i="1"/>
  <c r="J243" i="1" s="1"/>
  <c r="N242" i="1"/>
  <c r="G242" i="1"/>
  <c r="K242" i="1" s="1"/>
  <c r="N241" i="1"/>
  <c r="G241" i="1"/>
  <c r="J241" i="1" s="1"/>
  <c r="N240" i="1"/>
  <c r="K240" i="1"/>
  <c r="J240" i="1"/>
  <c r="G240" i="1"/>
  <c r="N239" i="1"/>
  <c r="J239" i="1"/>
  <c r="G239" i="1"/>
  <c r="K239" i="1" s="1"/>
  <c r="N238" i="1"/>
  <c r="J238" i="1"/>
  <c r="G238" i="1"/>
  <c r="K238" i="1" s="1"/>
  <c r="N237" i="1"/>
  <c r="K237" i="1"/>
  <c r="J237" i="1"/>
  <c r="G237" i="1"/>
  <c r="N236" i="1"/>
  <c r="G236" i="1"/>
  <c r="K236" i="1" s="1"/>
  <c r="N235" i="1"/>
  <c r="K235" i="1"/>
  <c r="J235" i="1"/>
  <c r="G235" i="1"/>
  <c r="N234" i="1"/>
  <c r="G234" i="1"/>
  <c r="J234" i="1" s="1"/>
  <c r="N233" i="1"/>
  <c r="K233" i="1"/>
  <c r="J233" i="1"/>
  <c r="G233" i="1"/>
  <c r="N232" i="1"/>
  <c r="G232" i="1"/>
  <c r="N231" i="1"/>
  <c r="J231" i="1"/>
  <c r="G231" i="1"/>
  <c r="K231" i="1" s="1"/>
  <c r="N230" i="1"/>
  <c r="G230" i="1"/>
  <c r="K230" i="1" s="1"/>
  <c r="N229" i="1"/>
  <c r="J229" i="1"/>
  <c r="G229" i="1"/>
  <c r="K229" i="1" s="1"/>
  <c r="N228" i="1"/>
  <c r="O228" i="1" s="1"/>
  <c r="J228" i="1"/>
  <c r="G228" i="1"/>
  <c r="K228" i="1" s="1"/>
  <c r="N227" i="1"/>
  <c r="K227" i="1"/>
  <c r="G227" i="1"/>
  <c r="J227" i="1" s="1"/>
  <c r="N226" i="1"/>
  <c r="K226" i="1"/>
  <c r="G226" i="1"/>
  <c r="J226" i="1" s="1"/>
  <c r="N225" i="1"/>
  <c r="K225" i="1"/>
  <c r="J225" i="1"/>
  <c r="G225" i="1"/>
  <c r="N224" i="1"/>
  <c r="K224" i="1"/>
  <c r="J224" i="1"/>
  <c r="G224" i="1"/>
  <c r="N223" i="1"/>
  <c r="K223" i="1"/>
  <c r="J223" i="1"/>
  <c r="G223" i="1"/>
  <c r="N222" i="1"/>
  <c r="J222" i="1"/>
  <c r="G222" i="1"/>
  <c r="K222" i="1" s="1"/>
  <c r="N221" i="1"/>
  <c r="J221" i="1"/>
  <c r="G221" i="1"/>
  <c r="K221" i="1" s="1"/>
  <c r="N220" i="1"/>
  <c r="K220" i="1"/>
  <c r="G220" i="1"/>
  <c r="J220" i="1" s="1"/>
  <c r="N219" i="1"/>
  <c r="J219" i="1"/>
  <c r="G219" i="1"/>
  <c r="K219" i="1" s="1"/>
  <c r="N218" i="1"/>
  <c r="O218" i="1" s="1"/>
  <c r="J218" i="1"/>
  <c r="G218" i="1"/>
  <c r="K218" i="1" s="1"/>
  <c r="N217" i="1"/>
  <c r="K217" i="1"/>
  <c r="J217" i="1"/>
  <c r="G217" i="1"/>
  <c r="N216" i="1"/>
  <c r="G216" i="1"/>
  <c r="K216" i="1" s="1"/>
  <c r="N215" i="1"/>
  <c r="K215" i="1"/>
  <c r="G215" i="1"/>
  <c r="J215" i="1" s="1"/>
  <c r="N214" i="1"/>
  <c r="G214" i="1"/>
  <c r="N213" i="1"/>
  <c r="K213" i="1"/>
  <c r="J213" i="1"/>
  <c r="G213" i="1"/>
  <c r="N212" i="1"/>
  <c r="G212" i="1"/>
  <c r="K212" i="1" s="1"/>
  <c r="N211" i="1"/>
  <c r="G211" i="1"/>
  <c r="N210" i="1"/>
  <c r="K210" i="1"/>
  <c r="G210" i="1"/>
  <c r="J210" i="1" s="1"/>
  <c r="N209" i="1"/>
  <c r="J209" i="1"/>
  <c r="G209" i="1"/>
  <c r="K209" i="1" s="1"/>
  <c r="N208" i="1"/>
  <c r="O208" i="1" s="1"/>
  <c r="K208" i="1"/>
  <c r="J208" i="1"/>
  <c r="G208" i="1"/>
  <c r="N207" i="1"/>
  <c r="K207" i="1"/>
  <c r="J207" i="1"/>
  <c r="G207" i="1"/>
  <c r="N206" i="1"/>
  <c r="G206" i="1"/>
  <c r="K206" i="1" s="1"/>
  <c r="N205" i="1"/>
  <c r="G205" i="1"/>
  <c r="J205" i="1" s="1"/>
  <c r="N204" i="1"/>
  <c r="G204" i="1"/>
  <c r="J204" i="1" s="1"/>
  <c r="N203" i="1"/>
  <c r="K203" i="1"/>
  <c r="J203" i="1"/>
  <c r="G203" i="1"/>
  <c r="N202" i="1"/>
  <c r="G202" i="1"/>
  <c r="K202" i="1" s="1"/>
  <c r="N201" i="1"/>
  <c r="K201" i="1"/>
  <c r="J201" i="1"/>
  <c r="G201" i="1"/>
  <c r="N200" i="1"/>
  <c r="G200" i="1"/>
  <c r="K200" i="1" s="1"/>
  <c r="N199" i="1"/>
  <c r="G199" i="1"/>
  <c r="N198" i="1"/>
  <c r="J198" i="1"/>
  <c r="G198" i="1"/>
  <c r="K198" i="1" s="1"/>
  <c r="N197" i="1"/>
  <c r="K197" i="1"/>
  <c r="J197" i="1"/>
  <c r="G197" i="1"/>
  <c r="N196" i="1"/>
  <c r="G196" i="1"/>
  <c r="K196" i="1" s="1"/>
  <c r="N195" i="1"/>
  <c r="K195" i="1"/>
  <c r="G195" i="1"/>
  <c r="J195" i="1" s="1"/>
  <c r="N194" i="1"/>
  <c r="K194" i="1"/>
  <c r="G194" i="1"/>
  <c r="J194" i="1" s="1"/>
  <c r="N193" i="1"/>
  <c r="K193" i="1"/>
  <c r="J193" i="1"/>
  <c r="G193" i="1"/>
  <c r="N192" i="1"/>
  <c r="K192" i="1"/>
  <c r="J192" i="1"/>
  <c r="G192" i="1"/>
  <c r="N191" i="1"/>
  <c r="K191" i="1"/>
  <c r="J191" i="1"/>
  <c r="G191" i="1"/>
  <c r="N190" i="1"/>
  <c r="G190" i="1"/>
  <c r="K190" i="1" s="1"/>
  <c r="N189" i="1"/>
  <c r="G189" i="1"/>
  <c r="N188" i="1"/>
  <c r="G188" i="1"/>
  <c r="K188" i="1" s="1"/>
  <c r="N187" i="1"/>
  <c r="O187" i="1" s="1"/>
  <c r="K187" i="1"/>
  <c r="J187" i="1"/>
  <c r="G187" i="1"/>
  <c r="N186" i="1"/>
  <c r="G186" i="1"/>
  <c r="K186" i="1" s="1"/>
  <c r="N185" i="1"/>
  <c r="K185" i="1"/>
  <c r="G185" i="1"/>
  <c r="J185" i="1" s="1"/>
  <c r="N184" i="1"/>
  <c r="K184" i="1"/>
  <c r="G184" i="1"/>
  <c r="J184" i="1" s="1"/>
  <c r="N183" i="1"/>
  <c r="K183" i="1"/>
  <c r="G183" i="1"/>
  <c r="J183" i="1" s="1"/>
  <c r="N182" i="1"/>
  <c r="J182" i="1"/>
  <c r="G182" i="1"/>
  <c r="K182" i="1" s="1"/>
  <c r="N181" i="1"/>
  <c r="K181" i="1"/>
  <c r="G181" i="1"/>
  <c r="J181" i="1" s="1"/>
  <c r="N180" i="1"/>
  <c r="O180" i="1" s="1"/>
  <c r="G180" i="1"/>
  <c r="K180" i="1" s="1"/>
  <c r="N179" i="1"/>
  <c r="K179" i="1"/>
  <c r="G179" i="1"/>
  <c r="J179" i="1" s="1"/>
  <c r="N178" i="1"/>
  <c r="J178" i="1"/>
  <c r="G178" i="1"/>
  <c r="K178" i="1" s="1"/>
  <c r="N177" i="1"/>
  <c r="K177" i="1"/>
  <c r="J177" i="1"/>
  <c r="G177" i="1"/>
  <c r="N176" i="1"/>
  <c r="K176" i="1"/>
  <c r="J176" i="1"/>
  <c r="G176" i="1"/>
  <c r="N175" i="1"/>
  <c r="G175" i="1"/>
  <c r="J175" i="1" s="1"/>
  <c r="N174" i="1"/>
  <c r="G174" i="1"/>
  <c r="K174" i="1" s="1"/>
  <c r="N173" i="1"/>
  <c r="K173" i="1"/>
  <c r="G173" i="1"/>
  <c r="J173" i="1" s="1"/>
  <c r="N172" i="1"/>
  <c r="J172" i="1"/>
  <c r="G172" i="1"/>
  <c r="K172" i="1" s="1"/>
  <c r="N171" i="1"/>
  <c r="J171" i="1"/>
  <c r="G171" i="1"/>
  <c r="K171" i="1" s="1"/>
  <c r="N170" i="1"/>
  <c r="O170" i="1" s="1"/>
  <c r="G170" i="1"/>
  <c r="K170" i="1" s="1"/>
  <c r="N169" i="1"/>
  <c r="G169" i="1"/>
  <c r="J169" i="1" s="1"/>
  <c r="N168" i="1"/>
  <c r="K168" i="1"/>
  <c r="G168" i="1"/>
  <c r="J168" i="1" s="1"/>
  <c r="N167" i="1"/>
  <c r="O167" i="1" s="1"/>
  <c r="K167" i="1"/>
  <c r="G167" i="1"/>
  <c r="J167" i="1" s="1"/>
  <c r="N166" i="1"/>
  <c r="G166" i="1"/>
  <c r="N165" i="1"/>
  <c r="G165" i="1"/>
  <c r="J165" i="1" s="1"/>
  <c r="N164" i="1"/>
  <c r="O164" i="1" s="1"/>
  <c r="G164" i="1"/>
  <c r="K164" i="1" s="1"/>
  <c r="N163" i="1"/>
  <c r="K163" i="1"/>
  <c r="G163" i="1"/>
  <c r="J163" i="1" s="1"/>
  <c r="N162" i="1"/>
  <c r="G162" i="1"/>
  <c r="K162" i="1" s="1"/>
  <c r="N161" i="1"/>
  <c r="J161" i="1"/>
  <c r="G161" i="1"/>
  <c r="K161" i="1" s="1"/>
  <c r="N160" i="1"/>
  <c r="K160" i="1"/>
  <c r="J160" i="1"/>
  <c r="G160" i="1"/>
  <c r="N159" i="1"/>
  <c r="G159" i="1"/>
  <c r="J159" i="1" s="1"/>
  <c r="N158" i="1"/>
  <c r="G158" i="1"/>
  <c r="K158" i="1" s="1"/>
  <c r="N157" i="1"/>
  <c r="O157" i="1" s="1"/>
  <c r="K157" i="1"/>
  <c r="G157" i="1"/>
  <c r="J157" i="1" s="1"/>
  <c r="N156" i="1"/>
  <c r="G156" i="1"/>
  <c r="N155" i="1"/>
  <c r="G155" i="1"/>
  <c r="J155" i="1" s="1"/>
  <c r="N154" i="1"/>
  <c r="O154" i="1" s="1"/>
  <c r="J154" i="1"/>
  <c r="G154" i="1"/>
  <c r="K154" i="1" s="1"/>
  <c r="N153" i="1"/>
  <c r="K153" i="1"/>
  <c r="G153" i="1"/>
  <c r="J153" i="1" s="1"/>
  <c r="N152" i="1"/>
  <c r="K152" i="1"/>
  <c r="J152" i="1"/>
  <c r="G152" i="1"/>
  <c r="N151" i="1"/>
  <c r="O151" i="1" s="1"/>
  <c r="K151" i="1"/>
  <c r="G151" i="1"/>
  <c r="J151" i="1" s="1"/>
  <c r="N150" i="1"/>
  <c r="G150" i="1"/>
  <c r="K150" i="1" s="1"/>
  <c r="N149" i="1"/>
  <c r="K149" i="1"/>
  <c r="G149" i="1"/>
  <c r="J149" i="1" s="1"/>
  <c r="N148" i="1"/>
  <c r="G148" i="1"/>
  <c r="K148" i="1" s="1"/>
  <c r="N147" i="1"/>
  <c r="O147" i="1" s="1"/>
  <c r="K147" i="1"/>
  <c r="G147" i="1"/>
  <c r="J147" i="1" s="1"/>
  <c r="N146" i="1"/>
  <c r="G146" i="1"/>
  <c r="N145" i="1"/>
  <c r="G145" i="1"/>
  <c r="J145" i="1" s="1"/>
  <c r="N144" i="1"/>
  <c r="K144" i="1"/>
  <c r="J144" i="1"/>
  <c r="G144" i="1"/>
  <c r="N143" i="1"/>
  <c r="K143" i="1"/>
  <c r="G143" i="1"/>
  <c r="J143" i="1" s="1"/>
  <c r="N142" i="1"/>
  <c r="K142" i="1"/>
  <c r="J142" i="1"/>
  <c r="G142" i="1"/>
  <c r="N141" i="1"/>
  <c r="K141" i="1"/>
  <c r="J141" i="1"/>
  <c r="G141" i="1"/>
  <c r="N140" i="1"/>
  <c r="G140" i="1"/>
  <c r="K140" i="1" s="1"/>
  <c r="N139" i="1"/>
  <c r="G139" i="1"/>
  <c r="J139" i="1" s="1"/>
  <c r="N138" i="1"/>
  <c r="K138" i="1"/>
  <c r="G138" i="1"/>
  <c r="J138" i="1" s="1"/>
  <c r="N137" i="1"/>
  <c r="K137" i="1"/>
  <c r="G137" i="1"/>
  <c r="J137" i="1" s="1"/>
  <c r="N136" i="1"/>
  <c r="J136" i="1"/>
  <c r="G136" i="1"/>
  <c r="K136" i="1" s="1"/>
  <c r="N135" i="1"/>
  <c r="O135" i="1" s="1"/>
  <c r="G135" i="1"/>
  <c r="K135" i="1" s="1"/>
  <c r="N134" i="1"/>
  <c r="O134" i="1" s="1"/>
  <c r="J134" i="1"/>
  <c r="G134" i="1"/>
  <c r="K134" i="1" s="1"/>
  <c r="N133" i="1"/>
  <c r="K133" i="1"/>
  <c r="G133" i="1"/>
  <c r="J133" i="1" s="1"/>
  <c r="N132" i="1"/>
  <c r="K132" i="1"/>
  <c r="J132" i="1"/>
  <c r="G132" i="1"/>
  <c r="N131" i="1"/>
  <c r="O131" i="1" s="1"/>
  <c r="G131" i="1"/>
  <c r="J131" i="1" s="1"/>
  <c r="N130" i="1"/>
  <c r="O130" i="1" s="1"/>
  <c r="G130" i="1"/>
  <c r="N129" i="1"/>
  <c r="K129" i="1"/>
  <c r="G129" i="1"/>
  <c r="J129" i="1" s="1"/>
  <c r="N128" i="1"/>
  <c r="K128" i="1"/>
  <c r="J128" i="1"/>
  <c r="G128" i="1"/>
  <c r="N127" i="1"/>
  <c r="K127" i="1"/>
  <c r="G127" i="1"/>
  <c r="J127" i="1" s="1"/>
  <c r="N126" i="1"/>
  <c r="J126" i="1"/>
  <c r="G126" i="1"/>
  <c r="K126" i="1" s="1"/>
  <c r="N125" i="1"/>
  <c r="O125" i="1" s="1"/>
  <c r="G125" i="1"/>
  <c r="K125" i="1" s="1"/>
  <c r="N124" i="1"/>
  <c r="K124" i="1"/>
  <c r="J124" i="1"/>
  <c r="G124" i="1"/>
  <c r="N123" i="1"/>
  <c r="K123" i="1"/>
  <c r="G123" i="1"/>
  <c r="J123" i="1" s="1"/>
  <c r="N122" i="1"/>
  <c r="K122" i="1"/>
  <c r="J122" i="1"/>
  <c r="G122" i="1"/>
  <c r="N121" i="1"/>
  <c r="O121" i="1" s="1"/>
  <c r="G121" i="1"/>
  <c r="K121" i="1" s="1"/>
  <c r="N120" i="1"/>
  <c r="O120" i="1" s="1"/>
  <c r="G120" i="1"/>
  <c r="N119" i="1"/>
  <c r="K119" i="1"/>
  <c r="G119" i="1"/>
  <c r="J119" i="1" s="1"/>
  <c r="N118" i="1"/>
  <c r="K118" i="1"/>
  <c r="G118" i="1"/>
  <c r="J118" i="1" s="1"/>
  <c r="N117" i="1"/>
  <c r="O117" i="1" s="1"/>
  <c r="K117" i="1"/>
  <c r="J117" i="1"/>
  <c r="G117" i="1"/>
  <c r="N116" i="1"/>
  <c r="G116" i="1"/>
  <c r="N115" i="1"/>
  <c r="K115" i="1"/>
  <c r="J115" i="1"/>
  <c r="G115" i="1"/>
  <c r="N114" i="1"/>
  <c r="O114" i="1" s="1"/>
  <c r="J114" i="1"/>
  <c r="G114" i="1"/>
  <c r="K114" i="1" s="1"/>
  <c r="N113" i="1"/>
  <c r="K113" i="1"/>
  <c r="G113" i="1"/>
  <c r="J113" i="1" s="1"/>
  <c r="N112" i="1"/>
  <c r="K112" i="1"/>
  <c r="J112" i="1"/>
  <c r="G112" i="1"/>
  <c r="N111" i="1"/>
  <c r="J111" i="1"/>
  <c r="G111" i="1"/>
  <c r="K111" i="1" s="1"/>
  <c r="N110" i="1"/>
  <c r="O110" i="1" s="1"/>
  <c r="G110" i="1"/>
  <c r="N109" i="1"/>
  <c r="G109" i="1"/>
  <c r="J109" i="1" s="1"/>
  <c r="N108" i="1"/>
  <c r="J108" i="1"/>
  <c r="G108" i="1"/>
  <c r="K108" i="1" s="1"/>
  <c r="N107" i="1"/>
  <c r="O107" i="1" s="1"/>
  <c r="K107" i="1"/>
  <c r="G107" i="1"/>
  <c r="J107" i="1" s="1"/>
  <c r="N106" i="1"/>
  <c r="J106" i="1"/>
  <c r="G106" i="1"/>
  <c r="K106" i="1" s="1"/>
  <c r="N105" i="1"/>
  <c r="O105" i="1" s="1"/>
  <c r="G105" i="1"/>
  <c r="N104" i="1"/>
  <c r="O104" i="1" s="1"/>
  <c r="J104" i="1"/>
  <c r="G104" i="1"/>
  <c r="K104" i="1" s="1"/>
  <c r="N103" i="1"/>
  <c r="K103" i="1"/>
  <c r="G103" i="1"/>
  <c r="J103" i="1" s="1"/>
  <c r="N102" i="1"/>
  <c r="G102" i="1"/>
  <c r="J102" i="1" s="1"/>
  <c r="N101" i="1"/>
  <c r="G101" i="1"/>
  <c r="K101" i="1" s="1"/>
  <c r="N100" i="1"/>
  <c r="O100" i="1" s="1"/>
  <c r="G100" i="1"/>
  <c r="N99" i="1"/>
  <c r="K99" i="1"/>
  <c r="J99" i="1"/>
  <c r="G99" i="1"/>
  <c r="N98" i="1"/>
  <c r="G98" i="1"/>
  <c r="K98" i="1" s="1"/>
  <c r="N97" i="1"/>
  <c r="K97" i="1"/>
  <c r="G97" i="1"/>
  <c r="J97" i="1" s="1"/>
  <c r="N96" i="1"/>
  <c r="J96" i="1"/>
  <c r="G96" i="1"/>
  <c r="K96" i="1" s="1"/>
  <c r="N95" i="1"/>
  <c r="G95" i="1"/>
  <c r="J95" i="1" s="1"/>
  <c r="N94" i="1"/>
  <c r="O94" i="1" s="1"/>
  <c r="G94" i="1"/>
  <c r="K94" i="1" s="1"/>
  <c r="N93" i="1"/>
  <c r="K93" i="1"/>
  <c r="G93" i="1"/>
  <c r="J93" i="1" s="1"/>
  <c r="O92" i="1"/>
  <c r="N92" i="1"/>
  <c r="K92" i="1"/>
  <c r="J92" i="1"/>
  <c r="G92" i="1"/>
  <c r="N91" i="1"/>
  <c r="O91" i="1" s="1"/>
  <c r="G91" i="1"/>
  <c r="K91" i="1" s="1"/>
  <c r="N90" i="1"/>
  <c r="K90" i="1"/>
  <c r="J90" i="1"/>
  <c r="G90" i="1"/>
  <c r="N89" i="1"/>
  <c r="G89" i="1"/>
  <c r="N88" i="1"/>
  <c r="J88" i="1"/>
  <c r="G88" i="1"/>
  <c r="K88" i="1" s="1"/>
  <c r="N87" i="1"/>
  <c r="O87" i="1" s="1"/>
  <c r="K87" i="1"/>
  <c r="G87" i="1"/>
  <c r="J87" i="1" s="1"/>
  <c r="N86" i="1"/>
  <c r="G86" i="1"/>
  <c r="N85" i="1"/>
  <c r="G85" i="1"/>
  <c r="J85" i="1" s="1"/>
  <c r="O84" i="1"/>
  <c r="N84" i="1"/>
  <c r="K84" i="1"/>
  <c r="G84" i="1"/>
  <c r="J84" i="1" s="1"/>
  <c r="N83" i="1"/>
  <c r="K83" i="1"/>
  <c r="J83" i="1"/>
  <c r="G83" i="1"/>
  <c r="N82" i="1"/>
  <c r="K82" i="1"/>
  <c r="J82" i="1"/>
  <c r="G82" i="1"/>
  <c r="N81" i="1"/>
  <c r="O81" i="1" s="1"/>
  <c r="K81" i="1"/>
  <c r="G81" i="1"/>
  <c r="J81" i="1" s="1"/>
  <c r="N80" i="1"/>
  <c r="K80" i="1"/>
  <c r="J80" i="1"/>
  <c r="G80" i="1"/>
  <c r="N79" i="1"/>
  <c r="K79" i="1"/>
  <c r="G79" i="1"/>
  <c r="J79" i="1" s="1"/>
  <c r="N78" i="1"/>
  <c r="G78" i="1"/>
  <c r="K78" i="1" s="1"/>
  <c r="O77" i="1"/>
  <c r="N77" i="1"/>
  <c r="K77" i="1"/>
  <c r="G77" i="1"/>
  <c r="J77" i="1" s="1"/>
  <c r="N76" i="1"/>
  <c r="J76" i="1"/>
  <c r="G76" i="1"/>
  <c r="K76" i="1" s="1"/>
  <c r="N75" i="1"/>
  <c r="O75" i="1" s="1"/>
  <c r="G75" i="1"/>
  <c r="K75" i="1" s="1"/>
  <c r="N74" i="1"/>
  <c r="O74" i="1" s="1"/>
  <c r="K74" i="1"/>
  <c r="J74" i="1"/>
  <c r="G74" i="1"/>
  <c r="N73" i="1"/>
  <c r="G73" i="1"/>
  <c r="K73" i="1" s="1"/>
  <c r="N72" i="1"/>
  <c r="K72" i="1"/>
  <c r="J72" i="1"/>
  <c r="G72" i="1"/>
  <c r="N71" i="1"/>
  <c r="O71" i="1" s="1"/>
  <c r="G71" i="1"/>
  <c r="K71" i="1" s="1"/>
  <c r="N70" i="1"/>
  <c r="G70" i="1"/>
  <c r="N69" i="1"/>
  <c r="O69" i="1" s="1"/>
  <c r="G69" i="1"/>
  <c r="J69" i="1" s="1"/>
  <c r="N68" i="1"/>
  <c r="G68" i="1"/>
  <c r="J68" i="1" s="1"/>
  <c r="N67" i="1"/>
  <c r="O67" i="1" s="1"/>
  <c r="K67" i="1"/>
  <c r="J67" i="1"/>
  <c r="G67" i="1"/>
  <c r="O66" i="1"/>
  <c r="N66" i="1"/>
  <c r="J66" i="1"/>
  <c r="G66" i="1"/>
  <c r="K66" i="1" s="1"/>
  <c r="N65" i="1"/>
  <c r="O65" i="1" s="1"/>
  <c r="G65" i="1"/>
  <c r="K65" i="1" s="1"/>
  <c r="N64" i="1"/>
  <c r="O64" i="1" s="1"/>
  <c r="K64" i="1"/>
  <c r="J64" i="1"/>
  <c r="G64" i="1"/>
  <c r="N63" i="1"/>
  <c r="K63" i="1"/>
  <c r="G63" i="1"/>
  <c r="J63" i="1" s="1"/>
  <c r="N62" i="1"/>
  <c r="K62" i="1"/>
  <c r="J62" i="1"/>
  <c r="G62" i="1"/>
  <c r="N61" i="1"/>
  <c r="G61" i="1"/>
  <c r="K61" i="1" s="1"/>
  <c r="N60" i="1"/>
  <c r="K60" i="1"/>
  <c r="J60" i="1"/>
  <c r="G60" i="1"/>
  <c r="N59" i="1"/>
  <c r="J59" i="1"/>
  <c r="G59" i="1"/>
  <c r="K59" i="1" s="1"/>
  <c r="N58" i="1"/>
  <c r="K58" i="1"/>
  <c r="G58" i="1"/>
  <c r="J58" i="1" s="1"/>
  <c r="N57" i="1"/>
  <c r="O57" i="1" s="1"/>
  <c r="G57" i="1"/>
  <c r="N56" i="1"/>
  <c r="K56" i="1"/>
  <c r="G56" i="1"/>
  <c r="J56" i="1" s="1"/>
  <c r="N55" i="1"/>
  <c r="G55" i="1"/>
  <c r="K55" i="1" s="1"/>
  <c r="N54" i="1"/>
  <c r="O54" i="1" s="1"/>
  <c r="K54" i="1"/>
  <c r="G54" i="1"/>
  <c r="J54" i="1" s="1"/>
  <c r="N53" i="1"/>
  <c r="J53" i="1"/>
  <c r="G53" i="1"/>
  <c r="K53" i="1" s="1"/>
  <c r="N52" i="1"/>
  <c r="O52" i="1" s="1"/>
  <c r="G52" i="1"/>
  <c r="K52" i="1" s="1"/>
  <c r="N51" i="1"/>
  <c r="O51" i="1" s="1"/>
  <c r="K51" i="1"/>
  <c r="J51" i="1"/>
  <c r="G51" i="1"/>
  <c r="N50" i="1"/>
  <c r="O50" i="1" s="1"/>
  <c r="G50" i="1"/>
  <c r="N49" i="1"/>
  <c r="K49" i="1"/>
  <c r="G49" i="1"/>
  <c r="J49" i="1" s="1"/>
  <c r="N48" i="1"/>
  <c r="K48" i="1"/>
  <c r="J48" i="1"/>
  <c r="G48" i="1"/>
  <c r="N47" i="1"/>
  <c r="K47" i="1"/>
  <c r="G47" i="1"/>
  <c r="J47" i="1" s="1"/>
  <c r="N46" i="1"/>
  <c r="K46" i="1"/>
  <c r="J46" i="1"/>
  <c r="G46" i="1"/>
  <c r="N45" i="1"/>
  <c r="O45" i="1" s="1"/>
  <c r="J45" i="1"/>
  <c r="G45" i="1"/>
  <c r="K45" i="1" s="1"/>
  <c r="N44" i="1"/>
  <c r="K44" i="1"/>
  <c r="J44" i="1"/>
  <c r="G44" i="1"/>
  <c r="N43" i="1"/>
  <c r="G43" i="1"/>
  <c r="K43" i="1" s="1"/>
  <c r="N42" i="1"/>
  <c r="K42" i="1"/>
  <c r="J42" i="1"/>
  <c r="G42" i="1"/>
  <c r="N41" i="1"/>
  <c r="G41" i="1"/>
  <c r="N40" i="1"/>
  <c r="G40" i="1"/>
  <c r="J40" i="1" s="1"/>
  <c r="N39" i="1"/>
  <c r="G39" i="1"/>
  <c r="K39" i="1" s="1"/>
  <c r="N38" i="1"/>
  <c r="K38" i="1"/>
  <c r="G38" i="1"/>
  <c r="J38" i="1" s="1"/>
  <c r="N37" i="1"/>
  <c r="J37" i="1"/>
  <c r="G37" i="1"/>
  <c r="K37" i="1" s="1"/>
  <c r="N36" i="1"/>
  <c r="O36" i="1" s="1"/>
  <c r="J36" i="1"/>
  <c r="G36" i="1"/>
  <c r="K36" i="1" s="1"/>
  <c r="N35" i="1"/>
  <c r="K35" i="1"/>
  <c r="J35" i="1"/>
  <c r="G35" i="1"/>
  <c r="N34" i="1"/>
  <c r="G34" i="1"/>
  <c r="N33" i="1"/>
  <c r="O33" i="1" s="1"/>
  <c r="G33" i="1"/>
  <c r="J33" i="1" s="1"/>
  <c r="N32" i="1"/>
  <c r="O32" i="1" s="1"/>
  <c r="G32" i="1"/>
  <c r="K32" i="1" s="1"/>
  <c r="N31" i="1"/>
  <c r="K31" i="1"/>
  <c r="G31" i="1"/>
  <c r="J31" i="1" s="1"/>
  <c r="N30" i="1"/>
  <c r="K30" i="1"/>
  <c r="J30" i="1"/>
  <c r="G30" i="1"/>
  <c r="O29" i="1"/>
  <c r="N29" i="1"/>
  <c r="K29" i="1"/>
  <c r="G29" i="1"/>
  <c r="J29" i="1" s="1"/>
  <c r="N28" i="1"/>
  <c r="K28" i="1"/>
  <c r="J28" i="1"/>
  <c r="G28" i="1"/>
  <c r="N27" i="1"/>
  <c r="K27" i="1"/>
  <c r="J27" i="1"/>
  <c r="N26" i="1"/>
  <c r="K26" i="1"/>
  <c r="J26" i="1"/>
  <c r="G26" i="1"/>
  <c r="O25" i="1"/>
  <c r="N25" i="1"/>
  <c r="K25" i="1"/>
  <c r="G25" i="1"/>
  <c r="N24" i="1"/>
  <c r="G24" i="1"/>
  <c r="N23" i="1"/>
  <c r="K23" i="1"/>
  <c r="G23" i="1"/>
  <c r="J23" i="1" s="1"/>
  <c r="N22" i="1"/>
  <c r="O22" i="1" s="1"/>
  <c r="G22" i="1"/>
  <c r="K22" i="1" s="1"/>
  <c r="N21" i="1"/>
  <c r="O21" i="1" s="1"/>
  <c r="K21" i="1"/>
  <c r="G21" i="1"/>
  <c r="J21" i="1" s="1"/>
  <c r="N20" i="1"/>
  <c r="K20" i="1"/>
  <c r="J20" i="1"/>
  <c r="G20" i="1"/>
  <c r="N19" i="1"/>
  <c r="O19" i="1" s="1"/>
  <c r="G19" i="1"/>
  <c r="K19" i="1" s="1"/>
  <c r="N18" i="1"/>
  <c r="K18" i="1"/>
  <c r="J18" i="1"/>
  <c r="G18" i="1"/>
  <c r="N17" i="1"/>
  <c r="O17" i="1" s="1"/>
  <c r="G17" i="1"/>
  <c r="K17" i="1" s="1"/>
  <c r="N16" i="1"/>
  <c r="K16" i="1"/>
  <c r="J16" i="1"/>
  <c r="G16" i="1"/>
  <c r="N15" i="1"/>
  <c r="G15" i="1"/>
  <c r="N14" i="1"/>
  <c r="G14" i="1"/>
  <c r="J14" i="1" s="1"/>
  <c r="N13" i="1"/>
  <c r="K13" i="1"/>
  <c r="J13" i="1"/>
  <c r="G13" i="1"/>
  <c r="N12" i="1"/>
  <c r="O12" i="1" s="1"/>
  <c r="K12" i="1"/>
  <c r="G12" i="1"/>
  <c r="J12" i="1" s="1"/>
  <c r="N11" i="1"/>
  <c r="J11" i="1"/>
  <c r="G11" i="1"/>
  <c r="K11" i="1" s="1"/>
  <c r="N10" i="1"/>
  <c r="O10" i="1" s="1"/>
  <c r="G10" i="1"/>
  <c r="K10" i="1" s="1"/>
  <c r="O9" i="1"/>
  <c r="N9" i="1"/>
  <c r="O224" i="1" s="1"/>
  <c r="K9" i="1"/>
  <c r="J9" i="1"/>
  <c r="G9" i="1"/>
  <c r="N8" i="1"/>
  <c r="G8" i="1"/>
  <c r="N7" i="1"/>
  <c r="G7" i="1"/>
  <c r="J7" i="1" s="1"/>
  <c r="N6" i="1"/>
  <c r="O28" i="1" s="1"/>
  <c r="G6" i="1"/>
  <c r="J6" i="1" s="1"/>
  <c r="N5" i="1"/>
  <c r="O5" i="1" s="1"/>
  <c r="K5" i="1"/>
  <c r="G5" i="1"/>
  <c r="J5" i="1" s="1"/>
  <c r="O4" i="1"/>
  <c r="N4" i="1"/>
  <c r="K4" i="1"/>
  <c r="J4" i="1"/>
  <c r="G4" i="1"/>
  <c r="N3" i="1"/>
  <c r="O233" i="1" s="1"/>
  <c r="K3" i="1"/>
  <c r="G3" i="1"/>
  <c r="J3" i="1" s="1"/>
  <c r="N2" i="1"/>
  <c r="K2" i="1"/>
  <c r="J2" i="1"/>
  <c r="G2" i="1"/>
  <c r="O41" i="1" l="1"/>
  <c r="O53" i="1"/>
  <c r="O112" i="1"/>
  <c r="O133" i="1"/>
  <c r="O146" i="1"/>
  <c r="O176" i="1"/>
  <c r="O190" i="1"/>
  <c r="O198" i="1"/>
  <c r="O226" i="1"/>
  <c r="O259" i="1"/>
  <c r="O264" i="1"/>
  <c r="O269" i="1"/>
  <c r="O273" i="1"/>
  <c r="O279" i="1"/>
  <c r="O14" i="3"/>
  <c r="O150" i="3"/>
  <c r="O61" i="1"/>
  <c r="K33" i="1"/>
  <c r="O37" i="1"/>
  <c r="O49" i="1"/>
  <c r="K69" i="1"/>
  <c r="O73" i="1"/>
  <c r="O88" i="1"/>
  <c r="O96" i="1"/>
  <c r="O108" i="1"/>
  <c r="O129" i="1"/>
  <c r="K159" i="1"/>
  <c r="O163" i="1"/>
  <c r="K199" i="1"/>
  <c r="J199" i="1"/>
  <c r="O203" i="1"/>
  <c r="O231" i="1"/>
  <c r="O240" i="1"/>
  <c r="O284" i="1"/>
  <c r="O293" i="1"/>
  <c r="K298" i="1"/>
  <c r="O308" i="1"/>
  <c r="O237" i="3"/>
  <c r="O9" i="3"/>
  <c r="K61" i="3"/>
  <c r="O172" i="3"/>
  <c r="O89" i="1"/>
  <c r="J101" i="1"/>
  <c r="K109" i="1"/>
  <c r="O113" i="1"/>
  <c r="O142" i="1"/>
  <c r="K155" i="1"/>
  <c r="J164" i="1"/>
  <c r="O181" i="1"/>
  <c r="O186" i="1"/>
  <c r="K204" i="1"/>
  <c r="O213" i="1"/>
  <c r="O232" i="1"/>
  <c r="K241" i="1"/>
  <c r="O260" i="1"/>
  <c r="O270" i="1"/>
  <c r="O274" i="1"/>
  <c r="O280" i="1"/>
  <c r="O303" i="1"/>
  <c r="O3" i="3"/>
  <c r="O102" i="3"/>
  <c r="K118" i="3"/>
  <c r="J118" i="3"/>
  <c r="K134" i="3"/>
  <c r="O168" i="3"/>
  <c r="O34" i="1"/>
  <c r="O42" i="1"/>
  <c r="J78" i="1"/>
  <c r="K85" i="1"/>
  <c r="O109" i="1"/>
  <c r="O138" i="1"/>
  <c r="O155" i="1"/>
  <c r="O168" i="1"/>
  <c r="O173" i="1"/>
  <c r="O191" i="1"/>
  <c r="K214" i="1"/>
  <c r="J214" i="1"/>
  <c r="O223" i="1"/>
  <c r="O227" i="1"/>
  <c r="K251" i="1"/>
  <c r="J275" i="1"/>
  <c r="K275" i="1"/>
  <c r="O76" i="3"/>
  <c r="O156" i="3"/>
  <c r="O184" i="3"/>
  <c r="K34" i="1"/>
  <c r="J34" i="1"/>
  <c r="J10" i="1"/>
  <c r="O62" i="1"/>
  <c r="O101" i="1"/>
  <c r="K110" i="1"/>
  <c r="J110" i="1"/>
  <c r="K156" i="1"/>
  <c r="J156" i="1"/>
  <c r="O177" i="1"/>
  <c r="O195" i="1"/>
  <c r="O200" i="1"/>
  <c r="O214" i="1"/>
  <c r="O241" i="1"/>
  <c r="O294" i="1"/>
  <c r="O36" i="3"/>
  <c r="O46" i="3"/>
  <c r="O72" i="3"/>
  <c r="O91" i="3"/>
  <c r="O145" i="3"/>
  <c r="O179" i="3"/>
  <c r="O2" i="1"/>
  <c r="K6" i="1"/>
  <c r="O59" i="1"/>
  <c r="O143" i="1"/>
  <c r="J148" i="1"/>
  <c r="K169" i="1"/>
  <c r="J174" i="1"/>
  <c r="K205" i="1"/>
  <c r="O251" i="1"/>
  <c r="O266" i="1"/>
  <c r="O290" i="1"/>
  <c r="O310" i="1"/>
  <c r="O123" i="3"/>
  <c r="K146" i="3"/>
  <c r="J146" i="3"/>
  <c r="O152" i="3"/>
  <c r="O201" i="3"/>
  <c r="K130" i="1"/>
  <c r="J130" i="1"/>
  <c r="O26" i="1"/>
  <c r="O97" i="1"/>
  <c r="O126" i="1"/>
  <c r="O30" i="1"/>
  <c r="J39" i="1"/>
  <c r="O78" i="1"/>
  <c r="J94" i="1"/>
  <c r="K102" i="1"/>
  <c r="O118" i="1"/>
  <c r="O139" i="1"/>
  <c r="O196" i="1"/>
  <c r="O237" i="1"/>
  <c r="O256" i="1"/>
  <c r="O261" i="1"/>
  <c r="O271" i="1"/>
  <c r="O276" i="1"/>
  <c r="O281" i="1"/>
  <c r="O286" i="1"/>
  <c r="O304" i="1"/>
  <c r="O316" i="1"/>
  <c r="K5" i="3"/>
  <c r="J5" i="3"/>
  <c r="O16" i="3"/>
  <c r="O21" i="3"/>
  <c r="O163" i="3"/>
  <c r="K89" i="1"/>
  <c r="J89" i="1"/>
  <c r="K105" i="1"/>
  <c r="J105" i="1"/>
  <c r="O314" i="1"/>
  <c r="O70" i="1"/>
  <c r="O14" i="1"/>
  <c r="J43" i="1"/>
  <c r="O46" i="1"/>
  <c r="J55" i="1"/>
  <c r="J86" i="1"/>
  <c r="K86" i="1"/>
  <c r="O122" i="1"/>
  <c r="K131" i="1"/>
  <c r="J135" i="1"/>
  <c r="K139" i="1"/>
  <c r="K15" i="1"/>
  <c r="J15" i="1"/>
  <c r="J19" i="1"/>
  <c r="O43" i="1"/>
  <c r="J71" i="1"/>
  <c r="J98" i="1"/>
  <c r="O160" i="1"/>
  <c r="O205" i="1"/>
  <c r="O242" i="1"/>
  <c r="O6" i="1"/>
  <c r="O27" i="1"/>
  <c r="J75" i="1"/>
  <c r="O86" i="1"/>
  <c r="O90" i="1"/>
  <c r="O106" i="1"/>
  <c r="K165" i="1"/>
  <c r="O192" i="1"/>
  <c r="O215" i="1"/>
  <c r="K305" i="1"/>
  <c r="J305" i="1"/>
  <c r="O47" i="3"/>
  <c r="O69" i="3"/>
  <c r="O65" i="3"/>
  <c r="O43" i="3"/>
  <c r="O20" i="3"/>
  <c r="O2" i="3"/>
  <c r="O154" i="3"/>
  <c r="O5" i="3"/>
  <c r="O60" i="3"/>
  <c r="O53" i="3"/>
  <c r="O45" i="3"/>
  <c r="O34" i="3"/>
  <c r="O30" i="3"/>
  <c r="O26" i="3"/>
  <c r="O15" i="3"/>
  <c r="O8" i="3"/>
  <c r="O22" i="3"/>
  <c r="O4" i="3"/>
  <c r="O68" i="3"/>
  <c r="J88" i="3"/>
  <c r="K88" i="3"/>
  <c r="O141" i="3"/>
  <c r="O268" i="3"/>
  <c r="O298" i="1"/>
  <c r="O13" i="1"/>
  <c r="O148" i="1"/>
  <c r="O174" i="1"/>
  <c r="O305" i="1"/>
  <c r="O32" i="3"/>
  <c r="K54" i="3"/>
  <c r="O83" i="3"/>
  <c r="K99" i="3"/>
  <c r="J99" i="3"/>
  <c r="K114" i="3"/>
  <c r="O147" i="3"/>
  <c r="K159" i="3"/>
  <c r="J159" i="3"/>
  <c r="O175" i="3"/>
  <c r="O191" i="3"/>
  <c r="J70" i="1"/>
  <c r="K70" i="1"/>
  <c r="J22" i="1"/>
  <c r="K14" i="1"/>
  <c r="O18" i="1"/>
  <c r="O38" i="1"/>
  <c r="O85" i="1"/>
  <c r="O82" i="1"/>
  <c r="O102" i="1"/>
  <c r="O140" i="1"/>
  <c r="O206" i="1"/>
  <c r="O210" i="1"/>
  <c r="O247" i="1"/>
  <c r="O262" i="1"/>
  <c r="O282" i="1"/>
  <c r="K6" i="3"/>
  <c r="J6" i="3"/>
  <c r="O309" i="1"/>
  <c r="O299" i="1"/>
  <c r="O289" i="1"/>
  <c r="O166" i="1"/>
  <c r="O136" i="1"/>
  <c r="O246" i="1"/>
  <c r="O209" i="1"/>
  <c r="O219" i="1"/>
  <c r="O295" i="1"/>
  <c r="O285" i="1"/>
  <c r="O275" i="1"/>
  <c r="O235" i="1"/>
  <c r="O182" i="1"/>
  <c r="O265" i="1"/>
  <c r="O255" i="1"/>
  <c r="O245" i="1"/>
  <c r="O225" i="1"/>
  <c r="O185" i="1"/>
  <c r="O315" i="1"/>
  <c r="O311" i="1"/>
  <c r="O201" i="1"/>
  <c r="O297" i="1"/>
  <c r="O306" i="1"/>
  <c r="O263" i="1"/>
  <c r="O253" i="1"/>
  <c r="O243" i="1"/>
  <c r="K7" i="1"/>
  <c r="O11" i="1"/>
  <c r="O23" i="1"/>
  <c r="O31" i="1"/>
  <c r="O39" i="1"/>
  <c r="J52" i="1"/>
  <c r="J91" i="1"/>
  <c r="O98" i="1"/>
  <c r="O119" i="1"/>
  <c r="K166" i="1"/>
  <c r="J166" i="1"/>
  <c r="J188" i="1"/>
  <c r="J211" i="1"/>
  <c r="K211" i="1"/>
  <c r="O216" i="1"/>
  <c r="K234" i="1"/>
  <c r="O238" i="1"/>
  <c r="O267" i="1"/>
  <c r="O291" i="1"/>
  <c r="K301" i="1"/>
  <c r="O6" i="3"/>
  <c r="O99" i="3"/>
  <c r="O120" i="3"/>
  <c r="O159" i="3"/>
  <c r="K176" i="3"/>
  <c r="J176" i="3"/>
  <c r="O199" i="1"/>
  <c r="O58" i="1"/>
  <c r="O144" i="1"/>
  <c r="O161" i="1"/>
  <c r="K175" i="1"/>
  <c r="O188" i="1"/>
  <c r="J202" i="1"/>
  <c r="O211" i="1"/>
  <c r="O257" i="1"/>
  <c r="O272" i="1"/>
  <c r="O277" i="1"/>
  <c r="O287" i="1"/>
  <c r="O296" i="1"/>
  <c r="O312" i="1"/>
  <c r="O12" i="3"/>
  <c r="O17" i="3"/>
  <c r="O33" i="3"/>
  <c r="O131" i="3"/>
  <c r="O194" i="1"/>
  <c r="K232" i="1"/>
  <c r="J232" i="1"/>
  <c r="O15" i="1"/>
  <c r="O47" i="1"/>
  <c r="O165" i="1"/>
  <c r="O220" i="1"/>
  <c r="O60" i="1"/>
  <c r="O24" i="1"/>
  <c r="K40" i="1"/>
  <c r="O149" i="1"/>
  <c r="J158" i="1"/>
  <c r="O197" i="1"/>
  <c r="O202" i="1"/>
  <c r="O221" i="1"/>
  <c r="O234" i="1"/>
  <c r="O248" i="1"/>
  <c r="K278" i="1"/>
  <c r="J278" i="1"/>
  <c r="O292" i="1"/>
  <c r="O301" i="1"/>
  <c r="O7" i="3"/>
  <c r="K39" i="3"/>
  <c r="J39" i="3"/>
  <c r="O74" i="3"/>
  <c r="O109" i="3"/>
  <c r="O137" i="3"/>
  <c r="O220" i="3"/>
  <c r="O93" i="1"/>
  <c r="O55" i="1"/>
  <c r="O115" i="1"/>
  <c r="O179" i="1"/>
  <c r="K189" i="1"/>
  <c r="J189" i="1"/>
  <c r="O40" i="1"/>
  <c r="K57" i="1"/>
  <c r="J57" i="1"/>
  <c r="J61" i="1"/>
  <c r="K68" i="1"/>
  <c r="O83" i="1"/>
  <c r="O95" i="1"/>
  <c r="K116" i="1"/>
  <c r="J116" i="1"/>
  <c r="O132" i="1"/>
  <c r="K145" i="1"/>
  <c r="J162" i="1"/>
  <c r="O189" i="1"/>
  <c r="O193" i="1"/>
  <c r="J212" i="1"/>
  <c r="K254" i="1"/>
  <c r="K258" i="1"/>
  <c r="O278" i="1"/>
  <c r="J307" i="1"/>
  <c r="K307" i="1"/>
  <c r="O23" i="3"/>
  <c r="O44" i="3"/>
  <c r="O64" i="3"/>
  <c r="O89" i="3"/>
  <c r="O126" i="3"/>
  <c r="O160" i="3"/>
  <c r="O182" i="3"/>
  <c r="O259" i="3"/>
  <c r="K50" i="1"/>
  <c r="J50" i="1"/>
  <c r="O159" i="1"/>
  <c r="O250" i="1"/>
  <c r="O3" i="1"/>
  <c r="K24" i="1"/>
  <c r="J24" i="1"/>
  <c r="O111" i="1"/>
  <c r="K120" i="1"/>
  <c r="J120" i="1"/>
  <c r="K8" i="1"/>
  <c r="J8" i="1"/>
  <c r="J32" i="1"/>
  <c r="O103" i="1"/>
  <c r="O8" i="1"/>
  <c r="O16" i="1"/>
  <c r="O48" i="1"/>
  <c r="O76" i="1"/>
  <c r="O99" i="1"/>
  <c r="O116" i="1"/>
  <c r="O124" i="1"/>
  <c r="O128" i="1"/>
  <c r="O141" i="1"/>
  <c r="O145" i="1"/>
  <c r="O162" i="1"/>
  <c r="O171" i="1"/>
  <c r="O184" i="1"/>
  <c r="O207" i="1"/>
  <c r="O212" i="1"/>
  <c r="O230" i="1"/>
  <c r="O244" i="1"/>
  <c r="O258" i="1"/>
  <c r="O307" i="1"/>
  <c r="K24" i="3"/>
  <c r="J24" i="3"/>
  <c r="K50" i="3"/>
  <c r="J50" i="3"/>
  <c r="J65" i="3"/>
  <c r="K65" i="3"/>
  <c r="O149" i="3"/>
  <c r="O166" i="3"/>
  <c r="O153" i="1"/>
  <c r="O35" i="1"/>
  <c r="O123" i="1"/>
  <c r="O127" i="1"/>
  <c r="O152" i="1"/>
  <c r="O178" i="1"/>
  <c r="O183" i="1"/>
  <c r="O7" i="1"/>
  <c r="O44" i="1"/>
  <c r="O56" i="1"/>
  <c r="K95" i="1"/>
  <c r="O175" i="1"/>
  <c r="K41" i="1"/>
  <c r="J41" i="1"/>
  <c r="O283" i="1"/>
  <c r="O302" i="1"/>
  <c r="J17" i="1"/>
  <c r="O20" i="1"/>
  <c r="J65" i="1"/>
  <c r="O68" i="1"/>
  <c r="O72" i="1"/>
  <c r="O80" i="1"/>
  <c r="K100" i="1"/>
  <c r="J100" i="1"/>
  <c r="J121" i="1"/>
  <c r="O137" i="1"/>
  <c r="K146" i="1"/>
  <c r="J146" i="1"/>
  <c r="O150" i="1"/>
  <c r="O158" i="1"/>
  <c r="O217" i="1"/>
  <c r="O222" i="1"/>
  <c r="O254" i="1"/>
  <c r="O288" i="1"/>
  <c r="O50" i="3"/>
  <c r="K80" i="3"/>
  <c r="O95" i="3"/>
  <c r="K106" i="3"/>
  <c r="K167" i="3"/>
  <c r="J167" i="3"/>
  <c r="J94" i="3"/>
  <c r="K94" i="3"/>
  <c r="O101" i="3"/>
  <c r="K125" i="3"/>
  <c r="J125" i="3"/>
  <c r="O153" i="3"/>
  <c r="O197" i="3"/>
  <c r="K222" i="3"/>
  <c r="J222" i="3"/>
  <c r="O236" i="3"/>
  <c r="O251" i="3"/>
  <c r="O75" i="3"/>
  <c r="O86" i="3"/>
  <c r="O90" i="3"/>
  <c r="O121" i="3"/>
  <c r="O129" i="3"/>
  <c r="J141" i="3"/>
  <c r="J149" i="3"/>
  <c r="K158" i="3"/>
  <c r="J158" i="3"/>
  <c r="O188" i="3"/>
  <c r="K198" i="3"/>
  <c r="J198" i="3"/>
  <c r="K212" i="3"/>
  <c r="J256" i="3"/>
  <c r="K256" i="3"/>
  <c r="O300" i="1"/>
  <c r="J23" i="3"/>
  <c r="O38" i="3"/>
  <c r="O42" i="3"/>
  <c r="O49" i="3"/>
  <c r="O79" i="3"/>
  <c r="O94" i="3"/>
  <c r="O105" i="3"/>
  <c r="O113" i="3"/>
  <c r="O117" i="3"/>
  <c r="O125" i="3"/>
  <c r="O133" i="3"/>
  <c r="O170" i="3"/>
  <c r="O212" i="3"/>
  <c r="O241" i="3"/>
  <c r="O203" i="3"/>
  <c r="K213" i="3"/>
  <c r="J213" i="3"/>
  <c r="O217" i="3"/>
  <c r="K242" i="3"/>
  <c r="J242" i="3"/>
  <c r="O204" i="1"/>
  <c r="O98" i="3"/>
  <c r="O162" i="3"/>
  <c r="O208" i="3"/>
  <c r="O213" i="3"/>
  <c r="J218" i="3"/>
  <c r="K218" i="3"/>
  <c r="O232" i="3"/>
  <c r="O242" i="3"/>
  <c r="O246" i="3"/>
  <c r="O252" i="3"/>
  <c r="K272" i="3"/>
  <c r="O167" i="3"/>
  <c r="O199" i="3"/>
  <c r="K204" i="3"/>
  <c r="O223" i="3"/>
  <c r="J247" i="3"/>
  <c r="K247" i="3"/>
  <c r="O272" i="3"/>
  <c r="O303" i="3"/>
  <c r="O293" i="3"/>
  <c r="O171" i="3"/>
  <c r="O302" i="3"/>
  <c r="O295" i="3"/>
  <c r="O301" i="3"/>
  <c r="O294" i="3"/>
  <c r="O262" i="3"/>
  <c r="O177" i="3"/>
  <c r="O279" i="3"/>
  <c r="O253" i="3"/>
  <c r="O231" i="3"/>
  <c r="O202" i="3"/>
  <c r="O198" i="3"/>
  <c r="O169" i="3"/>
  <c r="O270" i="3"/>
  <c r="O210" i="3"/>
  <c r="O161" i="3"/>
  <c r="O146" i="3"/>
  <c r="O118" i="3"/>
  <c r="O80" i="3"/>
  <c r="O73" i="3"/>
  <c r="O66" i="3"/>
  <c r="O59" i="3"/>
  <c r="O287" i="3"/>
  <c r="O239" i="3"/>
  <c r="O193" i="3"/>
  <c r="O24" i="3"/>
  <c r="O218" i="3"/>
  <c r="O278" i="3"/>
  <c r="O261" i="3"/>
  <c r="O230" i="3"/>
  <c r="O226" i="3"/>
  <c r="O247" i="3"/>
  <c r="O286" i="3"/>
  <c r="O269" i="3"/>
  <c r="O255" i="3"/>
  <c r="O192" i="3"/>
  <c r="O277" i="3"/>
  <c r="O285" i="3"/>
  <c r="O271" i="3"/>
  <c r="O245" i="3"/>
  <c r="O31" i="3"/>
  <c r="O39" i="3"/>
  <c r="O122" i="3"/>
  <c r="O130" i="3"/>
  <c r="O138" i="3"/>
  <c r="J163" i="3"/>
  <c r="O180" i="3"/>
  <c r="K233" i="3"/>
  <c r="J243" i="3"/>
  <c r="J273" i="3"/>
  <c r="K273" i="3"/>
  <c r="O284" i="3"/>
  <c r="O13" i="3"/>
  <c r="O54" i="3"/>
  <c r="O61" i="3"/>
  <c r="K81" i="3"/>
  <c r="J81" i="3"/>
  <c r="O106" i="3"/>
  <c r="O110" i="3"/>
  <c r="O114" i="3"/>
  <c r="O134" i="3"/>
  <c r="O142" i="3"/>
  <c r="O176" i="3"/>
  <c r="O185" i="3"/>
  <c r="O194" i="3"/>
  <c r="O204" i="3"/>
  <c r="O228" i="3"/>
  <c r="O233" i="3"/>
  <c r="O300" i="3"/>
  <c r="O268" i="1"/>
  <c r="O84" i="3"/>
  <c r="O88" i="3"/>
  <c r="O119" i="3"/>
  <c r="O151" i="3"/>
  <c r="K205" i="3"/>
  <c r="J205" i="3"/>
  <c r="O214" i="3"/>
  <c r="O243" i="3"/>
  <c r="O263" i="3"/>
  <c r="O28" i="3"/>
  <c r="J242" i="1"/>
  <c r="J252" i="1"/>
  <c r="J262" i="1"/>
  <c r="J282" i="1"/>
  <c r="J292" i="1"/>
  <c r="J302" i="1"/>
  <c r="K312" i="1"/>
  <c r="J316" i="1"/>
  <c r="J3" i="3"/>
  <c r="J14" i="3"/>
  <c r="J21" i="3"/>
  <c r="J55" i="3"/>
  <c r="O58" i="3"/>
  <c r="O103" i="3"/>
  <c r="J111" i="3"/>
  <c r="O115" i="3"/>
  <c r="J135" i="3"/>
  <c r="K147" i="3"/>
  <c r="J195" i="3"/>
  <c r="O200" i="3"/>
  <c r="O205" i="3"/>
  <c r="O209" i="3"/>
  <c r="J234" i="3"/>
  <c r="O291" i="3"/>
  <c r="O172" i="1"/>
  <c r="O111" i="3"/>
  <c r="O135" i="3"/>
  <c r="O155" i="3"/>
  <c r="O186" i="3"/>
  <c r="K206" i="3"/>
  <c r="J206" i="3"/>
  <c r="O224" i="3"/>
  <c r="O238" i="3"/>
  <c r="O77" i="3"/>
  <c r="O92" i="3"/>
  <c r="O127" i="3"/>
  <c r="O143" i="3"/>
  <c r="J196" i="1"/>
  <c r="J206" i="1"/>
  <c r="O252" i="1"/>
  <c r="K259" i="1"/>
  <c r="J289" i="1"/>
  <c r="J299" i="1"/>
  <c r="J309" i="1"/>
  <c r="J7" i="3"/>
  <c r="O10" i="3"/>
  <c r="K33" i="3"/>
  <c r="J37" i="3"/>
  <c r="J59" i="3"/>
  <c r="O62" i="3"/>
  <c r="O70" i="3"/>
  <c r="J82" i="3"/>
  <c r="J100" i="3"/>
  <c r="J104" i="3"/>
  <c r="O107" i="3"/>
  <c r="J116" i="3"/>
  <c r="O139" i="3"/>
  <c r="K164" i="3"/>
  <c r="O195" i="3"/>
  <c r="O206" i="3"/>
  <c r="O229" i="3"/>
  <c r="K235" i="3"/>
  <c r="J235" i="3"/>
  <c r="O275" i="3"/>
  <c r="O40" i="3"/>
  <c r="O79" i="1"/>
  <c r="J186" i="1"/>
  <c r="J216" i="1"/>
  <c r="J73" i="1"/>
  <c r="O169" i="1"/>
  <c r="J236" i="1"/>
  <c r="J246" i="1"/>
  <c r="J266" i="1"/>
  <c r="J276" i="1"/>
  <c r="J286" i="1"/>
  <c r="J296" i="1"/>
  <c r="J18" i="3"/>
  <c r="K18" i="3"/>
  <c r="O29" i="3"/>
  <c r="J41" i="3"/>
  <c r="J48" i="3"/>
  <c r="O55" i="3"/>
  <c r="K78" i="3"/>
  <c r="O85" i="3"/>
  <c r="J93" i="3"/>
  <c r="J128" i="3"/>
  <c r="K132" i="3"/>
  <c r="J132" i="3"/>
  <c r="O136" i="3"/>
  <c r="K156" i="3"/>
  <c r="O164" i="3"/>
  <c r="O229" i="1"/>
  <c r="O239" i="1"/>
  <c r="O249" i="1"/>
  <c r="J11" i="3"/>
  <c r="J52" i="3"/>
  <c r="K67" i="3"/>
  <c r="J97" i="3"/>
  <c r="O104" i="3"/>
  <c r="K124" i="3"/>
  <c r="O174" i="3"/>
  <c r="O187" i="3"/>
  <c r="O254" i="3"/>
  <c r="O260" i="3"/>
  <c r="J150" i="1"/>
  <c r="J180" i="1"/>
  <c r="O18" i="3"/>
  <c r="O37" i="3"/>
  <c r="O52" i="3"/>
  <c r="O78" i="3"/>
  <c r="O82" i="3"/>
  <c r="O100" i="3"/>
  <c r="O108" i="3"/>
  <c r="O112" i="3"/>
  <c r="O116" i="3"/>
  <c r="O128" i="3"/>
  <c r="O132" i="3"/>
  <c r="J221" i="3"/>
  <c r="O250" i="3"/>
  <c r="O281" i="3"/>
  <c r="O156" i="1"/>
  <c r="O63" i="1"/>
  <c r="J140" i="1"/>
  <c r="J170" i="1"/>
  <c r="J190" i="1"/>
  <c r="J200" i="1"/>
  <c r="O236" i="1"/>
  <c r="O11" i="3"/>
  <c r="J230" i="1"/>
  <c r="O313" i="1"/>
  <c r="K8" i="3"/>
  <c r="O41" i="3"/>
  <c r="O48" i="3"/>
  <c r="O63" i="3"/>
  <c r="O67" i="3"/>
  <c r="O71" i="3"/>
  <c r="O93" i="3"/>
  <c r="O97" i="3"/>
  <c r="O124" i="3"/>
  <c r="O140" i="3"/>
  <c r="O144" i="3"/>
  <c r="O148" i="3"/>
  <c r="K157" i="3"/>
  <c r="J157" i="3"/>
  <c r="O178" i="3"/>
  <c r="O183" i="3"/>
  <c r="K197" i="3"/>
  <c r="J197" i="3"/>
  <c r="O207" i="3"/>
  <c r="O211" i="3"/>
  <c r="O216" i="3"/>
  <c r="O221" i="3"/>
  <c r="O225" i="3"/>
  <c r="K251" i="3"/>
  <c r="J251" i="3"/>
  <c r="O276" i="3"/>
  <c r="O298" i="3"/>
  <c r="C196" i="10"/>
  <c r="C177" i="10"/>
  <c r="C141" i="10"/>
  <c r="O280" i="3"/>
  <c r="K289" i="3"/>
  <c r="J304" i="3"/>
  <c r="K304" i="3"/>
  <c r="C401" i="10"/>
  <c r="C447" i="10"/>
  <c r="C446" i="10"/>
  <c r="C131" i="11"/>
  <c r="C443" i="11"/>
  <c r="C444" i="11" s="1"/>
  <c r="C445" i="11" s="1"/>
  <c r="C464" i="11"/>
  <c r="I464" i="11" s="1"/>
  <c r="O289" i="3"/>
  <c r="O304" i="3"/>
  <c r="C465" i="10"/>
  <c r="I465" i="10" s="1"/>
  <c r="C437" i="10"/>
  <c r="C438" i="10" s="1"/>
  <c r="C439" i="10" s="1"/>
  <c r="C466" i="10" s="1"/>
  <c r="I466" i="10" s="1"/>
  <c r="K290" i="3"/>
  <c r="J290" i="3"/>
  <c r="O299" i="3"/>
  <c r="C134" i="10"/>
  <c r="O290" i="3"/>
  <c r="O305" i="3"/>
  <c r="C361" i="10"/>
  <c r="C343" i="10"/>
  <c r="C345" i="10" s="1"/>
  <c r="C333" i="10"/>
  <c r="C335" i="10" s="1"/>
  <c r="C341" i="10"/>
  <c r="O264" i="3"/>
  <c r="J282" i="3"/>
  <c r="J291" i="3"/>
  <c r="O196" i="3"/>
  <c r="O222" i="3"/>
  <c r="O234" i="3"/>
  <c r="O273" i="3"/>
  <c r="O282" i="3"/>
  <c r="C162" i="10"/>
  <c r="C332" i="10"/>
  <c r="C334" i="10" s="1"/>
  <c r="C340" i="10"/>
  <c r="C360" i="10"/>
  <c r="C342" i="10"/>
  <c r="C344" i="10" s="1"/>
  <c r="C396" i="11"/>
  <c r="K274" i="3"/>
  <c r="J274" i="3"/>
  <c r="K283" i="3"/>
  <c r="J283" i="3"/>
  <c r="C206" i="11"/>
  <c r="C207" i="11" s="1"/>
  <c r="C208" i="11" s="1"/>
  <c r="C226" i="11"/>
  <c r="I226" i="11" s="1"/>
  <c r="C460" i="11"/>
  <c r="I460" i="11" s="1"/>
  <c r="C432" i="11"/>
  <c r="C433" i="11" s="1"/>
  <c r="C434" i="11" s="1"/>
  <c r="C461" i="11" s="1"/>
  <c r="I461" i="11" s="1"/>
  <c r="O235" i="3"/>
  <c r="O265" i="3"/>
  <c r="O274" i="3"/>
  <c r="O283" i="3"/>
  <c r="O296" i="3"/>
  <c r="C116" i="10"/>
  <c r="O256" i="3"/>
  <c r="C315" i="11"/>
  <c r="C316" i="11" s="1"/>
  <c r="C325" i="11" s="1"/>
  <c r="C314" i="11"/>
  <c r="K181" i="3"/>
  <c r="J181" i="3"/>
  <c r="O189" i="3"/>
  <c r="O244" i="3"/>
  <c r="J266" i="3"/>
  <c r="J275" i="3"/>
  <c r="O292" i="3"/>
  <c r="C328" i="11"/>
  <c r="C336" i="11"/>
  <c r="J101" i="3"/>
  <c r="J115" i="3"/>
  <c r="J136" i="3"/>
  <c r="J143" i="3"/>
  <c r="J150" i="3"/>
  <c r="K165" i="3"/>
  <c r="J173" i="3"/>
  <c r="O181" i="3"/>
  <c r="K190" i="3"/>
  <c r="J190" i="3"/>
  <c r="K202" i="3"/>
  <c r="J227" i="3"/>
  <c r="K231" i="3"/>
  <c r="O248" i="3"/>
  <c r="K257" i="3"/>
  <c r="O266" i="3"/>
  <c r="K279" i="3"/>
  <c r="C319" i="11"/>
  <c r="C321" i="11" s="1"/>
  <c r="C352" i="11" s="1"/>
  <c r="O87" i="3"/>
  <c r="O157" i="3"/>
  <c r="O165" i="3"/>
  <c r="O190" i="3"/>
  <c r="O257" i="3"/>
  <c r="K267" i="3"/>
  <c r="J267" i="3"/>
  <c r="O297" i="3"/>
  <c r="O173" i="3"/>
  <c r="O215" i="3"/>
  <c r="O219" i="3"/>
  <c r="O227" i="3"/>
  <c r="K240" i="3"/>
  <c r="K249" i="3"/>
  <c r="K258" i="3"/>
  <c r="J258" i="3"/>
  <c r="O267" i="3"/>
  <c r="K288" i="3"/>
  <c r="C65" i="10"/>
  <c r="C64" i="10"/>
  <c r="C111" i="10"/>
  <c r="C119" i="10" s="1"/>
  <c r="C208" i="10"/>
  <c r="C209" i="10" s="1"/>
  <c r="C210" i="10" s="1"/>
  <c r="C230" i="10"/>
  <c r="I230" i="10" s="1"/>
  <c r="C355" i="11"/>
  <c r="C337" i="11"/>
  <c r="O56" i="3"/>
  <c r="O158" i="3"/>
  <c r="K174" i="3"/>
  <c r="J174" i="3"/>
  <c r="K186" i="3"/>
  <c r="O240" i="3"/>
  <c r="O249" i="3"/>
  <c r="O258" i="3"/>
  <c r="O288" i="3"/>
  <c r="C145" i="11"/>
  <c r="C50" i="11"/>
  <c r="C51" i="11"/>
  <c r="C128" i="11" s="1"/>
  <c r="C125" i="11"/>
  <c r="C108" i="11"/>
  <c r="C297" i="11"/>
  <c r="C114" i="10"/>
  <c r="C133" i="10"/>
  <c r="J305" i="3"/>
  <c r="C115" i="10"/>
  <c r="C137" i="10" s="1"/>
  <c r="C323" i="10"/>
  <c r="C324" i="10" s="1"/>
  <c r="C326" i="10" s="1"/>
  <c r="C357" i="10" s="1"/>
  <c r="C408" i="10"/>
  <c r="C362" i="10" s="1"/>
  <c r="C111" i="11"/>
  <c r="C118" i="11" s="1"/>
  <c r="C307" i="10"/>
  <c r="C308" i="10" s="1"/>
  <c r="C309" i="10" s="1"/>
  <c r="C112" i="11"/>
  <c r="C403" i="11"/>
  <c r="C357" i="11" s="1"/>
  <c r="C64" i="11"/>
  <c r="C302" i="11"/>
  <c r="C303" i="11" s="1"/>
  <c r="C304" i="11" s="1"/>
  <c r="C322" i="11"/>
  <c r="J303" i="3"/>
  <c r="C77" i="11"/>
  <c r="C353" i="11" l="1"/>
  <c r="C398" i="11"/>
  <c r="C380" i="11"/>
  <c r="C114" i="11"/>
  <c r="C113" i="11"/>
  <c r="C135" i="11" s="1"/>
  <c r="C227" i="11"/>
  <c r="I227" i="11" s="1"/>
  <c r="C209" i="11"/>
  <c r="C210" i="11" s="1"/>
  <c r="C132" i="11"/>
  <c r="C191" i="11"/>
  <c r="C157" i="11"/>
  <c r="C139" i="11"/>
  <c r="C172" i="11"/>
  <c r="C327" i="11"/>
  <c r="C329" i="11" s="1"/>
  <c r="C335" i="11"/>
  <c r="C356" i="11"/>
  <c r="C338" i="11"/>
  <c r="C340" i="11" s="1"/>
  <c r="C381" i="10"/>
  <c r="C446" i="11"/>
  <c r="C447" i="11" s="1"/>
  <c r="C465" i="11"/>
  <c r="I465" i="11" s="1"/>
  <c r="C157" i="10"/>
  <c r="C117" i="10"/>
  <c r="C347" i="10"/>
  <c r="C349" i="10" s="1"/>
  <c r="C337" i="10"/>
  <c r="C339" i="10" s="1"/>
  <c r="C211" i="10"/>
  <c r="C212" i="10" s="1"/>
  <c r="C213" i="10" s="1"/>
  <c r="C231" i="10"/>
  <c r="I231" i="10" s="1"/>
  <c r="C362" i="11"/>
  <c r="C366" i="11" s="1"/>
  <c r="C377" i="11"/>
  <c r="C372" i="11" s="1"/>
  <c r="C358" i="11"/>
  <c r="C359" i="10"/>
  <c r="C386" i="10"/>
  <c r="C404" i="10"/>
  <c r="C376" i="11"/>
  <c r="C348" i="10"/>
  <c r="C380" i="10"/>
  <c r="C338" i="10"/>
  <c r="C367" i="10"/>
  <c r="C371" i="10" s="1"/>
  <c r="C382" i="10"/>
  <c r="C377" i="10" s="1"/>
  <c r="C363" i="10"/>
  <c r="C448" i="10"/>
  <c r="C449" i="10" s="1"/>
  <c r="C450" i="10" s="1"/>
  <c r="C469" i="10"/>
  <c r="I469" i="10" s="1"/>
  <c r="C397" i="11"/>
  <c r="C346" i="10"/>
  <c r="C336" i="10"/>
  <c r="C385" i="10"/>
  <c r="C358" i="10"/>
  <c r="C403" i="10"/>
  <c r="C402" i="10"/>
  <c r="C330" i="11"/>
  <c r="C139" i="10"/>
  <c r="C138" i="10"/>
  <c r="C451" i="10" l="1"/>
  <c r="C452" i="10" s="1"/>
  <c r="C470" i="10"/>
  <c r="I470" i="10" s="1"/>
  <c r="C140" i="10"/>
  <c r="C354" i="11"/>
  <c r="C399" i="11"/>
  <c r="C381" i="11"/>
  <c r="C384" i="11" s="1"/>
  <c r="C375" i="11"/>
  <c r="C405" i="10"/>
  <c r="C429" i="10" s="1"/>
  <c r="C432" i="10" s="1"/>
  <c r="C416" i="10" s="1"/>
  <c r="C419" i="10" s="1"/>
  <c r="C387" i="10"/>
  <c r="C390" i="10" s="1"/>
  <c r="C393" i="10" s="1"/>
  <c r="C396" i="10" s="1"/>
  <c r="C214" i="10"/>
  <c r="C215" i="10" s="1"/>
  <c r="C232" i="10"/>
  <c r="I232" i="10" s="1"/>
  <c r="C350" i="10"/>
  <c r="C352" i="10" s="1"/>
  <c r="C365" i="10"/>
  <c r="C369" i="10" s="1"/>
  <c r="C449" i="11"/>
  <c r="C448" i="11"/>
  <c r="C466" i="11" s="1"/>
  <c r="I466" i="11" s="1"/>
  <c r="C228" i="11"/>
  <c r="I228" i="11" s="1"/>
  <c r="C212" i="11"/>
  <c r="C213" i="11" s="1"/>
  <c r="C214" i="11" s="1"/>
  <c r="C215" i="11" s="1"/>
  <c r="C388" i="10"/>
  <c r="C137" i="11"/>
  <c r="C136" i="11"/>
  <c r="C138" i="11" s="1"/>
  <c r="C140" i="11" s="1"/>
  <c r="C152" i="11"/>
  <c r="C115" i="11"/>
  <c r="C339" i="11"/>
  <c r="C118" i="10"/>
  <c r="C190" i="10" s="1"/>
  <c r="C171" i="10"/>
  <c r="C159" i="10"/>
  <c r="C160" i="10" s="1"/>
  <c r="C158" i="10"/>
  <c r="C427" i="10"/>
  <c r="C406" i="10"/>
  <c r="C428" i="10"/>
  <c r="C407" i="10"/>
  <c r="C422" i="10"/>
  <c r="C378" i="11"/>
  <c r="C418" i="11"/>
  <c r="C420" i="11" s="1"/>
  <c r="C383" i="10"/>
  <c r="C423" i="10"/>
  <c r="C425" i="10" s="1"/>
  <c r="C422" i="11"/>
  <c r="C401" i="11"/>
  <c r="C389" i="10"/>
  <c r="C351" i="10"/>
  <c r="C353" i="10" s="1"/>
  <c r="C366" i="10"/>
  <c r="C400" i="11"/>
  <c r="C424" i="11" s="1"/>
  <c r="C427" i="11" s="1"/>
  <c r="C411" i="11" s="1"/>
  <c r="C414" i="11" s="1"/>
  <c r="C382" i="11"/>
  <c r="C385" i="11" s="1"/>
  <c r="C388" i="11" s="1"/>
  <c r="C391" i="11" s="1"/>
  <c r="C342" i="11"/>
  <c r="C344" i="11" s="1"/>
  <c r="C332" i="11"/>
  <c r="C334" i="11" s="1"/>
  <c r="C345" i="11"/>
  <c r="C347" i="11" s="1"/>
  <c r="C360" i="11"/>
  <c r="C364" i="11" s="1"/>
  <c r="C133" i="11" l="1"/>
  <c r="C134" i="11" s="1"/>
  <c r="C141" i="11"/>
  <c r="C379" i="11"/>
  <c r="C421" i="11" s="1"/>
  <c r="C373" i="11"/>
  <c r="C417" i="11"/>
  <c r="C425" i="11" s="1"/>
  <c r="C409" i="11" s="1"/>
  <c r="C233" i="10"/>
  <c r="I233" i="10" s="1"/>
  <c r="C217" i="10"/>
  <c r="C218" i="10" s="1"/>
  <c r="C219" i="10" s="1"/>
  <c r="C220" i="10" s="1"/>
  <c r="C192" i="10"/>
  <c r="C191" i="10"/>
  <c r="C198" i="10"/>
  <c r="C387" i="11"/>
  <c r="C390" i="11" s="1"/>
  <c r="C369" i="11"/>
  <c r="C371" i="11" s="1"/>
  <c r="C423" i="11"/>
  <c r="C426" i="11" s="1"/>
  <c r="C402" i="11"/>
  <c r="C173" i="10"/>
  <c r="C175" i="10" s="1"/>
  <c r="C172" i="10"/>
  <c r="C174" i="10" s="1"/>
  <c r="C116" i="11"/>
  <c r="C185" i="11" s="1"/>
  <c r="C166" i="11"/>
  <c r="C154" i="11"/>
  <c r="C153" i="11"/>
  <c r="C417" i="10"/>
  <c r="C431" i="10"/>
  <c r="C154" i="10"/>
  <c r="C142" i="10"/>
  <c r="C341" i="11"/>
  <c r="C343" i="11" s="1"/>
  <c r="C331" i="11"/>
  <c r="C333" i="11" s="1"/>
  <c r="C149" i="11"/>
  <c r="C142" i="11"/>
  <c r="C391" i="10"/>
  <c r="C394" i="10" s="1"/>
  <c r="C400" i="10" s="1"/>
  <c r="C373" i="10"/>
  <c r="C375" i="10" s="1"/>
  <c r="C229" i="11"/>
  <c r="I229" i="11" s="1"/>
  <c r="C216" i="11"/>
  <c r="C217" i="11" s="1"/>
  <c r="C383" i="11"/>
  <c r="C430" i="10"/>
  <c r="C414" i="10" s="1"/>
  <c r="C163" i="10"/>
  <c r="C155" i="10" s="1"/>
  <c r="C156" i="10" s="1"/>
  <c r="C384" i="10"/>
  <c r="C426" i="10" s="1"/>
  <c r="C397" i="10"/>
  <c r="C398" i="10" s="1"/>
  <c r="C378" i="10"/>
  <c r="C379" i="10" s="1"/>
  <c r="C361" i="11"/>
  <c r="C346" i="11"/>
  <c r="C348" i="11" s="1"/>
  <c r="C349" i="11" s="1"/>
  <c r="C450" i="11"/>
  <c r="C451" i="11" s="1"/>
  <c r="C467" i="11"/>
  <c r="I467" i="11" s="1"/>
  <c r="C368" i="10"/>
  <c r="C370" i="10"/>
  <c r="C372" i="10" s="1"/>
  <c r="C354" i="10"/>
  <c r="C392" i="10"/>
  <c r="C395" i="10" s="1"/>
  <c r="C374" i="10"/>
  <c r="C376" i="10" s="1"/>
  <c r="C453" i="10"/>
  <c r="C471" i="10" s="1"/>
  <c r="I471" i="10" s="1"/>
  <c r="C454" i="10"/>
  <c r="C363" i="11" l="1"/>
  <c r="C365" i="11"/>
  <c r="C367" i="11" s="1"/>
  <c r="C143" i="10"/>
  <c r="C144" i="10" s="1"/>
  <c r="C135" i="10"/>
  <c r="C136" i="10" s="1"/>
  <c r="C234" i="10"/>
  <c r="I234" i="10" s="1"/>
  <c r="C221" i="10"/>
  <c r="C222" i="10" s="1"/>
  <c r="C392" i="11"/>
  <c r="C176" i="10"/>
  <c r="C145" i="10"/>
  <c r="C146" i="10" s="1"/>
  <c r="C161" i="10"/>
  <c r="C152" i="10"/>
  <c r="C153" i="10" s="1"/>
  <c r="C164" i="10" s="1"/>
  <c r="C149" i="10"/>
  <c r="C165" i="10"/>
  <c r="C167" i="10" s="1"/>
  <c r="C433" i="10"/>
  <c r="C415" i="10"/>
  <c r="C386" i="11"/>
  <c r="C389" i="11" s="1"/>
  <c r="C395" i="11" s="1"/>
  <c r="C368" i="11"/>
  <c r="C370" i="11" s="1"/>
  <c r="C218" i="11"/>
  <c r="C230" i="11"/>
  <c r="I230" i="11" s="1"/>
  <c r="C187" i="10"/>
  <c r="C178" i="10"/>
  <c r="C410" i="10"/>
  <c r="C412" i="10" s="1"/>
  <c r="C409" i="10"/>
  <c r="C411" i="10" s="1"/>
  <c r="C413" i="10" s="1"/>
  <c r="C374" i="11"/>
  <c r="C187" i="11"/>
  <c r="C186" i="11"/>
  <c r="C193" i="11"/>
  <c r="C428" i="11"/>
  <c r="C410" i="11"/>
  <c r="C193" i="10"/>
  <c r="C199" i="10"/>
  <c r="C194" i="10"/>
  <c r="C200" i="10"/>
  <c r="C472" i="10"/>
  <c r="I472" i="10" s="1"/>
  <c r="C455" i="10"/>
  <c r="C456" i="10" s="1"/>
  <c r="C412" i="11"/>
  <c r="C155" i="11"/>
  <c r="C168" i="11"/>
  <c r="C170" i="11" s="1"/>
  <c r="C171" i="11" s="1"/>
  <c r="C167" i="11"/>
  <c r="C169" i="11" s="1"/>
  <c r="C453" i="11"/>
  <c r="C452" i="11"/>
  <c r="C468" i="11" s="1"/>
  <c r="I468" i="11" s="1"/>
  <c r="C147" i="11"/>
  <c r="C148" i="11" s="1"/>
  <c r="C159" i="11" s="1"/>
  <c r="C160" i="11"/>
  <c r="C162" i="11" s="1"/>
  <c r="C143" i="11"/>
  <c r="C144" i="11" s="1"/>
  <c r="C156" i="11"/>
  <c r="C405" i="11" l="1"/>
  <c r="C407" i="11" s="1"/>
  <c r="C404" i="11"/>
  <c r="C406" i="11" s="1"/>
  <c r="C408" i="11" s="1"/>
  <c r="C188" i="11"/>
  <c r="C194" i="11"/>
  <c r="C197" i="10"/>
  <c r="C188" i="10" s="1"/>
  <c r="C189" i="10" s="1"/>
  <c r="C163" i="11"/>
  <c r="C178" i="11"/>
  <c r="C189" i="11"/>
  <c r="C195" i="11"/>
  <c r="C169" i="10"/>
  <c r="C170" i="10" s="1"/>
  <c r="C179" i="10"/>
  <c r="C180" i="10" s="1"/>
  <c r="C185" i="10"/>
  <c r="C181" i="10"/>
  <c r="C418" i="10"/>
  <c r="C420" i="10"/>
  <c r="C421" i="10" s="1"/>
  <c r="C168" i="10"/>
  <c r="C183" i="10"/>
  <c r="C182" i="10" s="1"/>
  <c r="C413" i="11"/>
  <c r="C415" i="11"/>
  <c r="C416" i="11" s="1"/>
  <c r="C469" i="11"/>
  <c r="I469" i="11" s="1"/>
  <c r="C454" i="11"/>
  <c r="C455" i="11" s="1"/>
  <c r="C456" i="11" s="1"/>
  <c r="C182" i="11"/>
  <c r="C173" i="11"/>
  <c r="C158" i="11"/>
  <c r="C150" i="11" s="1"/>
  <c r="C151" i="11" s="1"/>
  <c r="C235" i="10"/>
  <c r="I235" i="10" s="1"/>
  <c r="C223" i="10"/>
  <c r="C219" i="11"/>
  <c r="C220" i="11" s="1"/>
  <c r="C221" i="11" s="1"/>
  <c r="C231" i="11"/>
  <c r="I231" i="11" s="1"/>
  <c r="C150" i="10"/>
  <c r="C393" i="11"/>
  <c r="C458" i="10"/>
  <c r="C457" i="10"/>
  <c r="C473" i="10" s="1"/>
  <c r="I473" i="10" s="1"/>
  <c r="C195" i="10"/>
  <c r="C201" i="10"/>
  <c r="C224" i="10" l="1"/>
  <c r="C225" i="10" s="1"/>
  <c r="C226" i="10" s="1"/>
  <c r="C236" i="10"/>
  <c r="I236" i="10" s="1"/>
  <c r="C186" i="10"/>
  <c r="C174" i="11"/>
  <c r="C175" i="11" s="1"/>
  <c r="C164" i="11"/>
  <c r="C165" i="11" s="1"/>
  <c r="C470" i="11"/>
  <c r="I470" i="11" s="1"/>
  <c r="C457" i="11"/>
  <c r="C458" i="11" s="1"/>
  <c r="C222" i="11"/>
  <c r="C223" i="11" s="1"/>
  <c r="C233" i="11" s="1"/>
  <c r="I233" i="11" s="1"/>
  <c r="C232" i="11"/>
  <c r="I232" i="11" s="1"/>
  <c r="C190" i="11"/>
  <c r="C196" i="11"/>
  <c r="C192" i="11"/>
  <c r="C183" i="11" s="1"/>
  <c r="C184" i="11" s="1"/>
  <c r="C180" i="11"/>
  <c r="C181" i="11" s="1"/>
  <c r="C176" i="11"/>
  <c r="C177" i="11" s="1"/>
  <c r="C474" i="10"/>
  <c r="I474" i="10" s="1"/>
  <c r="C459" i="10"/>
  <c r="C460" i="10" s="1"/>
  <c r="C461" i="10" s="1"/>
  <c r="C471" i="11" l="1"/>
  <c r="I471" i="11" s="1"/>
  <c r="C459" i="11"/>
  <c r="C475" i="10"/>
  <c r="I475" i="10" s="1"/>
  <c r="C462" i="10"/>
  <c r="C463" i="10" s="1"/>
  <c r="C227" i="10"/>
  <c r="C228" i="10" s="1"/>
  <c r="C238" i="10" s="1"/>
  <c r="I238" i="10" s="1"/>
  <c r="C237" i="10"/>
  <c r="I237" i="10" s="1"/>
  <c r="C476" i="10" l="1"/>
  <c r="I476" i="10" s="1"/>
  <c r="C464" i="10"/>
</calcChain>
</file>

<file path=xl/sharedStrings.xml><?xml version="1.0" encoding="utf-8"?>
<sst xmlns="http://schemas.openxmlformats.org/spreadsheetml/2006/main" count="6612" uniqueCount="1287">
  <si>
    <t>Part #</t>
  </si>
  <si>
    <t>Subassm.</t>
  </si>
  <si>
    <t>Q. Design</t>
  </si>
  <si>
    <t>Q. Extra</t>
  </si>
  <si>
    <t>Q. Stock</t>
  </si>
  <si>
    <t>Q Tent.</t>
  </si>
  <si>
    <t>Q. Buy</t>
  </si>
  <si>
    <t>U. Price</t>
  </si>
  <si>
    <t>U./Pkg</t>
  </si>
  <si>
    <t>Pkg. Q.</t>
  </si>
  <si>
    <t>Subtot.</t>
  </si>
  <si>
    <t>Vendor</t>
  </si>
  <si>
    <t>Part Num</t>
  </si>
  <si>
    <t>Part ID</t>
  </si>
  <si>
    <t>Dupe?</t>
  </si>
  <si>
    <t>Vendor Status</t>
  </si>
  <si>
    <t>Standard</t>
  </si>
  <si>
    <t>Manufactuer</t>
  </si>
  <si>
    <t>Manuf. Part Number</t>
  </si>
  <si>
    <t>Description</t>
  </si>
  <si>
    <t>Note</t>
  </si>
  <si>
    <t>Reference Name(s)</t>
  </si>
  <si>
    <t>Sample Hold</t>
  </si>
  <si>
    <t>(unknown)</t>
  </si>
  <si>
    <t>22x22 No2 Coverglass</t>
  </si>
  <si>
    <t>22x22 No 2 Coverglass</t>
  </si>
  <si>
    <t>*from cad 11/17/2025.</t>
  </si>
  <si>
    <t>Imaging</t>
  </si>
  <si>
    <t>Chroma</t>
  </si>
  <si>
    <t>Remote Mirror (2x2x1 mm3)</t>
  </si>
  <si>
    <t>Customized 2x2x1 mm3 remote mirror.</t>
  </si>
  <si>
    <t>Illumination</t>
  </si>
  <si>
    <t>CUSTOM</t>
  </si>
  <si>
    <t>3DP-eye-mask-mount</t>
  </si>
  <si>
    <t>eye mask mount</t>
  </si>
  <si>
    <t>3DP-fish-holder-base</t>
  </si>
  <si>
    <t>zeguan custom fish holder</t>
  </si>
  <si>
    <t>CNC-fish-holder-bracket</t>
  </si>
  <si>
    <t>Active</t>
  </si>
  <si>
    <t>20220311 zebrafish chamber holder</t>
  </si>
  <si>
    <t>CNC-galvo-to-60mm-adapter</t>
  </si>
  <si>
    <t>20230424 galvo mount new version</t>
  </si>
  <si>
    <t>cnc-piezo-mount-001</t>
  </si>
  <si>
    <t>*from cad 12/2/2025</t>
  </si>
  <si>
    <t>custom-001</t>
  </si>
  <si>
    <t>Part7</t>
  </si>
  <si>
    <t>Custom patrts</t>
  </si>
  <si>
    <t>custom-002</t>
  </si>
  <si>
    <t>20210813_illumination-OL-mount-adapter</t>
  </si>
  <si>
    <t>custom-003</t>
  </si>
  <si>
    <t>20230417_objective_lens_extension_cube_adapter</t>
  </si>
  <si>
    <t>custom-004</t>
  </si>
  <si>
    <t>20211201_pizeo_holder_adaptor</t>
  </si>
  <si>
    <t>custom-005</t>
  </si>
  <si>
    <t>bracket_part_1</t>
  </si>
  <si>
    <t>custom-006</t>
  </si>
  <si>
    <t>bracket_part_2</t>
  </si>
  <si>
    <t>custom-007</t>
  </si>
  <si>
    <t>custom-008</t>
  </si>
  <si>
    <t>20230421_KM100B_with_hole</t>
  </si>
  <si>
    <t>custom-009</t>
  </si>
  <si>
    <t>bracket_part_3_right</t>
  </si>
  <si>
    <t>custom-010</t>
  </si>
  <si>
    <t>bracket_clamp</t>
  </si>
  <si>
    <t>custom-011</t>
  </si>
  <si>
    <t>20220312 zebrafish embeding holder</t>
  </si>
  <si>
    <t>custom-012</t>
  </si>
  <si>
    <t>custom-013</t>
  </si>
  <si>
    <t>bracket_part_3_left</t>
  </si>
  <si>
    <t>Customized optical mask</t>
  </si>
  <si>
    <t>800um fish eye mask mounted + fish eye light blocker</t>
  </si>
  <si>
    <t>Zebrafish sample chamber</t>
  </si>
  <si>
    <t>20220311_zebrafish_sample_chamber_large</t>
  </si>
  <si>
    <t>20220210_remote_position_scope_adapter1</t>
  </si>
  <si>
    <t>Edmund Optics</t>
  </si>
  <si>
    <t>16-043</t>
  </si>
  <si>
    <t>ScannerMAX</t>
  </si>
  <si>
    <t>Saturn 5B</t>
  </si>
  <si>
    <t>Galvo mirror. 5mm Aperture, Protected Silver, Saturn 5B Single Axis Galvanometer Scanner + UP150D ±24 VDC Power Supply for ScannerMAX Mach-DSP</t>
  </si>
  <si>
    <r>
      <rPr>
        <sz val="10"/>
        <rFont val="Archivo Narrow"/>
      </rPr>
      <t xml:space="preserve">We have the galvo, power supply and mounting block. </t>
    </r>
    <r>
      <rPr>
        <u/>
        <sz val="10"/>
        <color rgb="FF1155CC"/>
        <rFont val="Archivo Narrow"/>
      </rPr>
      <t>https://www.edmundoptics.com/p/up150d-24-vdc-power-supply-for-scannermax-mach-dsp/44532/?srsltid=AfmBOorKXSPqFr5jPq2sLyohFGUzbHd31aSoaUabUcWtlrBIf9BXsSea</t>
    </r>
  </si>
  <si>
    <t>39-032</t>
  </si>
  <si>
    <t>Universal</t>
  </si>
  <si>
    <t>25.4mm Dia, 450 - 650nm, λ/4 Achromatic Waveplate</t>
  </si>
  <si>
    <t>Obselete/None</t>
  </si>
  <si>
    <t>49-272</t>
  </si>
  <si>
    <t>3mm Dia. x 9mm FL, VIS 0° Coated, Achromatic Lens</t>
  </si>
  <si>
    <r>
      <rPr>
        <sz val="10"/>
        <color rgb="FF000000"/>
        <rFont val="Archivo Narrow"/>
      </rPr>
      <t xml:space="preserve">Used in Zeguan's orginal design but we are using somehting different. </t>
    </r>
    <r>
      <rPr>
        <u/>
        <sz val="10"/>
        <color rgb="FF434343"/>
        <rFont val="Archivo Narrow"/>
      </rPr>
      <t>https://www.edmundoptics.com/p/3mm-dia-x-9mm-fl-vis-0deg-coated-achromatic-lens/9607/?srsltid=AfmBOoogf28MNBkknd2WDS97veEn_9kuoA4NwilBtqQPC1DcoCY2UIlG</t>
    </r>
  </si>
  <si>
    <t>Inspection Scope</t>
  </si>
  <si>
    <t>58-373</t>
  </si>
  <si>
    <t>20X EO HR Infinity Corrected Objective</t>
  </si>
  <si>
    <t>piezo mirro inspection objective</t>
  </si>
  <si>
    <t>HÜBNER</t>
  </si>
  <si>
    <t>Cobalt HS-03</t>
  </si>
  <si>
    <t>Laser Heat Sink Cobalt HS-03 Hubner</t>
  </si>
  <si>
    <t>Cobolt 06-MLD 515nm</t>
  </si>
  <si>
    <t>Illuminiation laser. Diode Laser Cobolt 06-MLD</t>
  </si>
  <si>
    <t>https://www.meetoptics.com/light-sources/lasers-and-coherent-systems/diode-and-semiconductor-lasers/diode-laser/s/h%C3%BCbner-photonics/p/06-01-06-MLD0515?srsltid=AfmBOop148zDsqZ-b3Dc8k8j2utRO2tyD7lQskBvkkjXQDCoUYSX_DE5</t>
  </si>
  <si>
    <t>Idex</t>
  </si>
  <si>
    <t>FL-004389</t>
  </si>
  <si>
    <t>Semrock</t>
  </si>
  <si>
    <t>FF01-571/72-25</t>
  </si>
  <si>
    <t>571/72 nm BrightLine® single-band bandpass filter</t>
  </si>
  <si>
    <t>Laserline Optics</t>
  </si>
  <si>
    <t>LOCP-8.9R05-1.4</t>
  </si>
  <si>
    <t>Mounted 5 deg powell lens for 1.5mm beam 8.9mm diameter lens</t>
  </si>
  <si>
    <t>https://www.laserlineoptics.com/store/product/powell-lens/</t>
  </si>
  <si>
    <t>McMaster-Carr</t>
  </si>
  <si>
    <t>91292A108</t>
  </si>
  <si>
    <t>18-8 Stainless Steel Socket Head Screw, M4 x 0.7 mm Thread, 8 mm Long</t>
  </si>
  <si>
    <t>91292A113</t>
  </si>
  <si>
    <t>18-8 Stainless Steel Socket Head Screw, M3 x 0.5 mm Thread, 10 mm Long</t>
  </si>
  <si>
    <t>for galvo mount</t>
  </si>
  <si>
    <t>92196A144</t>
  </si>
  <si>
    <t>18-8 Stainless Steel Socket Head Screw, 6-32 Thread Size, 1/4" Long</t>
  </si>
  <si>
    <t>Microscope Central</t>
  </si>
  <si>
    <t>1-UB950-2</t>
  </si>
  <si>
    <t xml:space="preserve"> Olympus</t>
  </si>
  <si>
    <t>XLFluor4x/340</t>
  </si>
  <si>
    <t>Ilumination objective: Olympus XLFluor 4x 340</t>
  </si>
  <si>
    <t>https://microscopecentral.com/products/olympus-xlfluor-4x-340-microscope-objective</t>
  </si>
  <si>
    <t>MRD00045</t>
  </si>
  <si>
    <t>Relay objectives: Nikon Plan Apo Lambda 4x Microscope Objective</t>
  </si>
  <si>
    <t>https://microscopecentral.com/products/nikon-plan-apo-lambda-4x-microscope-objective</t>
  </si>
  <si>
    <t>Newport</t>
  </si>
  <si>
    <t>LT10-SP05-PK</t>
  </si>
  <si>
    <t>LT20-SP1-PK</t>
  </si>
  <si>
    <t>LT20-SP10-PK</t>
  </si>
  <si>
    <t>LT20-SP2-PK</t>
  </si>
  <si>
    <t>LT20-SP4-PK</t>
  </si>
  <si>
    <t>UGP-1</t>
  </si>
  <si>
    <t>Spach Optics</t>
  </si>
  <si>
    <t>UPLANXAPO20X</t>
  </si>
  <si>
    <t>Olympus</t>
  </si>
  <si>
    <t>Olympus UPLANXAPO 20X Extended Apochromat Objective</t>
  </si>
  <si>
    <t>https://www.spachoptics.com/Olympus-UPLANXAPO-20X-Objective-N5702000-p/olympus-uplxapo20x.htm</t>
  </si>
  <si>
    <t>XLUMPLANFL20X</t>
  </si>
  <si>
    <t>Olympus XLUMPLANFL N 20X Objective</t>
  </si>
  <si>
    <t>https://www.spachoptics.com/Olympus-XLUMPLFLN-20X-Objective-p/olympus-xlumplfln20x.htm</t>
  </si>
  <si>
    <t>Thorlabs</t>
  </si>
  <si>
    <t>AC127-050-A-ML</t>
  </si>
  <si>
    <t xml:space="preserve">AC127-050-A-ML - f=50 mm, Ø1/2" Achromatic Doublet, SM05-Threaded Mount, ARC: 400-700 nm </t>
  </si>
  <si>
    <t>https://www.thorlabs.de/thorProduct.cfm?partNumber=AC127-050-A-ML</t>
  </si>
  <si>
    <t>AC127-075-A-ML</t>
  </si>
  <si>
    <t xml:space="preserve">AC127-075-A-ML - f=75 mm, Ø1/2" Achromatic Doublet, SM05-Threaded Mount, ARC: 400-700 nm </t>
  </si>
  <si>
    <t>https://www.thorlabs.com/thorproduct.cfm?partnumber=AC127-075-A-ML</t>
  </si>
  <si>
    <t>AC254-100-A-ML</t>
  </si>
  <si>
    <t>AC254-100-A-ML Thorlabs</t>
  </si>
  <si>
    <t>AC254-200-A-ML</t>
  </si>
  <si>
    <t>ACL2520U-A</t>
  </si>
  <si>
    <t xml:space="preserve">Aspheric Condenser Lens, Ø25 mm, f=20.1 mm, NA=0.60 ARC: 350-700 nm </t>
  </si>
  <si>
    <t>https://www.thorlabs.com/thorproduct.cfm?partnumber=ACL2520U-A</t>
  </si>
  <si>
    <t>*from cad 12/2/2025, corban has one of these with diffuser (ACL2520U-DG15-A) in stock</t>
  </si>
  <si>
    <t>ACT508-1000-A / ACT508-1000-A-ML</t>
  </si>
  <si>
    <t>f = 1000 mm, Ø2" Achromatic Doublet, ARC: 400 - 700 nm. With the mounted (-ML) version we don't need the additon LMR2 + SM2L10 for mounting.</t>
  </si>
  <si>
    <r>
      <rPr>
        <sz val="10"/>
        <color rgb="FF000000"/>
        <rFont val="Archivo Narrow"/>
      </rPr>
      <t xml:space="preserve">Need 1 for each camera relay lens 1 (x2 cameras so that's 2). Need another 1 for the L3 tube lens bringing the total needed to 3. Should have gotten this mounted (-ML version). This version requires us to additionally get the LMR2 and SM2L10 to mount it.  </t>
    </r>
    <r>
      <rPr>
        <u/>
        <sz val="10"/>
        <color rgb="FF434343"/>
        <rFont val="Archivo Narrow"/>
      </rPr>
      <t>https://www.thorlabs.com/thorproduct.cfm?partnumber=ACT508-1000-A</t>
    </r>
    <r>
      <rPr>
        <sz val="10"/>
        <color rgb="FF000000"/>
        <rFont val="Archivo Narrow"/>
      </rPr>
      <t xml:space="preserve"> </t>
    </r>
  </si>
  <si>
    <t>ACT508-750-A / ACT508-750-A-ML</t>
  </si>
  <si>
    <t xml:space="preserve">f = 750 mm, Ø2" Achromatic Doublet, ARC: 400 - 700 nm </t>
  </si>
  <si>
    <t>https://www.thorlabs.com/thorproduct.cfm?partnumber=ACT508-750-A</t>
  </si>
  <si>
    <t>AD11F</t>
  </si>
  <si>
    <t>AQWP10M-580</t>
  </si>
  <si>
    <t>B1C</t>
  </si>
  <si>
    <t>B3036FX</t>
  </si>
  <si>
    <t>B3648G</t>
  </si>
  <si>
    <t>BA1</t>
  </si>
  <si>
    <t xml:space="preserve">Mounting Base, 1" x 3" x 3/8" </t>
  </si>
  <si>
    <t>https://www.thorlabs.com/thorproduct.cfm?partnumber=BA1#ad-image-0</t>
  </si>
  <si>
    <t>BA1L</t>
  </si>
  <si>
    <t>BA1L-thorlabs</t>
  </si>
  <si>
    <t>BA1S</t>
  </si>
  <si>
    <t>BA1S-thorlabs</t>
  </si>
  <si>
    <t>BA2</t>
  </si>
  <si>
    <t>BA2 thorlabs</t>
  </si>
  <si>
    <t>BA2F</t>
  </si>
  <si>
    <t>BA2L</t>
  </si>
  <si>
    <t>BA2L Thorlabs</t>
  </si>
  <si>
    <t>BA4</t>
  </si>
  <si>
    <t>BB05-E02</t>
  </si>
  <si>
    <t>BB05-E02 Thorlabs</t>
  </si>
  <si>
    <t xml:space="preserve">BB1-E02 </t>
  </si>
  <si>
    <t>BB1-E02 Thorlabs</t>
  </si>
  <si>
    <t>BBE1-E02</t>
  </si>
  <si>
    <t>BBE1-E02 Thorlabs</t>
  </si>
  <si>
    <t>BBE2-E02</t>
  </si>
  <si>
    <t>C1519</t>
  </si>
  <si>
    <t>C330TMD-A</t>
  </si>
  <si>
    <t xml:space="preserve">f = 3.1 mm, NA = 0.70, WD = 1.8 mm, Mounted Aspheric Lens, ARC: 350 - 700 nm </t>
  </si>
  <si>
    <t>https://www.thorlabs.com/thorproduct.cfm?partnumber=C330TMD-A</t>
  </si>
  <si>
    <t>C4W</t>
  </si>
  <si>
    <t>30 mm Cage Cube</t>
  </si>
  <si>
    <t>https://www.thorlabs.com/newgrouppage9.cfm?objectgroup_id=3929&amp;pn=C4W#6646</t>
  </si>
  <si>
    <t>CCM1-4ER</t>
  </si>
  <si>
    <t>CCM1-P01</t>
  </si>
  <si>
    <t>CCM1-PBS251</t>
  </si>
  <si>
    <t xml:space="preserve">30 mm Cage Cube-Mounted Polarizing Beamsplitter Cube, 420-680 nm, 8-32 Tap </t>
  </si>
  <si>
    <t>https://www.thorlabs.com/thorproduct.cfm?partnumber=CCM1-PBS251</t>
  </si>
  <si>
    <t>CF125</t>
  </si>
  <si>
    <t>CF125-P5</t>
  </si>
  <si>
    <t>CL3</t>
  </si>
  <si>
    <t xml:space="preserve">Compact Variable Height Clamp, 1/4"-20 Tapped </t>
  </si>
  <si>
    <t>https://www.thorlabs.com/thorproduct.cfm?partnumber=CL3</t>
  </si>
  <si>
    <t>CLS-SL</t>
  </si>
  <si>
    <t xml:space="preserve">Scan Lens with Large Field of View, 400 to 750 nm, EFL=70 mm </t>
  </si>
  <si>
    <r>
      <rPr>
        <sz val="10"/>
        <color rgb="FF000000"/>
        <rFont val="Archivo Narrow"/>
      </rPr>
      <t xml:space="preserve">Comes with 2 SM2CP1 caps for protection.  </t>
    </r>
    <r>
      <rPr>
        <u/>
        <sz val="10"/>
        <color rgb="FF434343"/>
        <rFont val="Archivo Narrow"/>
      </rPr>
      <t>https://www.thorlabs.com/thorproduct.cfm?partnumber=CLS-SL</t>
    </r>
  </si>
  <si>
    <t>CM1-DCH/M</t>
  </si>
  <si>
    <t>Metric</t>
  </si>
  <si>
    <t>CP02T/M</t>
  </si>
  <si>
    <t xml:space="preserve">SM1-Threaded 30 mm Cage Plate, 0.50" Thick, 2 Retaining Rings, M4 Tap </t>
  </si>
  <si>
    <t>CP08FP</t>
  </si>
  <si>
    <t>CP08FP Thorlabs</t>
  </si>
  <si>
    <t>CP20D</t>
  </si>
  <si>
    <t>CP20D-Solidworks</t>
  </si>
  <si>
    <t>CP32</t>
  </si>
  <si>
    <t>CP32 Thorlabs</t>
  </si>
  <si>
    <t>CPA1</t>
  </si>
  <si>
    <t>CPA1 Thorlabs</t>
  </si>
  <si>
    <t>CRM05</t>
  </si>
  <si>
    <t xml:space="preserve">Rotation Mount for Ø1/2" (Ø12.7 mm) Optics, External SM1 Threads </t>
  </si>
  <si>
    <t>CXY1A</t>
  </si>
  <si>
    <t>CXY1 thorlabs</t>
  </si>
  <si>
    <t>*from cad 11/17/2025. (Obselete part number CXY1)</t>
  </si>
  <si>
    <t>CXY2 / CXY2A</t>
  </si>
  <si>
    <t>60 mm Cage System Translating Lens Mount for Ø2" Optics</t>
  </si>
  <si>
    <t>This product has been superseded by part number CXY2A. https://www.thorlabs.com/thorproduct.cfm?partnumber=CXY2</t>
  </si>
  <si>
    <t>E09RMS</t>
  </si>
  <si>
    <t>E09RMS Thorlabs</t>
  </si>
  <si>
    <t>ER025</t>
  </si>
  <si>
    <t>ER05-P4</t>
  </si>
  <si>
    <t xml:space="preserve">ER05-P4 </t>
  </si>
  <si>
    <t>ER05-P4 Thorlabs</t>
  </si>
  <si>
    <t>ER1-P4</t>
  </si>
  <si>
    <t>ER1-P4 Thorlabs</t>
  </si>
  <si>
    <t>ER1.5</t>
  </si>
  <si>
    <t>ER1.5-P4</t>
  </si>
  <si>
    <t>ER1.5 Thorlabs</t>
  </si>
  <si>
    <t>ER10</t>
  </si>
  <si>
    <t>ER10 Thorlabs</t>
  </si>
  <si>
    <t>ER18</t>
  </si>
  <si>
    <t>ER2</t>
  </si>
  <si>
    <t>ER2-P4</t>
  </si>
  <si>
    <t>ER2 Thorlabs</t>
  </si>
  <si>
    <t>ER24</t>
  </si>
  <si>
    <t>ER3-P4</t>
  </si>
  <si>
    <t>ER3-P4 Thorlabs</t>
  </si>
  <si>
    <t>ER4-P4</t>
  </si>
  <si>
    <t xml:space="preserve">Cage Assembly Rod, 4" Long, Ø6 mm, 4 Pack </t>
  </si>
  <si>
    <t>Not sure yet how many to get; Corban will send parts list.</t>
  </si>
  <si>
    <t>ER6-P4</t>
  </si>
  <si>
    <t xml:space="preserve">Cage Assembly Rod, 6" Long, Ø6 mm, 4 Pack </t>
  </si>
  <si>
    <r>
      <rPr>
        <sz val="10"/>
        <rFont val="Archivo Narrow"/>
      </rPr>
      <t xml:space="preserve">Not sure yet how many to get; Corban will send parts list. </t>
    </r>
    <r>
      <rPr>
        <u/>
        <sz val="10"/>
        <color rgb="FF1155CC"/>
        <rFont val="Archivo Narrow"/>
      </rPr>
      <t>https://www.thorlabs.com/thorproduct.cfm?partnumber=ER6-P4</t>
    </r>
  </si>
  <si>
    <t>ER8-P4</t>
  </si>
  <si>
    <t>GN2</t>
  </si>
  <si>
    <t>H45</t>
  </si>
  <si>
    <t>H45 thorlabs</t>
  </si>
  <si>
    <t>Gen Hardware</t>
  </si>
  <si>
    <t>HW-KIT1</t>
  </si>
  <si>
    <t>HW-KIT2</t>
  </si>
  <si>
    <t>HW-KIT3</t>
  </si>
  <si>
    <t>HW-KIT4</t>
  </si>
  <si>
    <t>HW-KIT5</t>
  </si>
  <si>
    <t>HW-KIT6</t>
  </si>
  <si>
    <t>ITL200</t>
  </si>
  <si>
    <t xml:space="preserve">Tube Lens, f = 200 mm, External M38 x 0.5 Threads </t>
  </si>
  <si>
    <t>https://www.thorlabs.com/thorproduct.cfm?partnumber=ITL200</t>
  </si>
  <si>
    <t>K6XS</t>
  </si>
  <si>
    <t>KA05</t>
  </si>
  <si>
    <t>KA05 Thorlabs</t>
  </si>
  <si>
    <t>KAD11F</t>
  </si>
  <si>
    <t>KCB1</t>
  </si>
  <si>
    <t>KCB1 Thorlabs</t>
  </si>
  <si>
    <t>KCB1E</t>
  </si>
  <si>
    <t>KCB1E Thorlabs</t>
  </si>
  <si>
    <t>KCB1EC</t>
  </si>
  <si>
    <t>KCB1EC/M</t>
  </si>
  <si>
    <t xml:space="preserve">Right-Angle Kinematic Elliptical Mirror Mount with Smooth Cage Rod Bores, 30 mm Cage System and SM1 Compatible, M4 and M6 Mounting Holes </t>
  </si>
  <si>
    <t>https://www.thorlabs.com/thorproduct.cfm?partnumber=BBE1-E02</t>
  </si>
  <si>
    <t>KCB2</t>
  </si>
  <si>
    <t xml:space="preserve">Right-Angle Kinematic Mirror Mount with Tapped Cage Rod Holes, 60 mm Cage System and SM2 Compatible, 8-32 and 1/4"-20 Mounting Holes </t>
  </si>
  <si>
    <t>https://www.thorlabs.com/thorproduct.cfm?partnumber=KCB2#ad-image-0</t>
  </si>
  <si>
    <t>KCB2E/M</t>
  </si>
  <si>
    <t>Obselete</t>
  </si>
  <si>
    <t>KCB2EC</t>
  </si>
  <si>
    <t>KM100</t>
  </si>
  <si>
    <t>KM100 thorlabs</t>
  </si>
  <si>
    <t>*from cad 11/17/2025. CORBAN FIND</t>
  </si>
  <si>
    <t>KM100B</t>
  </si>
  <si>
    <t xml:space="preserve">1.92" x 1.92" Kinematic Platform Mount </t>
  </si>
  <si>
    <t>https://www.thorlabs.com/thorproduct.cfm?partnumber=KM100B</t>
  </si>
  <si>
    <t>KS1RS</t>
  </si>
  <si>
    <t>LCP01</t>
  </si>
  <si>
    <t xml:space="preserve">60 mm Cage Plate, SM2 Threads, 0.5" Thick, 8-32 Tap (Two SM2RR Retaining Rings Included). 
</t>
  </si>
  <si>
    <r>
      <rPr>
        <sz val="10"/>
        <color rgb="FF000000"/>
        <rFont val="Archivo Narrow"/>
      </rPr>
      <t xml:space="preserve">This product has been superseded by part number LCP34.  </t>
    </r>
    <r>
      <rPr>
        <u/>
        <sz val="10"/>
        <color rgb="FF434343"/>
        <rFont val="Archivo Narrow"/>
      </rPr>
      <t>https://www.thorlabs.com/thorproduct.cfm?partnumber=LCP01</t>
    </r>
  </si>
  <si>
    <t>LCP01T/M</t>
  </si>
  <si>
    <t>LCP02</t>
  </si>
  <si>
    <t xml:space="preserve">LCP02 - 30 mm to 60 mm Cage Plate Adapter, 8-32 Tap </t>
  </si>
  <si>
    <r>
      <rPr>
        <sz val="10"/>
        <rFont val="Archivo Narrow"/>
      </rPr>
      <t xml:space="preserve">This product has been superseded by part number LCP33. </t>
    </r>
    <r>
      <rPr>
        <u/>
        <sz val="10"/>
        <color rgb="FF1155CC"/>
        <rFont val="Archivo Narrow"/>
      </rPr>
      <t>https://www.thorlabs.com/thorproduct.cfm?partnumber=LCP02#ad-image-0</t>
    </r>
  </si>
  <si>
    <t>LCP08</t>
  </si>
  <si>
    <t>LCP08 Thorlabs</t>
  </si>
  <si>
    <t>LCP30</t>
  </si>
  <si>
    <t>LCP33</t>
  </si>
  <si>
    <t>LCP33 Thorlabs</t>
  </si>
  <si>
    <t>*from cad 11/17/2025. Note that LCP02 was obsoleted part superseded superseded by this one LCP33 so if you have LCP02 in stock, you can use in where it says to use LCP33.</t>
  </si>
  <si>
    <t>LCP34T</t>
  </si>
  <si>
    <t>LCP36</t>
  </si>
  <si>
    <t>LCP60</t>
  </si>
  <si>
    <t>LCP6X</t>
  </si>
  <si>
    <t>LCP6X Thorlabs</t>
  </si>
  <si>
    <t>LCPA1</t>
  </si>
  <si>
    <t>LCPA1 Thorlabs</t>
  </si>
  <si>
    <t>LEDD1B</t>
  </si>
  <si>
    <t>T-Cube LED Driver, 1200 mA Max Drive Current (Power Supply Not Included).</t>
  </si>
  <si>
    <r>
      <rPr>
        <u/>
        <sz val="10"/>
        <color rgb="FF434343"/>
        <rFont val="Archivo Narrow"/>
      </rPr>
      <t>https://www.thorlabs.com/thorproduct.cfm?partnumber=LEDD1B</t>
    </r>
    <r>
      <rPr>
        <u/>
        <sz val="10"/>
        <color rgb="FF000000"/>
        <rFont val="Archivo Narrow"/>
      </rPr>
      <t xml:space="preserve"> </t>
    </r>
  </si>
  <si>
    <t>LMR1AP</t>
  </si>
  <si>
    <t>LMR1AP Thorlabs</t>
  </si>
  <si>
    <t>LMR2</t>
  </si>
  <si>
    <t xml:space="preserve">Lens Mount with Retaining Ring for Ø2" Optics, 8-32 Tap </t>
  </si>
  <si>
    <r>
      <rPr>
        <u/>
        <sz val="10"/>
        <color rgb="FF434343"/>
        <rFont val="Archivo Narrow"/>
      </rPr>
      <t>https://www.thorlabs.com/thorproduct.cfm?partnumber=LMR2#ad-image-0</t>
    </r>
    <r>
      <rPr>
        <sz val="10"/>
        <color rgb="FF000000"/>
        <rFont val="Archivo Narrow"/>
      </rPr>
      <t xml:space="preserve"> ; </t>
    </r>
    <r>
      <rPr>
        <sz val="10"/>
        <rFont val="Archivo Narrow"/>
      </rPr>
      <t>Need 1 for ITL200 and 1 for each of the ACT508 lenses (along with and SM2L10 for mounting).</t>
    </r>
  </si>
  <si>
    <t>LMR2AP</t>
  </si>
  <si>
    <t>LMR2AP Thorlabs</t>
  </si>
  <si>
    <t>LMRA9</t>
  </si>
  <si>
    <t>LMRA9 Thorlabs</t>
  </si>
  <si>
    <t>LRM1</t>
  </si>
  <si>
    <t>M1M25S</t>
  </si>
  <si>
    <t>M32M34S</t>
  </si>
  <si>
    <t>M32M34S Thorlabs</t>
  </si>
  <si>
    <t>M43L01</t>
  </si>
  <si>
    <t>Ø105 µm, 0.22 NA, Low OH, FC/PC-FC/PC Fiber Patch Cable, 1 m Long</t>
  </si>
  <si>
    <t>use for initial fiber coupling alignment</t>
  </si>
  <si>
    <t>M470L5</t>
  </si>
  <si>
    <t>M595L4</t>
  </si>
  <si>
    <t>MB1012</t>
  </si>
  <si>
    <t>MB1012 Thorlabs</t>
  </si>
  <si>
    <t>Imperial</t>
  </si>
  <si>
    <t>MB4</t>
  </si>
  <si>
    <t>MB4 Thorlabs</t>
  </si>
  <si>
    <t>MB6</t>
  </si>
  <si>
    <t>MB618</t>
  </si>
  <si>
    <t>MDT693B</t>
  </si>
  <si>
    <t xml:space="preserve">3-Channel, Open-Loop Piezo Controller </t>
  </si>
  <si>
    <t>https://www.thorlabs.com/thorproduct.cfm?partnumber=MDT693B</t>
  </si>
  <si>
    <t>MRAK25-P01</t>
  </si>
  <si>
    <t xml:space="preserve">Knife-Edge Right-Angle Prism Prot. Silver Mirror, 450 nm-20 µm, L = 25 mm </t>
  </si>
  <si>
    <t>https://www.thorlabs.com/thorproduct.cfm?partnumber=MRAK25-P01</t>
  </si>
  <si>
    <t>MS1</t>
  </si>
  <si>
    <t>MSA25</t>
  </si>
  <si>
    <t>MT1</t>
  </si>
  <si>
    <t>1/2" Translation Stage with Standard Micrometer, 1/4"-20 Taps</t>
  </si>
  <si>
    <r>
      <rPr>
        <sz val="10"/>
        <rFont val="Archivo Narrow"/>
      </rPr>
      <t xml:space="preserve">The adapter/knob has been removed because we are going to move it with a piezo driver instead. </t>
    </r>
    <r>
      <rPr>
        <u/>
        <sz val="10"/>
        <color rgb="FF1155CC"/>
        <rFont val="Archivo Narrow"/>
      </rPr>
      <t>https://www.thorlabs.com/thorproduct.cfm?partnumber=MT1#ad-image-0</t>
    </r>
    <r>
      <rPr>
        <sz val="10"/>
        <rFont val="Archivo Narrow"/>
      </rPr>
      <t xml:space="preserve"> </t>
    </r>
  </si>
  <si>
    <t>MT1B</t>
  </si>
  <si>
    <t>MT402</t>
  </si>
  <si>
    <t>P1-460AR-2</t>
  </si>
  <si>
    <t>P1-460AR-2 Thorlabs (connector only AR)</t>
  </si>
  <si>
    <t>P1-460B-FC-1</t>
  </si>
  <si>
    <t>P10</t>
  </si>
  <si>
    <t>P100/M</t>
  </si>
  <si>
    <t>P4</t>
  </si>
  <si>
    <t xml:space="preserve">Ø1.5" Mounting Post, 1/4"-20 Taps, L = 4" </t>
  </si>
  <si>
    <t>https://www.thorlabs.com/thorproduct.cfm?partnumber=P4</t>
  </si>
  <si>
    <t>P6</t>
  </si>
  <si>
    <t xml:space="preserve">Ø1.5" Mounting Post, 1/4"-20 Taps, L = 6" </t>
  </si>
  <si>
    <t>https://www.thorlabs.com/thorproduct.cfm?partnumber=P6</t>
  </si>
  <si>
    <t>PAF2-A7A</t>
  </si>
  <si>
    <t>PAF2-A7A Thorlabs</t>
  </si>
  <si>
    <t>PB1</t>
  </si>
  <si>
    <t xml:space="preserve">Mounting Post Base, Ø2.48" x 0.40" Thick </t>
  </si>
  <si>
    <t>https://www.thorlabs.com/thorproduct.cfm?partnumber=PB1</t>
  </si>
  <si>
    <t>PB4</t>
  </si>
  <si>
    <t xml:space="preserve">Ø1.85" Studded Pedestal Base Adapter, 1/4"-20 Threads </t>
  </si>
  <si>
    <t>https://www.thorlabs.com/thorproduct.cfm?partnumber=PB4</t>
  </si>
  <si>
    <t>PB4-M</t>
  </si>
  <si>
    <t>PB4VB2S</t>
  </si>
  <si>
    <t xml:space="preserve">Piezoelectric Bender, 150 V, ±135 µm Displacement, Pre-Attached Holder </t>
  </si>
  <si>
    <t>https://www.thorlabs.com/thorproduct.cfm?partnumber=PB4VB2S</t>
  </si>
  <si>
    <t>PBS251</t>
  </si>
  <si>
    <t>PF20-03-P01</t>
  </si>
  <si>
    <t xml:space="preserve">Ø2" Protected Silver Mirror </t>
  </si>
  <si>
    <t>https://www.thorlabs.com/thorproduct.cfm?partnumber=PF20-03-P01</t>
  </si>
  <si>
    <t>PH1</t>
  </si>
  <si>
    <t xml:space="preserve">Ø1/2" Post Holder, Spring-Loaded Hex-Locking Thumbscrew, L = 1" </t>
  </si>
  <si>
    <t>https://www.thorlabs.com/thorproduct.cfm?partnumber=PH1#ad-image-0</t>
  </si>
  <si>
    <t>PH1.5</t>
  </si>
  <si>
    <t>PH2</t>
  </si>
  <si>
    <t xml:space="preserve">Ø1/2" Post Holder, Spring-Loaded Hex-Locking Thumbscrew, L = 2" </t>
  </si>
  <si>
    <t>https://www.thorlabs.com/thorproduct.cfm?partnumber=PH2#ad-image-0</t>
  </si>
  <si>
    <t>PH2E</t>
  </si>
  <si>
    <t>thorlabs-PH2E</t>
  </si>
  <si>
    <t>PH3</t>
  </si>
  <si>
    <t>thorlabs-PH3</t>
  </si>
  <si>
    <t>PH4</t>
  </si>
  <si>
    <t>PH4 Thorlabs</t>
  </si>
  <si>
    <t>PH6</t>
  </si>
  <si>
    <t>PH6 Thorlabs</t>
  </si>
  <si>
    <t>PL201</t>
  </si>
  <si>
    <t xml:space="preserve">PS7M </t>
  </si>
  <si>
    <t xml:space="preserve">Mounting Post Spacer, Height = 7 mm </t>
  </si>
  <si>
    <t>https://www.thorlabs.com/thorproduct.cfm?partnumber=PS7M</t>
  </si>
  <si>
    <t>PT1</t>
  </si>
  <si>
    <t xml:space="preserve">1" Translation Stage with Standard Micrometer, 1/4"-20 Taps </t>
  </si>
  <si>
    <r>
      <rPr>
        <sz val="10"/>
        <color rgb="FF000000"/>
        <rFont val="Archivo Narrow"/>
      </rPr>
      <t xml:space="preserve">Part of the zebrafish holder stage/manipulator. </t>
    </r>
    <r>
      <rPr>
        <u/>
        <sz val="10"/>
        <color rgb="FF1155CC"/>
        <rFont val="Archivo Narrow"/>
      </rPr>
      <t>https://www.thorlabs.com/thorproduct.cfm?partnumber=PT1#ad-image-0.</t>
    </r>
    <r>
      <rPr>
        <sz val="10"/>
        <color rgb="FF000000"/>
        <rFont val="Archivo Narrow"/>
      </rPr>
      <t xml:space="preserve"> </t>
    </r>
    <r>
      <rPr>
        <u/>
        <sz val="10"/>
        <color rgb="FF1155CC"/>
        <rFont val="Archivo Narrow"/>
      </rPr>
      <t>https://www.thorlabs.com/newgrouppage9.cfm?objectgroup_id=706</t>
    </r>
  </si>
  <si>
    <t>PT101</t>
  </si>
  <si>
    <t xml:space="preserve">Base Plate for PT Series Translation Stages, 1/4"-20 Mounting Holes </t>
  </si>
  <si>
    <r>
      <rPr>
        <sz val="10"/>
        <rFont val="Archivo Narrow"/>
      </rPr>
      <t xml:space="preserve">Part of the zebrafish holder stage/manipulator. </t>
    </r>
    <r>
      <rPr>
        <u/>
        <sz val="10"/>
        <color rgb="FF1155CC"/>
        <rFont val="Archivo Narrow"/>
      </rPr>
      <t>https://www.thorlabs.com/thorproduct.cfm?partnumber=PT101#ad-image-0</t>
    </r>
    <r>
      <rPr>
        <sz val="10"/>
        <rFont val="Archivo Narrow"/>
      </rPr>
      <t xml:space="preserve"> . </t>
    </r>
    <r>
      <rPr>
        <u/>
        <sz val="10"/>
        <color rgb="FF1155CC"/>
        <rFont val="Archivo Narrow"/>
      </rPr>
      <t>https://www.thorlabs.com/newgrouppage9.cfm?objectgroup_id=706</t>
    </r>
    <r>
      <rPr>
        <sz val="10"/>
        <rFont val="Archivo Narrow"/>
      </rPr>
      <t xml:space="preserve"> </t>
    </r>
  </si>
  <si>
    <t>PT102</t>
  </si>
  <si>
    <t>Right-Angle Bracket for PT Series Translation Stages, 1/4"-20 Mounting Holes</t>
  </si>
  <si>
    <r>
      <rPr>
        <sz val="10"/>
        <rFont val="Archivo Narrow"/>
      </rPr>
      <t xml:space="preserve">Part of the zebrafish holder stage/manipulator. </t>
    </r>
    <r>
      <rPr>
        <u/>
        <sz val="10"/>
        <color rgb="FF1155CC"/>
        <rFont val="Archivo Narrow"/>
      </rPr>
      <t>https://www.thorlabs.com/thorproduct.cfm?partnumber=PT102#ad-image-0</t>
    </r>
    <r>
      <rPr>
        <sz val="10"/>
        <rFont val="Archivo Narrow"/>
      </rPr>
      <t xml:space="preserve"> . </t>
    </r>
    <r>
      <rPr>
        <u/>
        <sz val="10"/>
        <color rgb="FF1155CC"/>
        <rFont val="Archivo Narrow"/>
      </rPr>
      <t>https://www.thorlabs.com/newgrouppage9.cfm?objectgroup_id=706</t>
    </r>
    <r>
      <rPr>
        <sz val="10"/>
        <rFont val="Archivo Narrow"/>
      </rPr>
      <t xml:space="preserve"> </t>
    </r>
  </si>
  <si>
    <t>PT1B</t>
  </si>
  <si>
    <t>QRC2A</t>
  </si>
  <si>
    <t>RS2P8</t>
  </si>
  <si>
    <t>RA180</t>
  </si>
  <si>
    <t>RA180-thorlabs</t>
  </si>
  <si>
    <t>RA360</t>
  </si>
  <si>
    <t>RA360 Thorlabs</t>
  </si>
  <si>
    <t>RBP2</t>
  </si>
  <si>
    <t>RM1B</t>
  </si>
  <si>
    <t>RM1G</t>
  </si>
  <si>
    <t>RS05</t>
  </si>
  <si>
    <t>RS05P</t>
  </si>
  <si>
    <t>RS075P Thorlabs</t>
  </si>
  <si>
    <t>RS05P8</t>
  </si>
  <si>
    <t>RS075P8</t>
  </si>
  <si>
    <t>RS1</t>
  </si>
  <si>
    <t>RS1.5</t>
  </si>
  <si>
    <t>RS1.5 Thorlabs</t>
  </si>
  <si>
    <t>RS1.5P8</t>
  </si>
  <si>
    <t>RS1M</t>
  </si>
  <si>
    <t>RS2</t>
  </si>
  <si>
    <t xml:space="preserve">Ø1" Pillar Post, 1/4"-20 Taps, L = 2" </t>
  </si>
  <si>
    <t>https://www.thorlabs.com/thorproduct.cfm?partnumber=RS2</t>
  </si>
  <si>
    <t>R2SP8</t>
  </si>
  <si>
    <t>thorlabs-R2SP8</t>
  </si>
  <si>
    <t>RS4</t>
  </si>
  <si>
    <t>RS4P</t>
  </si>
  <si>
    <t>RS4P Thorlabs</t>
  </si>
  <si>
    <t>RS6P</t>
  </si>
  <si>
    <t>RS6P Thorlabs</t>
  </si>
  <si>
    <t>RS8M</t>
  </si>
  <si>
    <t>SD1</t>
  </si>
  <si>
    <t>SM1A12</t>
  </si>
  <si>
    <t>SM1A3</t>
  </si>
  <si>
    <t>SM1A3 Thorlabs</t>
  </si>
  <si>
    <t>SM1A34</t>
  </si>
  <si>
    <t>SM1A34 Thorlabs</t>
  </si>
  <si>
    <t>SM1A64</t>
  </si>
  <si>
    <t>SM1AP1</t>
  </si>
  <si>
    <t>SM1AP1 Thorlabs</t>
  </si>
  <si>
    <t>SM1CP2</t>
  </si>
  <si>
    <t>SM1FC2</t>
  </si>
  <si>
    <t>SM1FC2 Thorlabs</t>
  </si>
  <si>
    <t>SM1L03</t>
  </si>
  <si>
    <t>SM1L05</t>
  </si>
  <si>
    <t>SM1RR</t>
  </si>
  <si>
    <t>SM1RRC</t>
  </si>
  <si>
    <t>*from cad 12/2/2025 (equivalent to a single SM1S2M)</t>
  </si>
  <si>
    <t>SM1S1M</t>
  </si>
  <si>
    <t>SM1S8M</t>
  </si>
  <si>
    <t>SM1S8M Thorlabs</t>
  </si>
  <si>
    <t>SM1T4</t>
  </si>
  <si>
    <t>SM1TC</t>
  </si>
  <si>
    <t>SM1V10</t>
  </si>
  <si>
    <t>SM1ZA</t>
  </si>
  <si>
    <t>SM1ZA Thorlabs</t>
  </si>
  <si>
    <t>SM2A20</t>
  </si>
  <si>
    <t xml:space="preserve">Adapter with External SM2 Threads and Internal M38 x 0.5 Threads </t>
  </si>
  <si>
    <t>https://www.thorlabs.com/thorproduct.cfm?partnumber=SM2A20</t>
  </si>
  <si>
    <t>SM2A33</t>
  </si>
  <si>
    <t>SM2AP1</t>
  </si>
  <si>
    <t>SM2AP1 Thorlabs</t>
  </si>
  <si>
    <t>SM2CP1</t>
  </si>
  <si>
    <t xml:space="preserve">Internally SM2-Threaded End Cap </t>
  </si>
  <si>
    <r>
      <rPr>
        <sz val="10"/>
        <color rgb="FF000000"/>
        <rFont val="Archivo Narrow"/>
      </rPr>
      <t xml:space="preserve">Came with CLS-SL. </t>
    </r>
    <r>
      <rPr>
        <u/>
        <sz val="10"/>
        <color rgb="FF434343"/>
        <rFont val="Archivo Narrow"/>
      </rPr>
      <t>https://www.thorlabs.com/thorproduct.cfm?partnumber=SM2CP1</t>
    </r>
  </si>
  <si>
    <t xml:space="preserve">SM2D25D </t>
  </si>
  <si>
    <t xml:space="preserve">SM2 Ring-Actuated Iris Diaphragm (Ø1.4 - Ø25.0 mm) </t>
  </si>
  <si>
    <t>https://www.thorlabs.com/thorproduct.cfm?partnumber=SM2D25D#ad-image-0</t>
  </si>
  <si>
    <t>SM2L10</t>
  </si>
  <si>
    <t>SM2 Lens Tube, 1" Thread Depth, One Retaining Ring Included</t>
  </si>
  <si>
    <t>https://www.thorlabs.com/thorproduct.cfm?partnumber=SM2L10</t>
  </si>
  <si>
    <t>SM2L15</t>
  </si>
  <si>
    <t xml:space="preserve">SM2 Lens Tube, 1.5" Thread Depth, One Retaining Ring Included </t>
  </si>
  <si>
    <t>https://www.thorlabs.com/thorproduct.cfm?partnumber=SM2L15</t>
  </si>
  <si>
    <t>SM2RR</t>
  </si>
  <si>
    <t>SPT1C</t>
  </si>
  <si>
    <t>SPT1C thorlabs</t>
  </si>
  <si>
    <t>SPT1CT</t>
  </si>
  <si>
    <t>SPT2</t>
  </si>
  <si>
    <t>SPT2C</t>
  </si>
  <si>
    <t>ST1XY-A</t>
  </si>
  <si>
    <t>ST1XY-A Thorlabs</t>
  </si>
  <si>
    <t>ST1XY-D</t>
  </si>
  <si>
    <t>ST1XY-D Thorlabs</t>
  </si>
  <si>
    <t>TCH002</t>
  </si>
  <si>
    <t xml:space="preserve">T-Cube Controller Hub and Power Supply Unit </t>
  </si>
  <si>
    <r>
      <rPr>
        <sz val="10"/>
        <color rgb="FF000000"/>
        <rFont val="Archivo Narrow"/>
      </rPr>
      <t xml:space="preserve">This product has been superseded by part number KEH6. </t>
    </r>
    <r>
      <rPr>
        <u/>
        <sz val="10"/>
        <color rgb="FF434343"/>
        <rFont val="Archivo Narrow"/>
      </rPr>
      <t>https://www.thorlabs.com/thorproduct.cfm?partnumber=TCH002</t>
    </r>
  </si>
  <si>
    <t>TDC001</t>
  </si>
  <si>
    <t xml:space="preserve">T-Cube DC Servo Motor Controller (Power Supply Not Included) </t>
  </si>
  <si>
    <r>
      <rPr>
        <sz val="10"/>
        <color rgb="FF000000"/>
        <rFont val="Archivo Narrow"/>
      </rPr>
      <t xml:space="preserve">This product has been superseded by part number KDC101.
 </t>
    </r>
    <r>
      <rPr>
        <u/>
        <sz val="10"/>
        <color rgb="FF434343"/>
        <rFont val="Archivo Narrow"/>
      </rPr>
      <t>https://www.thorlabs.com/thorproduct.cfm?partnumber=TDC001</t>
    </r>
  </si>
  <si>
    <t>TH075</t>
  </si>
  <si>
    <t>TL4X-SAP</t>
  </si>
  <si>
    <t>TR075</t>
  </si>
  <si>
    <t>TR075 Thorlabs</t>
  </si>
  <si>
    <t>TR1</t>
  </si>
  <si>
    <t xml:space="preserve">Ø1/2" Optical Post, SS, 8-32 Setscrew, 1/4"-20 Tap, L = 1" </t>
  </si>
  <si>
    <t>https://www.thorlabs.com/thorproduct.cfm?partnumber=TR1</t>
  </si>
  <si>
    <t>TR1.5</t>
  </si>
  <si>
    <t>TR2</t>
  </si>
  <si>
    <t xml:space="preserve">Ø1/2" Optical Post, SS, 8-32 Setscrew, 1/4"-20 Tap, L = 2" </t>
  </si>
  <si>
    <t>https://www.thorlabs.com/thorproduct.cfm?partnumber=TR2</t>
  </si>
  <si>
    <t>TR3</t>
  </si>
  <si>
    <t>TR3-solidworks</t>
  </si>
  <si>
    <t>TR4</t>
  </si>
  <si>
    <t>Part 2</t>
  </si>
  <si>
    <t>TR40/M</t>
  </si>
  <si>
    <t>TR6</t>
  </si>
  <si>
    <t>TR6-thorlabs</t>
  </si>
  <si>
    <t>TR8</t>
  </si>
  <si>
    <t>TR8 Thorlabs</t>
  </si>
  <si>
    <t>TR3M</t>
  </si>
  <si>
    <t>TTL200-A</t>
  </si>
  <si>
    <t xml:space="preserve">Tube Lens, f = 200 mm, ARC: 350 - 700 nm, External SM2 Threads </t>
  </si>
  <si>
    <t>https://www.thorlabs.com/thorproduct.cfm?partnumber=TTL200-A</t>
  </si>
  <si>
    <t>TTL200MP</t>
  </si>
  <si>
    <t xml:space="preserve">Laser Scanning Tube Lens, f = 200 mm, ARC: 400 - 1300 nm </t>
  </si>
  <si>
    <t>https://www.thorlabs.com/thorproduct.cfm?partnumber=TTL200MP</t>
  </si>
  <si>
    <t>TTL200MP2</t>
  </si>
  <si>
    <t>Laser Scanning Tube Lens, f = 200 mm, Broadband MgF2 Coating</t>
  </si>
  <si>
    <t>UBP2</t>
  </si>
  <si>
    <t>UBP3</t>
  </si>
  <si>
    <t>UPH1</t>
  </si>
  <si>
    <t>UPH1.5</t>
  </si>
  <si>
    <t>UPHA</t>
  </si>
  <si>
    <t xml:space="preserve">Swivel Base Adapter </t>
  </si>
  <si>
    <t>https://www.thorlabs.com/thorproduct.cfm?partnumber=UPHA#ad-image-0</t>
  </si>
  <si>
    <t>VRC3CPT</t>
  </si>
  <si>
    <t>VRC3CPT Thorlabs</t>
  </si>
  <si>
    <t>XRN-B1</t>
  </si>
  <si>
    <t>XRN-B1 Thorlabs</t>
  </si>
  <si>
    <t>XRN25P</t>
  </si>
  <si>
    <t>XRN25P-left-hand-thorlabs</t>
  </si>
  <si>
    <t>XT66-500</t>
  </si>
  <si>
    <t>XT66P1</t>
  </si>
  <si>
    <t>Z812B</t>
  </si>
  <si>
    <t xml:space="preserve">12 mm Motorized Actuator, 3/8" Barrel Fitting (0.5 m cable) </t>
  </si>
  <si>
    <r>
      <rPr>
        <sz val="10"/>
        <rFont val="Archivo Narrow"/>
      </rPr>
      <t xml:space="preserve">This product has been superseded by part number Z912B. </t>
    </r>
    <r>
      <rPr>
        <u/>
        <sz val="10"/>
        <color rgb="FF1155CC"/>
        <rFont val="Archivo Narrow"/>
      </rPr>
      <t>https://www.thorlabs.com/thorproduct.cfm?partnumber=Z812B</t>
    </r>
    <r>
      <rPr>
        <sz val="10"/>
        <rFont val="Archivo Narrow"/>
      </rPr>
      <t xml:space="preserve"> </t>
    </r>
  </si>
  <si>
    <t>Ximea</t>
  </si>
  <si>
    <t>CB024CG-GP-X8G3</t>
  </si>
  <si>
    <t>High speed camera with 2.4 Mpix Color Gpixel GSPRINT4502 sensor and PCIe X8 Gen 3 interface</t>
  </si>
  <si>
    <t>https://www.ximea.com/products/pci-express/xib-64-high-speed-fast-industrial-cameras/gpixel-gsprint4502-pcie-color-high-speed-camera</t>
  </si>
  <si>
    <t>CB209MG-GP-X8G3</t>
  </si>
  <si>
    <t>HKTS-KIT</t>
  </si>
  <si>
    <t>TC2</t>
  </si>
  <si>
    <t>SPW301</t>
  </si>
  <si>
    <t>SPW801</t>
  </si>
  <si>
    <t>CA4-US</t>
  </si>
  <si>
    <t>PLW33</t>
  </si>
  <si>
    <t>VRC3</t>
  </si>
  <si>
    <t>1992T41</t>
  </si>
  <si>
    <t>Bulb-Dropper Bottle,Clear, 30 ml/1 FL oz Capacity</t>
  </si>
  <si>
    <t>SH25LP38</t>
  </si>
  <si>
    <t>SH25LP63</t>
  </si>
  <si>
    <t>98381A469</t>
  </si>
  <si>
    <t>Dowel Pin Alloy Steel, 1/8" Diameter, 1/4" Long</t>
  </si>
  <si>
    <t>Integration</t>
  </si>
  <si>
    <t>DigiKey</t>
  </si>
  <si>
    <t>RMHD19003BK</t>
  </si>
  <si>
    <t>71145K51</t>
  </si>
  <si>
    <t>Rack-Mount Outlet Strip, 6 Front and 6 Rear Outlets, 15 Feet Long Cord</t>
  </si>
  <si>
    <t>5214-CLPSCRW1032-ND</t>
  </si>
  <si>
    <t>2584N223</t>
  </si>
  <si>
    <t>8357T61</t>
  </si>
  <si>
    <t>7815N11</t>
  </si>
  <si>
    <t>2770-786411-01-ND</t>
  </si>
  <si>
    <t>1133A4</t>
  </si>
  <si>
    <t>Length</t>
  </si>
  <si>
    <t>Q Design</t>
  </si>
  <si>
    <t>Q Stock</t>
  </si>
  <si>
    <t>Q Need</t>
  </si>
  <si>
    <t>TRS 21</t>
  </si>
  <si>
    <t>ERS 33</t>
  </si>
  <si>
    <t>RSS 1</t>
  </si>
  <si>
    <t>TRS 22</t>
  </si>
  <si>
    <t>ERS 25</t>
  </si>
  <si>
    <t>ERS 28</t>
  </si>
  <si>
    <t>ERS 29</t>
  </si>
  <si>
    <t>ERS 30</t>
  </si>
  <si>
    <t>ERS 31</t>
  </si>
  <si>
    <t>ERS 32</t>
  </si>
  <si>
    <t>ERS 34</t>
  </si>
  <si>
    <t>ERS 35</t>
  </si>
  <si>
    <t>ERS 36</t>
  </si>
  <si>
    <t>ERS 37</t>
  </si>
  <si>
    <t>ERS 39</t>
  </si>
  <si>
    <t>ERS 40</t>
  </si>
  <si>
    <t>RSS 2</t>
  </si>
  <si>
    <t>ERS 21</t>
  </si>
  <si>
    <t>ERS 22</t>
  </si>
  <si>
    <t>ERS 23</t>
  </si>
  <si>
    <t>ERS 24</t>
  </si>
  <si>
    <t>ERS 26</t>
  </si>
  <si>
    <t>ERS 27</t>
  </si>
  <si>
    <r>
      <rPr>
        <sz val="10"/>
        <rFont val="Archivo Narrow"/>
      </rPr>
      <t xml:space="preserve">We have the galvo, power supply and mounting block. </t>
    </r>
    <r>
      <rPr>
        <u/>
        <sz val="10"/>
        <color rgb="FF1155CC"/>
        <rFont val="Archivo Narrow"/>
      </rPr>
      <t>https://www.edmundoptics.com/p/up150d-24-vdc-power-supply-for-scannermax-mach-dsp/44532/?srsltid=AfmBOorKXSPqFr5jPq2sLyohFGUzbHd31aSoaUabUcWtlrBIf9BXsSea</t>
    </r>
  </si>
  <si>
    <r>
      <rPr>
        <sz val="10"/>
        <color rgb="FF000000"/>
        <rFont val="Archivo Narrow"/>
      </rPr>
      <t xml:space="preserve">This product has been superseded by part number LCP34.  </t>
    </r>
    <r>
      <rPr>
        <u/>
        <sz val="10"/>
        <color rgb="FF434343"/>
        <rFont val="Archivo Narrow"/>
      </rPr>
      <t>https://www.thorlabs.com/thorproduct.cfm?partnumber=LCP01</t>
    </r>
  </si>
  <si>
    <r>
      <rPr>
        <sz val="10"/>
        <color rgb="FF000000"/>
        <rFont val="Archivo Narrow"/>
      </rPr>
      <t xml:space="preserve">Part of the zebrafish holder stage/manipulator. </t>
    </r>
    <r>
      <rPr>
        <u/>
        <sz val="10"/>
        <color rgb="FF1155CC"/>
        <rFont val="Archivo Narrow"/>
      </rPr>
      <t>https://www.thorlabs.com/thorproduct.cfm?partnumber=PT1#ad-image-0.</t>
    </r>
    <r>
      <rPr>
        <sz val="10"/>
        <color rgb="FF000000"/>
        <rFont val="Archivo Narrow"/>
      </rPr>
      <t xml:space="preserve"> </t>
    </r>
    <r>
      <rPr>
        <u/>
        <sz val="10"/>
        <color rgb="FF1155CC"/>
        <rFont val="Archivo Narrow"/>
      </rPr>
      <t>https://www.thorlabs.com/newgrouppage9.cfm?objectgroup_id=706</t>
    </r>
  </si>
  <si>
    <r>
      <rPr>
        <sz val="10"/>
        <color rgb="FF000000"/>
        <rFont val="Archivo Narrow"/>
      </rPr>
      <t xml:space="preserve">Need 1 for each camera relay lens 1 (x2 cameras so that's 2). Need another 1 for the L3 tube lens bringing the total needed to 3. Should have gotten this mounted (-ML version). This version requires us to additionally get the LMR2 and SM2L10 to mount it.  </t>
    </r>
    <r>
      <rPr>
        <u/>
        <sz val="10"/>
        <color rgb="FF434343"/>
        <rFont val="Archivo Narrow"/>
      </rPr>
      <t>https://www.thorlabs.com/thorproduct.cfm?partnumber=ACT508-1000-A</t>
    </r>
    <r>
      <rPr>
        <sz val="10"/>
        <color rgb="FF000000"/>
        <rFont val="Archivo Narrow"/>
      </rPr>
      <t xml:space="preserve"> </t>
    </r>
  </si>
  <si>
    <r>
      <rPr>
        <sz val="10"/>
        <rFont val="Archivo Narrow"/>
      </rPr>
      <t xml:space="preserve">Not sure yet how many to get; Corban will send parts list. </t>
    </r>
    <r>
      <rPr>
        <u/>
        <sz val="10"/>
        <color rgb="FF1155CC"/>
        <rFont val="Archivo Narrow"/>
      </rPr>
      <t>https://www.thorlabs.com/thorproduct.cfm?partnumber=ER6-P4</t>
    </r>
  </si>
  <si>
    <r>
      <rPr>
        <sz val="10"/>
        <color rgb="FF000000"/>
        <rFont val="Archivo Narrow"/>
      </rPr>
      <t xml:space="preserve">Used in Zeguan's orginal design but we are using somehting different. </t>
    </r>
    <r>
      <rPr>
        <u/>
        <sz val="10"/>
        <color rgb="FF434343"/>
        <rFont val="Archivo Narrow"/>
      </rPr>
      <t>https://www.edmundoptics.com/p/3mm-dia-x-9mm-fl-vis-0deg-coated-achromatic-lens/9607/?srsltid=AfmBOoogf28MNBkknd2WDS97veEn_9kuoA4NwilBtqQPC1DcoCY2UIlG</t>
    </r>
  </si>
  <si>
    <r>
      <rPr>
        <sz val="10"/>
        <rFont val="Archivo Narrow"/>
      </rPr>
      <t xml:space="preserve">Part of the zebrafish holder stage/manipulator. </t>
    </r>
    <r>
      <rPr>
        <u/>
        <sz val="10"/>
        <color rgb="FF1155CC"/>
        <rFont val="Archivo Narrow"/>
      </rPr>
      <t>https://www.thorlabs.com/thorproduct.cfm?partnumber=PT101#ad-image-0</t>
    </r>
    <r>
      <rPr>
        <sz val="10"/>
        <rFont val="Archivo Narrow"/>
      </rPr>
      <t xml:space="preserve"> . </t>
    </r>
    <r>
      <rPr>
        <u/>
        <sz val="10"/>
        <color rgb="FF1155CC"/>
        <rFont val="Archivo Narrow"/>
      </rPr>
      <t>https://www.thorlabs.com/newgrouppage9.cfm?objectgroup_id=706</t>
    </r>
    <r>
      <rPr>
        <sz val="10"/>
        <rFont val="Archivo Narrow"/>
      </rPr>
      <t xml:space="preserve"> </t>
    </r>
  </si>
  <si>
    <r>
      <rPr>
        <sz val="10"/>
        <rFont val="Archivo Narrow"/>
      </rPr>
      <t xml:space="preserve">The adapter/knob has been removed because we are going to move it with a piezo driver instead. </t>
    </r>
    <r>
      <rPr>
        <u/>
        <sz val="10"/>
        <color rgb="FF1155CC"/>
        <rFont val="Archivo Narrow"/>
      </rPr>
      <t>https://www.thorlabs.com/thorproduct.cfm?partnumber=MT1#ad-image-0</t>
    </r>
    <r>
      <rPr>
        <sz val="10"/>
        <rFont val="Archivo Narrow"/>
      </rPr>
      <t xml:space="preserve"> </t>
    </r>
  </si>
  <si>
    <r>
      <rPr>
        <sz val="10"/>
        <rFont val="Archivo Narrow"/>
      </rPr>
      <t xml:space="preserve">Part of the zebrafish holder stage/manipulator. </t>
    </r>
    <r>
      <rPr>
        <u/>
        <sz val="10"/>
        <color rgb="FF1155CC"/>
        <rFont val="Archivo Narrow"/>
      </rPr>
      <t>https://www.thorlabs.com/thorproduct.cfm?partnumber=PT102#ad-image-0</t>
    </r>
    <r>
      <rPr>
        <sz val="10"/>
        <rFont val="Archivo Narrow"/>
      </rPr>
      <t xml:space="preserve"> . </t>
    </r>
    <r>
      <rPr>
        <u/>
        <sz val="10"/>
        <color rgb="FF1155CC"/>
        <rFont val="Archivo Narrow"/>
      </rPr>
      <t>https://www.thorlabs.com/newgrouppage9.cfm?objectgroup_id=706</t>
    </r>
    <r>
      <rPr>
        <sz val="10"/>
        <rFont val="Archivo Narrow"/>
      </rPr>
      <t xml:space="preserve"> </t>
    </r>
  </si>
  <si>
    <r>
      <rPr>
        <sz val="10"/>
        <rFont val="Archivo Narrow"/>
      </rPr>
      <t xml:space="preserve">This product has been superseded by part number Z912B. </t>
    </r>
    <r>
      <rPr>
        <u/>
        <sz val="10"/>
        <color rgb="FF1155CC"/>
        <rFont val="Archivo Narrow"/>
      </rPr>
      <t>https://www.thorlabs.com/thorproduct.cfm?partnumber=Z812B</t>
    </r>
    <r>
      <rPr>
        <sz val="10"/>
        <rFont val="Archivo Narrow"/>
      </rPr>
      <t xml:space="preserve"> </t>
    </r>
  </si>
  <si>
    <r>
      <rPr>
        <sz val="10"/>
        <color rgb="FF000000"/>
        <rFont val="Archivo Narrow"/>
      </rPr>
      <t xml:space="preserve">Comes with 2 SM2CP1 caps for protection.  </t>
    </r>
    <r>
      <rPr>
        <u/>
        <sz val="10"/>
        <color rgb="FF434343"/>
        <rFont val="Archivo Narrow"/>
      </rPr>
      <t>https://www.thorlabs.com/thorproduct.cfm?partnumber=CLS-SL</t>
    </r>
  </si>
  <si>
    <r>
      <rPr>
        <u/>
        <sz val="10"/>
        <color rgb="FF434343"/>
        <rFont val="Archivo Narrow"/>
      </rPr>
      <t>https://www.thorlabs.com/thorproduct.cfm?partnumber=LEDD1B</t>
    </r>
    <r>
      <rPr>
        <u/>
        <sz val="10"/>
        <color rgb="FF000000"/>
        <rFont val="Archivo Narrow"/>
      </rPr>
      <t xml:space="preserve"> </t>
    </r>
  </si>
  <si>
    <r>
      <rPr>
        <u/>
        <sz val="10"/>
        <color rgb="FF434343"/>
        <rFont val="Archivo Narrow"/>
      </rPr>
      <t>https://www.thorlabs.com/thorproduct.cfm?partnumber=LMR2#ad-image-0</t>
    </r>
    <r>
      <rPr>
        <sz val="10"/>
        <color rgb="FF000000"/>
        <rFont val="Archivo Narrow"/>
      </rPr>
      <t xml:space="preserve"> ; </t>
    </r>
    <r>
      <rPr>
        <sz val="10"/>
        <rFont val="Archivo Narrow"/>
      </rPr>
      <t>Need 1 for ITL200 and 1 for each of the ACT508 lenses (along with and SM2L10 for mounting).</t>
    </r>
  </si>
  <si>
    <r>
      <rPr>
        <sz val="10"/>
        <color rgb="FF000000"/>
        <rFont val="Archivo Narrow"/>
      </rPr>
      <t xml:space="preserve">Came with CLS-SL. </t>
    </r>
    <r>
      <rPr>
        <u/>
        <sz val="10"/>
        <color rgb="FF434343"/>
        <rFont val="Archivo Narrow"/>
      </rPr>
      <t>https://www.thorlabs.com/thorproduct.cfm?partnumber=SM2CP1</t>
    </r>
  </si>
  <si>
    <r>
      <rPr>
        <sz val="10"/>
        <color rgb="FF000000"/>
        <rFont val="Archivo Narrow"/>
      </rPr>
      <t xml:space="preserve">This product has been superseded by part number KEH6. </t>
    </r>
    <r>
      <rPr>
        <u/>
        <sz val="10"/>
        <color rgb="FF434343"/>
        <rFont val="Archivo Narrow"/>
      </rPr>
      <t>https://www.thorlabs.com/thorproduct.cfm?partnumber=TCH002</t>
    </r>
  </si>
  <si>
    <r>
      <rPr>
        <sz val="10"/>
        <color rgb="FF000000"/>
        <rFont val="Archivo Narrow"/>
      </rPr>
      <t xml:space="preserve">This product has been superseded by part number KDC101.
 </t>
    </r>
    <r>
      <rPr>
        <u/>
        <sz val="10"/>
        <color rgb="FF434343"/>
        <rFont val="Archivo Narrow"/>
      </rPr>
      <t>https://www.thorlabs.com/thorproduct.cfm?partnumber=TDC001</t>
    </r>
  </si>
  <si>
    <t>Quantity</t>
  </si>
  <si>
    <t>McMaster-Carr Total</t>
  </si>
  <si>
    <t>Thorlabs Total</t>
  </si>
  <si>
    <t>SUM of Q. Stock</t>
  </si>
  <si>
    <t>(unknown) Total</t>
  </si>
  <si>
    <t>Chroma Total</t>
  </si>
  <si>
    <t>CUSTOM Total</t>
  </si>
  <si>
    <t>DigiKey Total</t>
  </si>
  <si>
    <t>Edmund Optics Total</t>
  </si>
  <si>
    <t>HÜBNER Total</t>
  </si>
  <si>
    <t>Idex Total</t>
  </si>
  <si>
    <t>Laserline Optics Total</t>
  </si>
  <si>
    <t>Microscope Central Total</t>
  </si>
  <si>
    <t>Newport Total</t>
  </si>
  <si>
    <t>Spach Optics Total</t>
  </si>
  <si>
    <t>Ximea Total</t>
  </si>
  <si>
    <t>ORDER 103 - 2025.12.02</t>
  </si>
  <si>
    <t>ORDER 102 - 2025.11.18</t>
  </si>
  <si>
    <t>ORDER 101 - 2025.11.06</t>
  </si>
  <si>
    <t xml:space="preserve">Q. </t>
  </si>
  <si>
    <t>Q. Recv.</t>
  </si>
  <si>
    <t>Date Recv</t>
  </si>
  <si>
    <t>ACT508-1000-A</t>
  </si>
  <si>
    <t>ACT508-750-A</t>
  </si>
  <si>
    <t>Name</t>
  </si>
  <si>
    <t>Value</t>
  </si>
  <si>
    <t>Unit</t>
  </si>
  <si>
    <t>Formula</t>
  </si>
  <si>
    <t>Computed?</t>
  </si>
  <si>
    <t>Definitions</t>
  </si>
  <si>
    <t>SAM</t>
  </si>
  <si>
    <t>sample/object; zebrafish larva</t>
  </si>
  <si>
    <t>OL1</t>
  </si>
  <si>
    <t>imaging objective lens [OL1]; Olympus XLUMPLFLN20XW</t>
  </si>
  <si>
    <t>L1</t>
  </si>
  <si>
    <t>imaging tube lens [L1]; Thorlabs TTL200MP</t>
  </si>
  <si>
    <t>L2</t>
  </si>
  <si>
    <t>remote imaging tube lens to OL2 [L2]; Thorlabs TTL200-A + 2 x Thorlabs AC508-750-A</t>
  </si>
  <si>
    <t>OL2</t>
  </si>
  <si>
    <t>remote refocusing objective [OL2]; Oympus UPLXAPO20X</t>
  </si>
  <si>
    <t>PZM</t>
  </si>
  <si>
    <t>remote refocusing mirror</t>
  </si>
  <si>
    <t>L3</t>
  </si>
  <si>
    <t>remote imaging tube lens to KEM [L3]; Thorlabs TTL200MP + Thorlabs AC508-1000-A</t>
  </si>
  <si>
    <t>L4</t>
  </si>
  <si>
    <t>camera relay lens 1 []; Thorlabs ACT508-1000-A + 3 x Thorlabs ACT508-750-A</t>
  </si>
  <si>
    <t>OL3</t>
  </si>
  <si>
    <t>camera relay lens 2 []; Nikon MRD00045 (CFI Plan Apochromat Lambda 4X)</t>
  </si>
  <si>
    <t>CAM</t>
  </si>
  <si>
    <t>imaging camera</t>
  </si>
  <si>
    <t>OL4</t>
  </si>
  <si>
    <t>illumination objective []; Olympus XLFLUOR4X/340</t>
  </si>
  <si>
    <t>L5</t>
  </si>
  <si>
    <t>illumination tube lens [TL]; Thorlabs ITL200</t>
  </si>
  <si>
    <t>MSK1</t>
  </si>
  <si>
    <t>scan mask for blocking light into eye</t>
  </si>
  <si>
    <t>L6</t>
  </si>
  <si>
    <t>illumination scan lens [SL]; Thorlabs CLS-SL</t>
  </si>
  <si>
    <t>GV1</t>
  </si>
  <si>
    <t xml:space="preserve">galvo for light sheet scanning []; </t>
  </si>
  <si>
    <t>L7</t>
  </si>
  <si>
    <t>illumination relay lens 1 [RL1]; Thorlabs AC254-100-A</t>
  </si>
  <si>
    <t>L8</t>
  </si>
  <si>
    <t>illumination relay lens 2 [RL2]; Thorlabs AC127-075-A</t>
  </si>
  <si>
    <t>PL1</t>
  </si>
  <si>
    <t>illumination powell lens []; Laserline Optics LOCP-8.9R05-1.4</t>
  </si>
  <si>
    <t>L9</t>
  </si>
  <si>
    <t>collimation lens []; Thorlabs PAF2-A7A {replacing Edmund Optics f=9 mm acromat}</t>
  </si>
  <si>
    <t>FB1</t>
  </si>
  <si>
    <t>single mode fiber []; Thorlabs P1-460AR-2</t>
  </si>
  <si>
    <t>L10</t>
  </si>
  <si>
    <t>fiber coupling lens []; Thorlabs f=3.1 mm asphere C330TMD-A</t>
  </si>
  <si>
    <t>LAS1</t>
  </si>
  <si>
    <t>515 nm light source []; Cobolt 06-MLD 515nm</t>
  </si>
  <si>
    <t>I1</t>
  </si>
  <si>
    <t>sample/object plane</t>
  </si>
  <si>
    <t>I2</t>
  </si>
  <si>
    <t>intermediate image plane between L1 and L2</t>
  </si>
  <si>
    <t>I3</t>
  </si>
  <si>
    <t>intermediate image plane at OL2</t>
  </si>
  <si>
    <t>I4</t>
  </si>
  <si>
    <t>intermediate image plane at KEM</t>
  </si>
  <si>
    <t>I5</t>
  </si>
  <si>
    <t>image plane at camera</t>
  </si>
  <si>
    <t>I6</t>
  </si>
  <si>
    <t>illumination image plane at sample/object</t>
  </si>
  <si>
    <t>I7</t>
  </si>
  <si>
    <t>illumination image plane between L5 and L6 (at mask)</t>
  </si>
  <si>
    <t>I8</t>
  </si>
  <si>
    <t>illumination image plane between L7 and L8 (within relay system)</t>
  </si>
  <si>
    <t>P1</t>
  </si>
  <si>
    <t>pupil between OL1 and L1</t>
  </si>
  <si>
    <t>P2</t>
  </si>
  <si>
    <t>pupil between L2 and OL2/OL2 and L3</t>
  </si>
  <si>
    <t>P3</t>
  </si>
  <si>
    <t>pupil between L4 and OL3</t>
  </si>
  <si>
    <t>pupil at OL4 (illumination objective) back aperature</t>
  </si>
  <si>
    <t>P5</t>
  </si>
  <si>
    <t>pupil at light sheet scanning galvo</t>
  </si>
  <si>
    <t>pupil at powell lens exit aperature</t>
  </si>
  <si>
    <t>P7</t>
  </si>
  <si>
    <t>pupil at L9 (collimating lens) output</t>
  </si>
  <si>
    <t>P8</t>
  </si>
  <si>
    <t>pupil at FB1 (fiber) output</t>
  </si>
  <si>
    <t>P9</t>
  </si>
  <si>
    <t>pupil at FB1 (fiber) input</t>
  </si>
  <si>
    <t>pupil at L10 (coupling lens) input</t>
  </si>
  <si>
    <t>M_{OL1}</t>
  </si>
  <si>
    <t>OL1 design magnification</t>
  </si>
  <si>
    <t>NA_{OL1}</t>
  </si>
  <si>
    <t>OL1 numeric aperature</t>
  </si>
  <si>
    <t>n_{OL1}</t>
  </si>
  <si>
    <t>OL1 immersion media refractive index</t>
  </si>
  <si>
    <t>f_{tube,OL1}</t>
  </si>
  <si>
    <t>mm</t>
  </si>
  <si>
    <t>OL1 tube lens design focal length</t>
  </si>
  <si>
    <t>WD_{OL1}</t>
  </si>
  <si>
    <t>OL1 working distance</t>
  </si>
  <si>
    <t>FN_{OL1}</t>
  </si>
  <si>
    <t>OL1 field number (diameter of image at image plane when tube lens of f_{tube,OL1} used</t>
  </si>
  <si>
    <t>PFD_{OL1}</t>
  </si>
  <si>
    <t>OL1 parfocal length</t>
  </si>
  <si>
    <t>f_{OL1}</t>
  </si>
  <si>
    <t>f_{tube,OL1} / M_{OL1}</t>
  </si>
  <si>
    <t>OL1  effective focal length</t>
  </si>
  <si>
    <t>f_{OL1,adj}</t>
  </si>
  <si>
    <t>f_{OL1} × n_{OL1}</t>
  </si>
  <si>
    <t>OL1 effective focal length, refractive index-adjusted</t>
  </si>
  <si>
    <t>E_{OL1}</t>
  </si>
  <si>
    <t>2 × NA_{OL1} × f_{OL1}</t>
  </si>
  <si>
    <t>OL1 entrance/exit pupil diameter</t>
  </si>
  <si>
    <t>FS_{OL1}</t>
  </si>
  <si>
    <t>FN_{OL1} / M_{OL1}</t>
  </si>
  <si>
    <t>OL1 field of view diameter</t>
  </si>
  <si>
    <t>G_{OL1}</t>
  </si>
  <si>
    <t>mm^2</t>
  </si>
  <si>
    <t>(π × NA_{OL1} × FN_{OL1} / 2 / M_{OL1}) ^ 2</t>
  </si>
  <si>
    <t>etendue for OL1</t>
  </si>
  <si>
    <t>θ_{OL1.P,min}</t>
  </si>
  <si>
    <t>deg</t>
  </si>
  <si>
    <t>asin(FN_{OL1} / 2 / f_{tube,OL1})</t>
  </si>
  <si>
    <t>minimum divergence at exit pupil of OL1 by conservation of etendue</t>
  </si>
  <si>
    <t>θ_{OL1.P}</t>
  </si>
  <si>
    <t>FS_{OL1} / 2 / f_{OL1}</t>
  </si>
  <si>
    <t>exit angle of colimated light originating from edge of OL1 veiw field</t>
  </si>
  <si>
    <t>M_{OL2}</t>
  </si>
  <si>
    <t>NA_{OL2}</t>
  </si>
  <si>
    <t>n_{OL2}</t>
  </si>
  <si>
    <t>f_{tube,OL2}</t>
  </si>
  <si>
    <t>WD_{OL2}</t>
  </si>
  <si>
    <t>FN_{OL2}</t>
  </si>
  <si>
    <t>PFD_{OL2}</t>
  </si>
  <si>
    <t>f_{OL2}</t>
  </si>
  <si>
    <t>OL2 effective focal length</t>
  </si>
  <si>
    <t>f_{OL2,adj}</t>
  </si>
  <si>
    <t>OL2 effective focal length, refractive index-adjusted</t>
  </si>
  <si>
    <t>E_{OL2}</t>
  </si>
  <si>
    <t>OL2 entrance/exit pupil diameter</t>
  </si>
  <si>
    <t>FS_{OL2}</t>
  </si>
  <si>
    <t>G_{OL2}</t>
  </si>
  <si>
    <t>etendue for OL2</t>
  </si>
  <si>
    <t>θ_{OL2.P,min}</t>
  </si>
  <si>
    <t>minimum divergence at exit pupil of OL2 by conservation of etendue</t>
  </si>
  <si>
    <t>M_{OL3}</t>
  </si>
  <si>
    <t>NA_{OL3}</t>
  </si>
  <si>
    <t>n_{OL3}</t>
  </si>
  <si>
    <t>f_{tube,OL3}</t>
  </si>
  <si>
    <t>WD_{OL3}</t>
  </si>
  <si>
    <t>FN_{OL3}</t>
  </si>
  <si>
    <t>PFD_{OL3}</t>
  </si>
  <si>
    <t>f_{OL3}</t>
  </si>
  <si>
    <t>OL3 effective focal length</t>
  </si>
  <si>
    <t>f_{OL3,adj}</t>
  </si>
  <si>
    <t>OL3 effective focal length, refractive index-adjusted</t>
  </si>
  <si>
    <t>E_{OL3}</t>
  </si>
  <si>
    <t>OL3 entrance/exit pupil diameter</t>
  </si>
  <si>
    <t>FS_{OL3}</t>
  </si>
  <si>
    <t>G_{OL3}</t>
  </si>
  <si>
    <t>etendue for OL3</t>
  </si>
  <si>
    <t>θ_{OL3.P,min}</t>
  </si>
  <si>
    <t>minimum divergence at exit pupil of OL3 by conservation of etendue</t>
  </si>
  <si>
    <t>dE</t>
  </si>
  <si>
    <t>D</t>
  </si>
  <si>
    <t>f_{L1}</t>
  </si>
  <si>
    <t>L1 focal length</t>
  </si>
  <si>
    <t>WD_{L1}</t>
  </si>
  <si>
    <t>L1 image-facing flange distance to image plane</t>
  </si>
  <si>
    <t>PD_{L1}</t>
  </si>
  <si>
    <t>L1 pupil-facing flange distance to pupil plane</t>
  </si>
  <si>
    <t>T_{L1}</t>
  </si>
  <si>
    <t>L1 flange-to-flange thickness</t>
  </si>
  <si>
    <t>E_{L1,max}</t>
  </si>
  <si>
    <t>L1 max entrance pupil diameter</t>
  </si>
  <si>
    <t>f_{L2}</t>
  </si>
  <si>
    <t>L2 focal length</t>
  </si>
  <si>
    <t>WD_{L2}</t>
  </si>
  <si>
    <t>L2 image-facing flange distance to image plane</t>
  </si>
  <si>
    <t>PD_{L2,min}</t>
  </si>
  <si>
    <t>L2 minimum pupil-facing flange distance to pupil plane</t>
  </si>
  <si>
    <t>PD_{L2,max}</t>
  </si>
  <si>
    <t>L2 maximum pupil-facing flange distance to pupil plane</t>
  </si>
  <si>
    <t>PD_{L2}</t>
  </si>
  <si>
    <t>T_{L2}</t>
  </si>
  <si>
    <t>L2 flange-to-flange thickness</t>
  </si>
  <si>
    <t>E_{L2,max}</t>
  </si>
  <si>
    <t>f_{L3}</t>
  </si>
  <si>
    <t>WD_{L3}</t>
  </si>
  <si>
    <t>PD_{L3}</t>
  </si>
  <si>
    <t>T_{L3}</t>
  </si>
  <si>
    <t>E_{L3,max}</t>
  </si>
  <si>
    <t>f_{L4}</t>
  </si>
  <si>
    <t>WD_{L4}</t>
  </si>
  <si>
    <t>T_{L4}</t>
  </si>
  <si>
    <t>Camera</t>
  </si>
  <si>
    <t>S_{pixel}</t>
  </si>
  <si>
    <t>µm</t>
  </si>
  <si>
    <t>pixel size</t>
  </si>
  <si>
    <t>S_{cam,x}</t>
  </si>
  <si>
    <t>S_{cam_y}</t>
  </si>
  <si>
    <t>n_{cam,x}</t>
  </si>
  <si>
    <t>n_{cam,y}</t>
  </si>
  <si>
    <t>Magnifications</t>
  </si>
  <si>
    <t>M_{OL1+L1}</t>
  </si>
  <si>
    <t>f_{L1} / f_{OL1}</t>
  </si>
  <si>
    <t>OL1 + L1 effective magnification</t>
  </si>
  <si>
    <t>M_{OL2+L2}</t>
  </si>
  <si>
    <t>OL1 + L2 effective magnification (reverse)</t>
  </si>
  <si>
    <t>M_{OL2+L3}</t>
  </si>
  <si>
    <t>OL1 + L3 effective magnification</t>
  </si>
  <si>
    <t>M_{OL3+L4}</t>
  </si>
  <si>
    <t>OL3 + L4 effective magnification (reverse)</t>
  </si>
  <si>
    <t>M_{OL4+L5}</t>
  </si>
  <si>
    <t>OL4 + L5 effective magnification (reverse)</t>
  </si>
  <si>
    <t>M_{I1,I2}</t>
  </si>
  <si>
    <t>magnification from I1 to I2</t>
  </si>
  <si>
    <t>M_{I1,I3}</t>
  </si>
  <si>
    <t>M_{I1,I4}</t>
  </si>
  <si>
    <t>M_{I1,I5}</t>
  </si>
  <si>
    <t>M_{I2,I4}</t>
  </si>
  <si>
    <t>M_{I3,I5}</t>
  </si>
  <si>
    <t>M_{P1,P2}</t>
  </si>
  <si>
    <t>f_{L2} / f_{L1}</t>
  </si>
  <si>
    <t>L1 + L2 effective magnification</t>
  </si>
  <si>
    <t>M_{P2,P3}</t>
  </si>
  <si>
    <t>f_{L4} / f_{L3}</t>
  </si>
  <si>
    <t>L2 + L3 effective magnification</t>
  </si>
  <si>
    <t>S_{I1,x}</t>
  </si>
  <si>
    <t>object size at I1 in x</t>
  </si>
  <si>
    <t>S_{I1,y}</t>
  </si>
  <si>
    <t>object size at I1 in y</t>
  </si>
  <si>
    <t>S_{I1}</t>
  </si>
  <si>
    <t>object circle diameter (i.e. image diagonal) at I1</t>
  </si>
  <si>
    <t>θ_{I1}</t>
  </si>
  <si>
    <t>G_{I1}</t>
  </si>
  <si>
    <t>OL1.I</t>
  </si>
  <si>
    <t>dE_{OL1.I}</t>
  </si>
  <si>
    <t>E_{OL1.I}</t>
  </si>
  <si>
    <t>E_{P1}</t>
  </si>
  <si>
    <t>diameter of collimated light at P1</t>
  </si>
  <si>
    <t>θ_{P1}</t>
  </si>
  <si>
    <t>S_{I1,diag} / 2 / f_{OL1}</t>
  </si>
  <si>
    <t>max exit angle of light at P1 from max extent of I1 view field</t>
  </si>
  <si>
    <t>PD</t>
  </si>
  <si>
    <t>PD_{L1,OL1}</t>
  </si>
  <si>
    <t>L1.P</t>
  </si>
  <si>
    <t>dE_{L1.P}</t>
  </si>
  <si>
    <t>tan(θ_{P1}) × PD_{L1}</t>
  </si>
  <si>
    <t>expansion of light cone at L1 pupil-facing flange</t>
  </si>
  <si>
    <t>E_{L1.P}</t>
  </si>
  <si>
    <t>E_{P1} + (2 × dS_{L1.P})</t>
  </si>
  <si>
    <t>diameter of light cone at L1 pupil-facing flange</t>
  </si>
  <si>
    <t>L1.I</t>
  </si>
  <si>
    <t>dE_{L4.I}</t>
  </si>
  <si>
    <t>E_{L4.I}</t>
  </si>
  <si>
    <t>M_{I2}</t>
  </si>
  <si>
    <t>magnification of object at I2</t>
  </si>
  <si>
    <t>S_{I2,x}</t>
  </si>
  <si>
    <t>S_{I2,y}</t>
  </si>
  <si>
    <t>S_{I2}</t>
  </si>
  <si>
    <t>G_{I4.1}</t>
  </si>
  <si>
    <t>θ_{I4}</t>
  </si>
  <si>
    <t>L2.I</t>
  </si>
  <si>
    <t>L2.P</t>
  </si>
  <si>
    <t>dE_{L2.P}</t>
  </si>
  <si>
    <t>E_{L2.P}</t>
  </si>
  <si>
    <t>E_{L2.P,waist}</t>
  </si>
  <si>
    <t>PBS</t>
  </si>
  <si>
    <t>PD_{L2.P,PBS}</t>
  </si>
  <si>
    <t>dE_{PBS}</t>
  </si>
  <si>
    <t>E_{PBS}</t>
  </si>
  <si>
    <t>PD_{L2,OL2}</t>
  </si>
  <si>
    <t>distance from pupil flange of L2 to OL2</t>
  </si>
  <si>
    <t>P2.1</t>
  </si>
  <si>
    <t>dE_{P2.1}</t>
  </si>
  <si>
    <t>E_{P2.1}</t>
  </si>
  <si>
    <t>θ_{P2.1}</t>
  </si>
  <si>
    <t>OL2.I</t>
  </si>
  <si>
    <t>dE_{OL2.I}</t>
  </si>
  <si>
    <t>E_{OL2.I}</t>
  </si>
  <si>
    <t>M_{I3}</t>
  </si>
  <si>
    <t>S_{I3,x}</t>
  </si>
  <si>
    <t>S_{I3,y}</t>
  </si>
  <si>
    <t>S_{I3}</t>
  </si>
  <si>
    <t>S_{I3,θ}</t>
  </si>
  <si>
    <t>I3 image circle size by f-theta calculation at entrance pupil</t>
  </si>
  <si>
    <t>G_{I3}</t>
  </si>
  <si>
    <t>θ_{I3}</t>
  </si>
  <si>
    <t>P2.2</t>
  </si>
  <si>
    <t>E_{P2.2}</t>
  </si>
  <si>
    <t>θ_{P2.2}</t>
  </si>
  <si>
    <t>PD_{OL2,L3}</t>
  </si>
  <si>
    <t>L3.P</t>
  </si>
  <si>
    <t>dE_{L3.P}</t>
  </si>
  <si>
    <t>E_{L3.P}</t>
  </si>
  <si>
    <t>L3.I</t>
  </si>
  <si>
    <t>M_{I4}</t>
  </si>
  <si>
    <t>S_{I4,x}</t>
  </si>
  <si>
    <t>S_{I4.1,y}</t>
  </si>
  <si>
    <t>S_{I4.1}</t>
  </si>
  <si>
    <t>S_{I4.2,y}</t>
  </si>
  <si>
    <t>image size at I4 in y after KEM</t>
  </si>
  <si>
    <t>S_{I4.2}</t>
  </si>
  <si>
    <t>image circle diameter at I4 in y after KEM</t>
  </si>
  <si>
    <t>half angle of image cone at I4</t>
  </si>
  <si>
    <t>L4.I</t>
  </si>
  <si>
    <t>radial change in light cone size at L4 image flange</t>
  </si>
  <si>
    <t>light cone size at L4 image flange</t>
  </si>
  <si>
    <t>L4.P</t>
  </si>
  <si>
    <t>dE_{L4.P}</t>
  </si>
  <si>
    <t>E_{L4.P}</t>
  </si>
  <si>
    <t>E_{L4.P,waist}</t>
  </si>
  <si>
    <t>PD_{OL3,L4}</t>
  </si>
  <si>
    <t>dE_{P3}</t>
  </si>
  <si>
    <t>E_{P3}</t>
  </si>
  <si>
    <t>θ_{P3}</t>
  </si>
  <si>
    <t>OL3.I</t>
  </si>
  <si>
    <t>dE_{OL3.I}</t>
  </si>
  <si>
    <t>E_{OL3.I}</t>
  </si>
  <si>
    <t>M_{I5}</t>
  </si>
  <si>
    <t>S_{I5,x}</t>
  </si>
  <si>
    <t>S_{I5.1,y}</t>
  </si>
  <si>
    <t>S_{I5.1}</t>
  </si>
  <si>
    <t>S_{I5.2,y}</t>
  </si>
  <si>
    <t>S_{I5.2}</t>
  </si>
  <si>
    <t>G_{I5.1}</t>
  </si>
  <si>
    <t>θ_{I5}</t>
  </si>
  <si>
    <t>S_{pixel,I1}</t>
  </si>
  <si>
    <t>n_{I5,x}</t>
  </si>
  <si>
    <t>n_{I5.1,y}</t>
  </si>
  <si>
    <t>n_{I5.2,y}</t>
  </si>
  <si>
    <t>Image z-Locs.</t>
  </si>
  <si>
    <t>z_{I1}</t>
  </si>
  <si>
    <t>z_{SAM}</t>
  </si>
  <si>
    <t>z_{OL1.I}</t>
  </si>
  <si>
    <t>z_{OL1.P}</t>
  </si>
  <si>
    <t>z_{P1}</t>
  </si>
  <si>
    <t>z_{L1.P}</t>
  </si>
  <si>
    <t>z_{L1.I}</t>
  </si>
  <si>
    <t>z_{I2}</t>
  </si>
  <si>
    <t>z_{L2.I}</t>
  </si>
  <si>
    <t>z_{L2.P}</t>
  </si>
  <si>
    <t>z_{P2.1}</t>
  </si>
  <si>
    <t>z_{OL2.P.1}</t>
  </si>
  <si>
    <t>z_{OL2.I.1}</t>
  </si>
  <si>
    <t>z_{I3}</t>
  </si>
  <si>
    <t>z_{PZM}</t>
  </si>
  <si>
    <t>z_{OL2.I.2}</t>
  </si>
  <si>
    <t>z_{OL2.P.2}</t>
  </si>
  <si>
    <t>z_{P2.2}</t>
  </si>
  <si>
    <t>z_{L3.P}</t>
  </si>
  <si>
    <t>z_{L3.I}</t>
  </si>
  <si>
    <t>z_{I4}</t>
  </si>
  <si>
    <t>z_{L4.I}</t>
  </si>
  <si>
    <t>z_{L4.P}</t>
  </si>
  <si>
    <t>z_{P3}</t>
  </si>
  <si>
    <t>z_{OL3.P}</t>
  </si>
  <si>
    <t>z_{OL3.I}</t>
  </si>
  <si>
    <t>z_{I5}</t>
  </si>
  <si>
    <t>Image Dists.</t>
  </si>
  <si>
    <t>dz_{SAM,OL1.I}</t>
  </si>
  <si>
    <t>dz_SAM_OL1_I</t>
  </si>
  <si>
    <t>dz_{OL1.P,L1.P}</t>
  </si>
  <si>
    <t>dz_OL1_P_L1_P</t>
  </si>
  <si>
    <t>dz_{L1.I,L2.I}</t>
  </si>
  <si>
    <t>dz_L1_I_L2_I</t>
  </si>
  <si>
    <t>dz_{L2.P,OL2.P}</t>
  </si>
  <si>
    <t>dz_L2_P_OL2_P</t>
  </si>
  <si>
    <t>dz_{OL2.I,PZM}</t>
  </si>
  <si>
    <t>dz_OL2_I_PZM</t>
  </si>
  <si>
    <t>dz_{OL2.P,L3.P}</t>
  </si>
  <si>
    <t>dz_OL2_P_L3_P</t>
  </si>
  <si>
    <t>dz_{L3.I,KEM}</t>
  </si>
  <si>
    <t>dz_L3_I_KEM</t>
  </si>
  <si>
    <t>dz_{KEM,L4.I}</t>
  </si>
  <si>
    <t>dz_KEM_L4_I</t>
  </si>
  <si>
    <t>dz_{L4.P,OL3.P}</t>
  </si>
  <si>
    <t>dz_L4_P_OL3_P</t>
  </si>
  <si>
    <t>dz_{OL3.I,CAM}</t>
  </si>
  <si>
    <t>dz_OL3_I_CAM</t>
  </si>
  <si>
    <t>M_{OL4}</t>
  </si>
  <si>
    <t>NA_{OL4}</t>
  </si>
  <si>
    <t>n_{OL4}</t>
  </si>
  <si>
    <t>f_{tube,OL4}</t>
  </si>
  <si>
    <t>WD_{OL4}</t>
  </si>
  <si>
    <t>FN_{OL4}</t>
  </si>
  <si>
    <t>PFD_{OL4}</t>
  </si>
  <si>
    <t>FS_{OL4}</t>
  </si>
  <si>
    <t>OL4 field of view size</t>
  </si>
  <si>
    <t>f_{OL4}</t>
  </si>
  <si>
    <t>OL4 effective focal length</t>
  </si>
  <si>
    <t>f_{OL4,adj}</t>
  </si>
  <si>
    <t>OL4 effective focal length, refractive index-adjusted</t>
  </si>
  <si>
    <t>E_{OL4}</t>
  </si>
  <si>
    <t>OL4 entrance/exit pupil diameter</t>
  </si>
  <si>
    <t>G_{OL4}</t>
  </si>
  <si>
    <t>etendue for OL4</t>
  </si>
  <si>
    <t>θ_{OL4.P,min}</t>
  </si>
  <si>
    <t>minimum divergence at exit pupil of OL4 by conservation of etendue</t>
  </si>
  <si>
    <t>θ_{OL4.I}</t>
  </si>
  <si>
    <t>dE_[OL4.I}</t>
  </si>
  <si>
    <t>E_{OL4.I}</t>
  </si>
  <si>
    <t>f_{L5}</t>
  </si>
  <si>
    <t>WD_{L5}</t>
  </si>
  <si>
    <t>CA_{L5.P}</t>
  </si>
  <si>
    <t>CA_{L5.I}</t>
  </si>
  <si>
    <t>T_{L5}</t>
  </si>
  <si>
    <t>f_{L6}</t>
  </si>
  <si>
    <t>PD_{L5}</t>
  </si>
  <si>
    <t>PD_{L5,max}</t>
  </si>
  <si>
    <t>PD_{L5,min}</t>
  </si>
  <si>
    <t>E_{L5,max}</t>
  </si>
  <si>
    <t>f_{L7}</t>
  </si>
  <si>
    <t>WD_{L7}</t>
  </si>
  <si>
    <t>CA_{L7}</t>
  </si>
  <si>
    <t>f_{L8}</t>
  </si>
  <si>
    <t>θ_{PL1,x}</t>
  </si>
  <si>
    <t>PL1 (powell lens) fan half-angle</t>
  </si>
  <si>
    <t>T_{PL1}</t>
  </si>
  <si>
    <t>CA_{PL1}</t>
  </si>
  <si>
    <t>E_{PL1,x}</t>
  </si>
  <si>
    <t>active area size in x at exit pupil of PL1 (powell lens) for narrow input beam</t>
  </si>
  <si>
    <t>f_{L9}</t>
  </si>
  <si>
    <t>L9 (fiber collimator) focal length</t>
  </si>
  <si>
    <t>CA_{L9}</t>
  </si>
  <si>
    <t>θ_{L9,450nm}</t>
  </si>
  <si>
    <t>mrad</t>
  </si>
  <si>
    <t>minimum half angle beam divergence of light collimated through L9</t>
  </si>
  <si>
    <t>f_{L10}</t>
  </si>
  <si>
    <t>L10 (fiber coupler) focal length</t>
  </si>
  <si>
    <t>CA_{L10.I}</t>
  </si>
  <si>
    <t>CA_{L10.P}</t>
  </si>
  <si>
    <t>WD_{L10}</t>
  </si>
  <si>
    <t>T_{L10}</t>
  </si>
  <si>
    <t>f_{L10,1}</t>
  </si>
  <si>
    <t>π × d_{LAS1} × MFD_{FB1,min} / 4 / λ_{LAS1}</t>
  </si>
  <si>
    <t>minimum focal length for L10 (coupling lens) based on fiber MFD</t>
  </si>
  <si>
    <t>f_{L10,2}</t>
  </si>
  <si>
    <t>π × d_{LAS1} × MFD_{FB1,max} / 4 / λ_{LAS1}</t>
  </si>
  <si>
    <t>maximum focal length for L10 (coupling lens) based on fiber MFD</t>
  </si>
  <si>
    <t>λ_{LAS1}</t>
  </si>
  <si>
    <t>nm</t>
  </si>
  <si>
    <t>LAS1 wavelength</t>
  </si>
  <si>
    <t>BPP_{0,λ}</t>
  </si>
  <si>
    <t>E_{LAS1}</t>
  </si>
  <si>
    <t>median 1/e^2 diameter of LAS1 output light</t>
  </si>
  <si>
    <t>θ_{LAS1,max}</t>
  </si>
  <si>
    <t>maximum half angle beam divergence from LAS1</t>
  </si>
  <si>
    <t>G_{LAS1,max}</t>
  </si>
  <si>
    <t>um^2</t>
  </si>
  <si>
    <t>maximum etendue at LAS1</t>
  </si>
  <si>
    <t>BPP_{LAS1}</t>
  </si>
  <si>
    <t>beam parameter product</t>
  </si>
  <si>
    <t>M^2_{LAS1}</t>
  </si>
  <si>
    <t>MFD_{FB1,1}</t>
  </si>
  <si>
    <t>um</t>
  </si>
  <si>
    <t>MFD_{FB1,2}</t>
  </si>
  <si>
    <t>θ_{FB1,λ,1}</t>
  </si>
  <si>
    <t>half angle divergence at FB1 output at LAS1 wavelength based on median fiber MFD</t>
  </si>
  <si>
    <t>Mags.</t>
  </si>
  <si>
    <t>M_{I6,I7}</t>
  </si>
  <si>
    <t>M_{I7,I8}</t>
  </si>
  <si>
    <t>M_{P4,P5}</t>
  </si>
  <si>
    <t>M_{P5,P6}</t>
  </si>
  <si>
    <t>PD_{LAS1,P10}</t>
  </si>
  <si>
    <t>θ_{P10}</t>
  </si>
  <si>
    <t>dE_{P10}</t>
  </si>
  <si>
    <t>E_{P10}</t>
  </si>
  <si>
    <t>E_{P9}</t>
  </si>
  <si>
    <t>diffraction-limited spot size at focal point of L10 (coupling lens)</t>
  </si>
  <si>
    <t>θ_{P9}</t>
  </si>
  <si>
    <t>half angle beam convergence at fiber input by conservation of etendue</t>
  </si>
  <si>
    <t>NA_{P9}</t>
  </si>
  <si>
    <t>NA of converging beam at fiber input</t>
  </si>
  <si>
    <t>G_{P9}</t>
  </si>
  <si>
    <t>etendue for at P9, conserved from LAS1 output</t>
  </si>
  <si>
    <t>θ_{P8}</t>
  </si>
  <si>
    <t>median divergence angle at P8 (FB1 output)</t>
  </si>
  <si>
    <t>E_{P8}</t>
  </si>
  <si>
    <t>median MFD of FB1</t>
  </si>
  <si>
    <t>E_{P7,ref}</t>
  </si>
  <si>
    <t>reference/desired 1/e^2 laser light diameter at P7 (powell lens input)</t>
  </si>
  <si>
    <t>E_{P7}</t>
  </si>
  <si>
    <t>minimum 1/e^2 diameter of collimated light from L9 based on fiber median MFD</t>
  </si>
  <si>
    <t>θ_{P7}</t>
  </si>
  <si>
    <t>G_{P7}</t>
  </si>
  <si>
    <t>BPP_{P7}</t>
  </si>
  <si>
    <t>M^2_{P7}</t>
  </si>
  <si>
    <t>PD_{L9.P,PL1.P}</t>
  </si>
  <si>
    <t>PL1.P</t>
  </si>
  <si>
    <t>dE_{PL1.P}</t>
  </si>
  <si>
    <t>E_{PL1.P}</t>
  </si>
  <si>
    <t>E_{P6,x}</t>
  </si>
  <si>
    <t>E_{P6,y'}</t>
  </si>
  <si>
    <t>θ_{P6,x}</t>
  </si>
  <si>
    <t>θ_{P6,y'}</t>
  </si>
  <si>
    <t>M^2_{P6,x}</t>
  </si>
  <si>
    <t>M^2_{P6.I,y'}</t>
  </si>
  <si>
    <t>PD_{PL1.I,L8.P}</t>
  </si>
  <si>
    <t>L8.P</t>
  </si>
  <si>
    <t>dE_{L8.P,x}</t>
  </si>
  <si>
    <t>dE_{L8.P,y'}</t>
  </si>
  <si>
    <t>E_{L8.P,x}</t>
  </si>
  <si>
    <t>E_{L8.P,y'}</t>
  </si>
  <si>
    <t>L8.I</t>
  </si>
  <si>
    <t>dE_{L8.I,x}</t>
  </si>
  <si>
    <t>dE_{L8.I,y'}</t>
  </si>
  <si>
    <t>E_{L8.I,x}</t>
  </si>
  <si>
    <t>E_{L8.I,y'}</t>
  </si>
  <si>
    <t>S_{I8,x}</t>
  </si>
  <si>
    <t>S_{I8,y'}</t>
  </si>
  <si>
    <t>M^2_{I8,x}</t>
  </si>
  <si>
    <t>M^2_{I8,y'}</t>
  </si>
  <si>
    <t>θ_{I8,x}</t>
  </si>
  <si>
    <t>θ_{I8,y'}</t>
  </si>
  <si>
    <t>L7.I</t>
  </si>
  <si>
    <t>dE_{L7.I,x}</t>
  </si>
  <si>
    <t>dE_{L7.I,y'}</t>
  </si>
  <si>
    <t>E_{L7.I,x}</t>
  </si>
  <si>
    <t>E_{L7.I,y'}</t>
  </si>
  <si>
    <t>L7.P</t>
  </si>
  <si>
    <t>dE_{L7.P,x}</t>
  </si>
  <si>
    <t>dE_{L7.P,y'}</t>
  </si>
  <si>
    <t>E_{L7.P,x}</t>
  </si>
  <si>
    <t>E_{L7.P,y'}</t>
  </si>
  <si>
    <t>E_{L7.P}</t>
  </si>
  <si>
    <t>PD_{L7.P,P5}</t>
  </si>
  <si>
    <t>E_{P5,x}</t>
  </si>
  <si>
    <t>E_{P5,y'}</t>
  </si>
  <si>
    <t>θ_{P5,x}</t>
  </si>
  <si>
    <t>θ_{P5,y'}</t>
  </si>
  <si>
    <t>M^2_{P5,x}</t>
  </si>
  <si>
    <t>M^2_{P5,y',spot}</t>
  </si>
  <si>
    <t>θ_{scan,y'}</t>
  </si>
  <si>
    <t>θ_{P4,scan} / M_{P4,P5}</t>
  </si>
  <si>
    <t>M^2_{P5,y',scan}</t>
  </si>
  <si>
    <t>PD_{L6.P,P5}</t>
  </si>
  <si>
    <t>L6.P</t>
  </si>
  <si>
    <t>dE_{L6.P,x}</t>
  </si>
  <si>
    <t>dE_{L6.P,y',spot}</t>
  </si>
  <si>
    <t>dE_{L6.P,y',scan}</t>
  </si>
  <si>
    <t>dE_{L6.P,y'}</t>
  </si>
  <si>
    <t>E_{L6.P,x}</t>
  </si>
  <si>
    <t>E_{L6.P,y',spot}</t>
  </si>
  <si>
    <t>E_{L6.P,y',scan}</t>
  </si>
  <si>
    <t>E_{L6.P,y'}</t>
  </si>
  <si>
    <t>L6.I</t>
  </si>
  <si>
    <t>dE_{L6.I,x}</t>
  </si>
  <si>
    <t>E_{L6.P}</t>
  </si>
  <si>
    <t>S_{I7,x}</t>
  </si>
  <si>
    <t>S_{I7,y',spot}</t>
  </si>
  <si>
    <t>S_{I7,y',scan}</t>
  </si>
  <si>
    <t>S_{I7,y'}</t>
  </si>
  <si>
    <t>S_{I7}</t>
  </si>
  <si>
    <t>M^2_{I8,y',spot}</t>
  </si>
  <si>
    <t>M^2_{I8,y',scan}</t>
  </si>
  <si>
    <t>θ_{I8,y',spot}</t>
  </si>
  <si>
    <t>θ_{I8,y',scan}</t>
  </si>
  <si>
    <t>L5.I</t>
  </si>
  <si>
    <t>PD_{L5.P,P4}</t>
  </si>
  <si>
    <t>PD_{waist,approx}</t>
  </si>
  <si>
    <t>E_{P4,x,waist}</t>
  </si>
  <si>
    <t>E_{P4,y',waist}</t>
  </si>
  <si>
    <t>θ_{P4,x}</t>
  </si>
  <si>
    <t>θ_{P4,y',spot}</t>
  </si>
  <si>
    <t>θ_{P4,y',scan}</t>
  </si>
  <si>
    <t>S_{I6,y',scan} / 2 / f_{OL4}</t>
  </si>
  <si>
    <t>dE_{P4,x}</t>
  </si>
  <si>
    <t>dE_{P4,y'}</t>
  </si>
  <si>
    <t>E_{P4,x}</t>
  </si>
  <si>
    <t>size here should match the NA of objective for proper formation of sheet, ~6mm for the olumpus 4x</t>
  </si>
  <si>
    <t>E_{P4,y'}</t>
  </si>
  <si>
    <t>E_{P4}</t>
  </si>
  <si>
    <t>OL4.I</t>
  </si>
  <si>
    <t>dE_{OL4.I,x}</t>
  </si>
  <si>
    <t>dE_{OL4.I,y',spot}</t>
  </si>
  <si>
    <t>dE_{OL4.I,y',scan}</t>
  </si>
  <si>
    <t>E_{OL4.I,x}</t>
  </si>
  <si>
    <t>E_{OL4.I,y',spot}</t>
  </si>
  <si>
    <t>E_{OL4.I,y',scan}</t>
  </si>
  <si>
    <t>E_{OL4.I,y'}</t>
  </si>
  <si>
    <t>S_{I6,x}</t>
  </si>
  <si>
    <t>S_{I6,y',spot}</t>
  </si>
  <si>
    <t>S_{I6,y',scan}</t>
  </si>
  <si>
    <t>S_{I6,y'}</t>
  </si>
  <si>
    <t>S_{I6}</t>
  </si>
  <si>
    <t>M^2_{I6,x}</t>
  </si>
  <si>
    <t>M^2_{I6,y',spot}</t>
  </si>
  <si>
    <t>M^2_{I6,y',scan}</t>
  </si>
  <si>
    <t>θ_{I6,x}</t>
  </si>
  <si>
    <t>θ_{I6,y',spot}</t>
  </si>
  <si>
    <t>θ_{I6,y',scan}</t>
  </si>
  <si>
    <t>NA_{I6,y',spot}</t>
  </si>
  <si>
    <t>Launch. z-Locs</t>
  </si>
  <si>
    <t>z_{LAS1}</t>
  </si>
  <si>
    <t>z_{P10}</t>
  </si>
  <si>
    <t>z_{L10.P}</t>
  </si>
  <si>
    <t>z_{L10.I}</t>
  </si>
  <si>
    <t>z_{P9}</t>
  </si>
  <si>
    <r>
      <rPr>
        <sz val="10"/>
        <color theme="1"/>
        <rFont val="IBM Plex Mono"/>
      </rPr>
      <t>z_{</t>
    </r>
    <r>
      <rPr>
        <sz val="10"/>
        <color rgb="FF000000"/>
        <rFont val="IBM Plex Mono"/>
      </rPr>
      <t>FB1.IN</t>
    </r>
    <r>
      <rPr>
        <sz val="10"/>
        <color theme="1"/>
        <rFont val="IBM Plex Mono"/>
      </rPr>
      <t>}</t>
    </r>
  </si>
  <si>
    <t>Illum. z-Locs</t>
  </si>
  <si>
    <t>z_{FB1.OUT}</t>
  </si>
  <si>
    <t>z_{P8}</t>
  </si>
  <si>
    <t>z_{L9.P}</t>
  </si>
  <si>
    <t>z_{P7}</t>
  </si>
  <si>
    <t>z_{PL1.P}</t>
  </si>
  <si>
    <t>z_{PL1.I}</t>
  </si>
  <si>
    <t>z_{P6}</t>
  </si>
  <si>
    <t>z_{L8.P}</t>
  </si>
  <si>
    <t>z_{L8.I}</t>
  </si>
  <si>
    <t>z_{I8}</t>
  </si>
  <si>
    <t>z_{L7.I}</t>
  </si>
  <si>
    <t>z_{L7.P}</t>
  </si>
  <si>
    <t>z_{P5}</t>
  </si>
  <si>
    <t>z_{GV1}</t>
  </si>
  <si>
    <t>z_{L6.P}</t>
  </si>
  <si>
    <t>z_{L6.I}</t>
  </si>
  <si>
    <t>z_{I7}</t>
  </si>
  <si>
    <t>z_{MSK1}</t>
  </si>
  <si>
    <t>z_{L5.I}</t>
  </si>
  <si>
    <t>z_{L5.P}</t>
  </si>
  <si>
    <t>z_{P4}</t>
  </si>
  <si>
    <t>z_{OL4.P}</t>
  </si>
  <si>
    <t>z_{OL4.I}</t>
  </si>
  <si>
    <t>z_{I6}</t>
  </si>
  <si>
    <t>Illum. Dists.</t>
  </si>
  <si>
    <t>dz_{LAS1,L10.P}</t>
  </si>
  <si>
    <t>dz_LAS1_L10_P</t>
  </si>
  <si>
    <r>
      <rPr>
        <sz val="10"/>
        <color theme="1"/>
        <rFont val="IBM Plex Mono"/>
      </rPr>
      <t>dz_{L10.I,</t>
    </r>
    <r>
      <rPr>
        <sz val="10"/>
        <color rgb="FF000000"/>
        <rFont val="IBM Plex Mono"/>
      </rPr>
      <t>FB1.IN</t>
    </r>
    <r>
      <rPr>
        <sz val="10"/>
        <color theme="1"/>
        <rFont val="IBM Plex Mono"/>
      </rPr>
      <t>}</t>
    </r>
  </si>
  <si>
    <t>dz_L10_I_FB1_IN</t>
  </si>
  <si>
    <t>dz_{FB1.OUT,L9.P}</t>
  </si>
  <si>
    <t>dz_FB1_OUT_L9_P</t>
  </si>
  <si>
    <t>dz_{L9.P,PL1.P}</t>
  </si>
  <si>
    <t>dz_L9_P_PL1_P</t>
  </si>
  <si>
    <t>dz_{PL1.I,L8.P}</t>
  </si>
  <si>
    <t>dz_PL1_I_L8_P</t>
  </si>
  <si>
    <t>dz_{L8.I,L7.I}</t>
  </si>
  <si>
    <t>dz_L8_I_L7_I</t>
  </si>
  <si>
    <t>dz_{L7.P,GV1}</t>
  </si>
  <si>
    <t>dz_L7_P_GV1</t>
  </si>
  <si>
    <t>dz_{GV1,L6.P}</t>
  </si>
  <si>
    <t>dz_GV1_L6_P</t>
  </si>
  <si>
    <t>dz_{L6.I,MSK1}</t>
  </si>
  <si>
    <t>dz_L6_I_MSK1</t>
  </si>
  <si>
    <t>dz_{MSK1,L5.I}</t>
  </si>
  <si>
    <t>dz_MSK1_L5_I</t>
  </si>
  <si>
    <t>dz_{L5.P,OL4.P}</t>
  </si>
  <si>
    <t>dz_L5_P_OL4_P</t>
  </si>
  <si>
    <t>dz_{OL4.I,SAM}</t>
  </si>
  <si>
    <t>dz_OL4_I_SAM</t>
  </si>
  <si>
    <r>
      <rPr>
        <sz val="10"/>
        <color theme="1"/>
        <rFont val="IBM Plex Mono"/>
      </rPr>
      <t>z_{</t>
    </r>
    <r>
      <rPr>
        <sz val="10"/>
        <color rgb="FF000000"/>
        <rFont val="IBM Plex Mono"/>
      </rPr>
      <t>FB1.IN</t>
    </r>
    <r>
      <rPr>
        <sz val="10"/>
        <color theme="1"/>
        <rFont val="IBM Plex Mono"/>
      </rPr>
      <t>}</t>
    </r>
  </si>
  <si>
    <r>
      <rPr>
        <sz val="10"/>
        <color theme="1"/>
        <rFont val="IBM Plex Mono"/>
      </rPr>
      <t>dz_{L10.I,</t>
    </r>
    <r>
      <rPr>
        <sz val="10"/>
        <color rgb="FF000000"/>
        <rFont val="IBM Plex Mono"/>
      </rPr>
      <t>FB1.IN</t>
    </r>
    <r>
      <rPr>
        <sz val="10"/>
        <color theme="1"/>
        <rFont val="IBM Plex Mono"/>
      </rPr>
      <t>}</t>
    </r>
  </si>
  <si>
    <t>(blank)</t>
  </si>
  <si>
    <t>(blank) Total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</si>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</sst>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(&quot;$&quot;* #,##0.00_);_(&quot;$&quot;* \(#,##0.00\);_(&quot;$&quot;* &quot;-&quot;??_);_(@_)"/>
    <numFmt numFmtId="164" formatCode="m/d/yyyy"/>
  </numFmts>
  <fonts count="52">
    <font>
      <sz val="10"/>
      <color rgb="FF000000"/>
      <name val="Arial"/>
      <scheme val="minor"/>
    </font>
    <font>
      <sz val="8"/>
      <color theme="1"/>
      <name val="Archivo Narrow"/>
    </font>
    <font>
      <sz val="9"/>
      <color theme="1"/>
      <name val="Archivo Narrow"/>
    </font>
    <font>
      <sz val="10"/>
      <color theme="1"/>
      <name val="Archivo Narrow"/>
    </font>
    <font>
      <u/>
      <sz val="10"/>
      <color rgb="FF0000FF"/>
      <name val="Archivo Narrow"/>
    </font>
    <font>
      <u/>
      <sz val="10"/>
      <color rgb="FF0000FF"/>
      <name val="Archivo Narrow"/>
    </font>
    <font>
      <sz val="10"/>
      <color theme="1"/>
      <name val="Arial"/>
      <family val="2"/>
      <scheme val="minor"/>
    </font>
    <font>
      <u/>
      <sz val="10"/>
      <color rgb="FF434343"/>
      <name val="Archivo Narrow"/>
    </font>
    <font>
      <u/>
      <sz val="10"/>
      <color rgb="FF0000FF"/>
      <name val="Archivo Narrow"/>
    </font>
    <font>
      <sz val="8"/>
      <color rgb="FF000000"/>
      <name val="Arial"/>
      <family val="2"/>
    </font>
    <font>
      <sz val="10"/>
      <color theme="1"/>
      <name val="Arial"/>
      <family val="2"/>
    </font>
    <font>
      <sz val="10"/>
      <color rgb="FF473821"/>
      <name val="Archivo Narrow"/>
    </font>
    <font>
      <sz val="10"/>
      <color rgb="FF434343"/>
      <name val="Archivo Narrow"/>
    </font>
    <font>
      <b/>
      <sz val="10"/>
      <color rgb="FF434343"/>
      <name val="Archivo Narrow"/>
    </font>
    <font>
      <sz val="9"/>
      <color rgb="FF434343"/>
      <name val="Archivo Narrow"/>
    </font>
    <font>
      <sz val="9"/>
      <color rgb="FF3D3D3D"/>
      <name val="Archivo Narrow"/>
    </font>
    <font>
      <u/>
      <sz val="10"/>
      <color rgb="FF434343"/>
      <name val="Archivo Narrow"/>
    </font>
    <font>
      <sz val="10"/>
      <color theme="1"/>
      <name val="Archivo Narrow"/>
    </font>
    <font>
      <sz val="10"/>
      <color rgb="FF333333"/>
      <name val="Archivo Narrow"/>
    </font>
    <font>
      <u/>
      <sz val="10"/>
      <color rgb="FF434343"/>
      <name val="Archivo Narrow"/>
    </font>
    <font>
      <u/>
      <sz val="10"/>
      <color rgb="FF0000FF"/>
      <name val="Archivo Narrow"/>
    </font>
    <font>
      <b/>
      <sz val="13"/>
      <color rgb="FFFFFFFF"/>
      <name val="Archivo Narrow"/>
    </font>
    <font>
      <b/>
      <sz val="11"/>
      <color theme="1"/>
      <name val="Archivo Narrow"/>
    </font>
    <font>
      <sz val="11"/>
      <color theme="1"/>
      <name val="Archivo Narrow"/>
    </font>
    <font>
      <i/>
      <sz val="11"/>
      <color theme="1"/>
      <name val="Archivo Narrow"/>
    </font>
    <font>
      <b/>
      <sz val="11"/>
      <color rgb="FFFFFFFF"/>
      <name val="IBM Plex Sans Condensed"/>
    </font>
    <font>
      <b/>
      <sz val="11"/>
      <color theme="1"/>
      <name val="IBM Plex Sans Condensed"/>
    </font>
    <font>
      <b/>
      <i/>
      <sz val="11"/>
      <color theme="1"/>
      <name val="IBM Plex Sans Condensed"/>
    </font>
    <font>
      <b/>
      <sz val="11"/>
      <color rgb="FF000000"/>
      <name val="IBM Plex Sans Condensed"/>
    </font>
    <font>
      <b/>
      <sz val="12"/>
      <color rgb="FFFFFFFF"/>
      <name val="IBM Plex Sans"/>
    </font>
    <font>
      <sz val="10"/>
      <color theme="1"/>
      <name val="IBM Plex Mono"/>
    </font>
    <font>
      <i/>
      <sz val="10"/>
      <color theme="1"/>
      <name val="IBM Plex Sans Condensed"/>
    </font>
    <font>
      <sz val="10"/>
      <color rgb="FF000000"/>
      <name val="IBM Plex Sans Condensed"/>
    </font>
    <font>
      <sz val="10"/>
      <color theme="1"/>
      <name val="IBM Plex Sans Condensed"/>
    </font>
    <font>
      <b/>
      <sz val="12"/>
      <color theme="1"/>
      <name val="IBM Plex Mono"/>
    </font>
    <font>
      <sz val="11"/>
      <color theme="1"/>
      <name val="IBM Plex Sans Condensed"/>
    </font>
    <font>
      <b/>
      <sz val="10"/>
      <color theme="1"/>
      <name val="Libertinus Math"/>
    </font>
    <font>
      <sz val="10"/>
      <name val="Arial"/>
      <family val="2"/>
    </font>
    <font>
      <i/>
      <sz val="12"/>
      <color rgb="FFFFFFFF"/>
      <name val="IBM Plex Sans"/>
    </font>
    <font>
      <b/>
      <sz val="12"/>
      <color rgb="FF7F6000"/>
      <name val="IBM Plex Sans"/>
    </font>
    <font>
      <sz val="10"/>
      <color rgb="FF7F6000"/>
      <name val="IBM Plex Mono"/>
    </font>
    <font>
      <b/>
      <sz val="10"/>
      <color rgb="FF7F6000"/>
      <name val="Libertinus Math"/>
    </font>
    <font>
      <i/>
      <sz val="10"/>
      <color rgb="FF7F6000"/>
      <name val="IBM Plex Sans Condensed"/>
    </font>
    <font>
      <sz val="10"/>
      <color rgb="FF7F6000"/>
      <name val="IBM Plex Sans Condensed"/>
    </font>
    <font>
      <sz val="10"/>
      <color theme="1"/>
      <name val="Libertinus Math"/>
    </font>
    <font>
      <b/>
      <u/>
      <sz val="12"/>
      <color theme="1"/>
      <name val="IBM Plex Mono"/>
    </font>
    <font>
      <b/>
      <u/>
      <sz val="12"/>
      <color theme="1"/>
      <name val="IBM Plex Mono"/>
    </font>
    <font>
      <sz val="10"/>
      <name val="Archivo Narrow"/>
    </font>
    <font>
      <u/>
      <sz val="10"/>
      <color rgb="FF1155CC"/>
      <name val="Archivo Narrow"/>
    </font>
    <font>
      <sz val="10"/>
      <color rgb="FF000000"/>
      <name val="Archivo Narrow"/>
    </font>
    <font>
      <u/>
      <sz val="10"/>
      <color rgb="FF000000"/>
      <name val="Archivo Narrow"/>
    </font>
    <font>
      <sz val="10"/>
      <color rgb="FF000000"/>
      <name val="IBM Plex Mono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E5A0"/>
        <bgColor rgb="FFFFE5A0"/>
      </patternFill>
    </fill>
    <fill>
      <patternFill patternType="solid">
        <fgColor rgb="FFFFF2CC"/>
        <bgColor rgb="FFFFF2CC"/>
      </patternFill>
    </fill>
    <fill>
      <patternFill patternType="solid">
        <fgColor rgb="FFE6E6E6"/>
        <bgColor rgb="FFE6E6E6"/>
      </patternFill>
    </fill>
    <fill>
      <patternFill patternType="solid">
        <fgColor rgb="FF434343"/>
        <bgColor rgb="FF434343"/>
      </patternFill>
    </fill>
    <fill>
      <patternFill patternType="solid">
        <fgColor rgb="FFD9D9D9"/>
        <bgColor rgb="FFD9D9D9"/>
      </patternFill>
    </fill>
    <fill>
      <patternFill patternType="solid">
        <fgColor rgb="FF7F6000"/>
        <bgColor rgb="FF7F6000"/>
      </patternFill>
    </fill>
    <fill>
      <patternFill patternType="solid">
        <fgColor rgb="FFF7CB4D"/>
        <bgColor rgb="FFF7CB4D"/>
      </patternFill>
    </fill>
    <fill>
      <patternFill patternType="solid">
        <fgColor rgb="FFEFEFEF"/>
        <bgColor rgb="FFEFEFEF"/>
      </patternFill>
    </fill>
    <fill>
      <patternFill patternType="solid">
        <fgColor rgb="FFFEF8E3"/>
        <bgColor rgb="FFFEF8E3"/>
      </patternFill>
    </fill>
  </fills>
  <borders count="17">
    <border>
      <left/>
      <right/>
      <top/>
      <bottom/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2CC"/>
      </left>
      <right style="thin">
        <color rgb="FFFFF2CC"/>
      </right>
      <top style="thin">
        <color rgb="FFFFF2CC"/>
      </top>
      <bottom style="thin">
        <color rgb="FFFFF2CC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/>
      <right/>
      <top/>
      <bottom style="thick">
        <color rgb="FFFFF2CC"/>
      </bottom>
      <diagonal/>
    </border>
    <border>
      <left/>
      <right/>
      <top style="thick">
        <color rgb="FFFFF2CC"/>
      </top>
      <bottom/>
      <diagonal/>
    </border>
    <border>
      <left/>
      <right/>
      <top style="thick">
        <color rgb="FFFFF2CC"/>
      </top>
      <bottom style="thick">
        <color rgb="FFFFF2CC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45">
    <xf numFmtId="0" fontId="0" fillId="0" borderId="0" xfId="0"/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left" vertical="center" wrapText="1"/>
    </xf>
    <xf numFmtId="49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49" fontId="2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wrapText="1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49" fontId="2" fillId="0" borderId="0" xfId="0" applyNumberFormat="1" applyFont="1" applyAlignment="1">
      <alignment vertical="center"/>
    </xf>
    <xf numFmtId="0" fontId="3" fillId="0" borderId="0" xfId="0" applyFont="1"/>
    <xf numFmtId="49" fontId="4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49" fontId="7" fillId="0" borderId="0" xfId="0" applyNumberFormat="1" applyFont="1" applyAlignment="1">
      <alignment vertical="center"/>
    </xf>
    <xf numFmtId="49" fontId="8" fillId="0" borderId="0" xfId="0" applyNumberFormat="1" applyFont="1" applyAlignment="1">
      <alignment vertical="center"/>
    </xf>
    <xf numFmtId="49" fontId="9" fillId="2" borderId="0" xfId="0" applyNumberFormat="1" applyFont="1" applyFill="1" applyAlignment="1">
      <alignment vertical="center"/>
    </xf>
    <xf numFmtId="0" fontId="6" fillId="0" borderId="0" xfId="0" applyFont="1" applyAlignment="1">
      <alignment vertical="center"/>
    </xf>
    <xf numFmtId="49" fontId="10" fillId="2" borderId="1" xfId="0" applyNumberFormat="1" applyFont="1" applyFill="1" applyBorder="1" applyAlignment="1">
      <alignment vertical="center"/>
    </xf>
    <xf numFmtId="0" fontId="11" fillId="3" borderId="2" xfId="0" applyFont="1" applyFill="1" applyBorder="1" applyAlignment="1">
      <alignment vertical="center"/>
    </xf>
    <xf numFmtId="0" fontId="12" fillId="2" borderId="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vertical="center"/>
    </xf>
    <xf numFmtId="0" fontId="13" fillId="4" borderId="3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right" vertical="center"/>
    </xf>
    <xf numFmtId="49" fontId="12" fillId="2" borderId="2" xfId="0" applyNumberFormat="1" applyFont="1" applyFill="1" applyBorder="1" applyAlignment="1">
      <alignment vertical="center"/>
    </xf>
    <xf numFmtId="0" fontId="14" fillId="2" borderId="2" xfId="0" applyFont="1" applyFill="1" applyBorder="1" applyAlignment="1">
      <alignment vertical="center"/>
    </xf>
    <xf numFmtId="0" fontId="14" fillId="2" borderId="2" xfId="0" applyFont="1" applyFill="1" applyBorder="1" applyAlignment="1">
      <alignment horizontal="right" vertical="center"/>
    </xf>
    <xf numFmtId="0" fontId="15" fillId="5" borderId="2" xfId="0" applyFont="1" applyFill="1" applyBorder="1" applyAlignment="1">
      <alignment vertical="center"/>
    </xf>
    <xf numFmtId="49" fontId="14" fillId="2" borderId="2" xfId="0" applyNumberFormat="1" applyFont="1" applyFill="1" applyBorder="1" applyAlignment="1">
      <alignment vertical="center"/>
    </xf>
    <xf numFmtId="49" fontId="16" fillId="2" borderId="2" xfId="0" applyNumberFormat="1" applyFont="1" applyFill="1" applyBorder="1" applyAlignment="1">
      <alignment vertical="center"/>
    </xf>
    <xf numFmtId="49" fontId="10" fillId="2" borderId="4" xfId="0" applyNumberFormat="1" applyFont="1" applyFill="1" applyBorder="1" applyAlignment="1">
      <alignment vertical="center"/>
    </xf>
    <xf numFmtId="0" fontId="10" fillId="0" borderId="0" xfId="0" applyFont="1"/>
    <xf numFmtId="49" fontId="17" fillId="0" borderId="0" xfId="0" applyNumberFormat="1" applyFont="1" applyAlignment="1">
      <alignment vertical="center"/>
    </xf>
    <xf numFmtId="49" fontId="18" fillId="0" borderId="0" xfId="0" applyNumberFormat="1" applyFont="1" applyAlignment="1">
      <alignment vertical="center"/>
    </xf>
    <xf numFmtId="0" fontId="3" fillId="0" borderId="0" xfId="0" applyFont="1" applyAlignment="1">
      <alignment horizontal="center"/>
    </xf>
    <xf numFmtId="0" fontId="2" fillId="0" borderId="0" xfId="0" applyFont="1"/>
    <xf numFmtId="0" fontId="6" fillId="0" borderId="0" xfId="0" applyFont="1"/>
    <xf numFmtId="49" fontId="10" fillId="2" borderId="0" xfId="0" applyNumberFormat="1" applyFont="1" applyFill="1" applyAlignment="1">
      <alignment vertical="center"/>
    </xf>
    <xf numFmtId="0" fontId="11" fillId="3" borderId="0" xfId="0" applyFont="1" applyFill="1" applyAlignment="1">
      <alignment vertical="center"/>
    </xf>
    <xf numFmtId="0" fontId="12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vertical="center"/>
    </xf>
    <xf numFmtId="0" fontId="13" fillId="4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 vertical="center"/>
    </xf>
    <xf numFmtId="49" fontId="12" fillId="2" borderId="0" xfId="0" applyNumberFormat="1" applyFont="1" applyFill="1" applyAlignment="1">
      <alignment vertical="center"/>
    </xf>
    <xf numFmtId="0" fontId="14" fillId="2" borderId="0" xfId="0" applyFont="1" applyFill="1" applyAlignment="1">
      <alignment vertical="center"/>
    </xf>
    <xf numFmtId="0" fontId="14" fillId="2" borderId="0" xfId="0" applyFont="1" applyFill="1" applyAlignment="1">
      <alignment horizontal="right" vertical="center"/>
    </xf>
    <xf numFmtId="0" fontId="15" fillId="5" borderId="0" xfId="0" applyFont="1" applyFill="1" applyAlignment="1">
      <alignment vertical="center"/>
    </xf>
    <xf numFmtId="49" fontId="14" fillId="2" borderId="0" xfId="0" applyNumberFormat="1" applyFont="1" applyFill="1" applyAlignment="1">
      <alignment vertical="center"/>
    </xf>
    <xf numFmtId="49" fontId="19" fillId="2" borderId="0" xfId="0" applyNumberFormat="1" applyFont="1" applyFill="1" applyAlignment="1">
      <alignment vertic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49" fontId="3" fillId="0" borderId="2" xfId="0" applyNumberFormat="1" applyFont="1" applyBorder="1" applyAlignment="1">
      <alignment vertical="center"/>
    </xf>
    <xf numFmtId="0" fontId="2" fillId="0" borderId="2" xfId="0" applyFont="1" applyBorder="1" applyAlignment="1">
      <alignment vertical="center"/>
    </xf>
    <xf numFmtId="49" fontId="2" fillId="0" borderId="2" xfId="0" applyNumberFormat="1" applyFont="1" applyBorder="1" applyAlignment="1">
      <alignment vertical="center"/>
    </xf>
    <xf numFmtId="49" fontId="20" fillId="0" borderId="2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0" fontId="6" fillId="0" borderId="0" xfId="0" applyFont="1" applyAlignment="1">
      <alignment wrapText="1"/>
    </xf>
    <xf numFmtId="3" fontId="6" fillId="0" borderId="0" xfId="0" applyNumberFormat="1" applyFont="1" applyAlignment="1">
      <alignment wrapText="1"/>
    </xf>
    <xf numFmtId="44" fontId="6" fillId="0" borderId="0" xfId="0" applyNumberFormat="1" applyFont="1" applyAlignment="1">
      <alignment wrapText="1"/>
    </xf>
    <xf numFmtId="49" fontId="6" fillId="0" borderId="0" xfId="0" applyNumberFormat="1" applyFont="1"/>
    <xf numFmtId="3" fontId="6" fillId="0" borderId="0" xfId="0" applyNumberFormat="1" applyFont="1"/>
    <xf numFmtId="44" fontId="6" fillId="0" borderId="0" xfId="0" applyNumberFormat="1" applyFont="1"/>
    <xf numFmtId="0" fontId="22" fillId="0" borderId="0" xfId="0" applyFont="1" applyAlignment="1">
      <alignment wrapText="1"/>
    </xf>
    <xf numFmtId="49" fontId="22" fillId="0" borderId="0" xfId="0" applyNumberFormat="1" applyFont="1"/>
    <xf numFmtId="0" fontId="23" fillId="0" borderId="0" xfId="0" applyFont="1"/>
    <xf numFmtId="49" fontId="23" fillId="0" borderId="0" xfId="0" applyNumberFormat="1" applyFont="1"/>
    <xf numFmtId="0" fontId="24" fillId="7" borderId="0" xfId="0" applyFont="1" applyFill="1"/>
    <xf numFmtId="0" fontId="23" fillId="7" borderId="0" xfId="0" applyFont="1" applyFill="1"/>
    <xf numFmtId="0" fontId="22" fillId="0" borderId="0" xfId="0" applyFont="1" applyAlignment="1">
      <alignment horizontal="center" wrapText="1"/>
    </xf>
    <xf numFmtId="0" fontId="23" fillId="0" borderId="0" xfId="0" applyFont="1" applyAlignment="1">
      <alignment horizontal="center"/>
    </xf>
    <xf numFmtId="164" fontId="23" fillId="0" borderId="0" xfId="0" applyNumberFormat="1" applyFont="1" applyAlignment="1">
      <alignment horizontal="center"/>
    </xf>
    <xf numFmtId="0" fontId="24" fillId="7" borderId="0" xfId="0" applyFont="1" applyFill="1" applyAlignment="1">
      <alignment horizontal="center"/>
    </xf>
    <xf numFmtId="164" fontId="23" fillId="7" borderId="0" xfId="0" applyNumberFormat="1" applyFont="1" applyFill="1" applyAlignment="1">
      <alignment horizontal="center"/>
    </xf>
    <xf numFmtId="0" fontId="25" fillId="8" borderId="5" xfId="0" applyFont="1" applyFill="1" applyBorder="1" applyAlignment="1">
      <alignment horizontal="center" vertical="center" textRotation="75"/>
    </xf>
    <xf numFmtId="0" fontId="26" fillId="9" borderId="0" xfId="0" applyFont="1" applyFill="1" applyAlignment="1">
      <alignment vertical="center"/>
    </xf>
    <xf numFmtId="4" fontId="26" fillId="9" borderId="0" xfId="0" applyNumberFormat="1" applyFont="1" applyFill="1" applyAlignment="1">
      <alignment horizontal="right" vertical="center"/>
    </xf>
    <xf numFmtId="0" fontId="26" fillId="9" borderId="0" xfId="0" applyFont="1" applyFill="1" applyAlignment="1">
      <alignment horizontal="left" vertical="center"/>
    </xf>
    <xf numFmtId="0" fontId="27" fillId="9" borderId="0" xfId="0" applyFont="1" applyFill="1" applyAlignment="1">
      <alignment vertical="center"/>
    </xf>
    <xf numFmtId="0" fontId="28" fillId="9" borderId="0" xfId="0" applyFont="1" applyFill="1" applyAlignment="1">
      <alignment horizontal="center" vertical="center"/>
    </xf>
    <xf numFmtId="0" fontId="26" fillId="10" borderId="0" xfId="0" applyFont="1" applyFill="1" applyAlignment="1">
      <alignment vertical="center"/>
    </xf>
    <xf numFmtId="0" fontId="29" fillId="8" borderId="6" xfId="0" applyFont="1" applyFill="1" applyBorder="1" applyAlignment="1">
      <alignment horizontal="center" vertical="center" textRotation="75"/>
    </xf>
    <xf numFmtId="0" fontId="30" fillId="2" borderId="0" xfId="0" applyFont="1" applyFill="1" applyAlignment="1">
      <alignment vertical="center"/>
    </xf>
    <xf numFmtId="0" fontId="31" fillId="2" borderId="0" xfId="0" applyFont="1" applyFill="1" applyAlignment="1">
      <alignment vertical="center"/>
    </xf>
    <xf numFmtId="0" fontId="32" fillId="2" borderId="0" xfId="0" applyFont="1" applyFill="1" applyAlignment="1">
      <alignment horizontal="center" vertical="center"/>
    </xf>
    <xf numFmtId="0" fontId="33" fillId="0" borderId="0" xfId="0" applyFont="1" applyAlignment="1">
      <alignment vertical="center"/>
    </xf>
    <xf numFmtId="0" fontId="30" fillId="11" borderId="0" xfId="0" applyFont="1" applyFill="1" applyAlignment="1">
      <alignment vertical="center"/>
    </xf>
    <xf numFmtId="0" fontId="31" fillId="11" borderId="0" xfId="0" applyFont="1" applyFill="1" applyAlignment="1">
      <alignment vertical="center"/>
    </xf>
    <xf numFmtId="0" fontId="32" fillId="11" borderId="0" xfId="0" applyFont="1" applyFill="1" applyAlignment="1">
      <alignment horizontal="center" vertical="center"/>
    </xf>
    <xf numFmtId="4" fontId="34" fillId="2" borderId="0" xfId="0" applyNumberFormat="1" applyFont="1" applyFill="1" applyAlignment="1">
      <alignment horizontal="right" vertical="center"/>
    </xf>
    <xf numFmtId="0" fontId="35" fillId="2" borderId="0" xfId="0" applyFont="1" applyFill="1" applyAlignment="1">
      <alignment horizontal="left" vertical="center"/>
    </xf>
    <xf numFmtId="0" fontId="36" fillId="2" borderId="0" xfId="0" applyFont="1" applyFill="1" applyAlignment="1">
      <alignment vertical="center"/>
    </xf>
    <xf numFmtId="4" fontId="34" fillId="11" borderId="0" xfId="0" applyNumberFormat="1" applyFont="1" applyFill="1" applyAlignment="1">
      <alignment horizontal="right" vertical="center"/>
    </xf>
    <xf numFmtId="0" fontId="35" fillId="11" borderId="0" xfId="0" applyFont="1" applyFill="1" applyAlignment="1">
      <alignment horizontal="left" vertical="center"/>
    </xf>
    <xf numFmtId="0" fontId="36" fillId="11" borderId="0" xfId="0" applyFont="1" applyFill="1" applyAlignment="1">
      <alignment vertical="center"/>
    </xf>
    <xf numFmtId="0" fontId="29" fillId="8" borderId="7" xfId="0" applyFont="1" applyFill="1" applyBorder="1" applyAlignment="1">
      <alignment horizontal="center" vertical="center" textRotation="75"/>
    </xf>
    <xf numFmtId="0" fontId="26" fillId="11" borderId="0" xfId="0" applyFont="1" applyFill="1" applyAlignment="1">
      <alignment horizontal="left" vertical="center"/>
    </xf>
    <xf numFmtId="3" fontId="34" fillId="2" borderId="0" xfId="0" applyNumberFormat="1" applyFont="1" applyFill="1" applyAlignment="1">
      <alignment horizontal="right" vertical="center"/>
    </xf>
    <xf numFmtId="3" fontId="34" fillId="11" borderId="0" xfId="0" applyNumberFormat="1" applyFont="1" applyFill="1" applyAlignment="1">
      <alignment horizontal="right" vertical="center"/>
    </xf>
    <xf numFmtId="0" fontId="38" fillId="8" borderId="7" xfId="0" applyFont="1" applyFill="1" applyBorder="1" applyAlignment="1">
      <alignment horizontal="center" vertical="center"/>
    </xf>
    <xf numFmtId="0" fontId="26" fillId="2" borderId="0" xfId="0" applyFont="1" applyFill="1" applyAlignment="1">
      <alignment horizontal="left" vertical="center"/>
    </xf>
    <xf numFmtId="0" fontId="39" fillId="8" borderId="7" xfId="0" applyFont="1" applyFill="1" applyBorder="1" applyAlignment="1">
      <alignment horizontal="center" vertical="center" textRotation="75"/>
    </xf>
    <xf numFmtId="0" fontId="40" fillId="8" borderId="0" xfId="0" applyFont="1" applyFill="1" applyAlignment="1">
      <alignment vertical="center"/>
    </xf>
    <xf numFmtId="4" fontId="34" fillId="8" borderId="0" xfId="0" applyNumberFormat="1" applyFont="1" applyFill="1" applyAlignment="1">
      <alignment horizontal="right" vertical="center"/>
    </xf>
    <xf numFmtId="0" fontId="35" fillId="8" borderId="0" xfId="0" applyFont="1" applyFill="1" applyAlignment="1">
      <alignment horizontal="left" vertical="center"/>
    </xf>
    <xf numFmtId="0" fontId="41" fillId="8" borderId="0" xfId="0" applyFont="1" applyFill="1" applyAlignment="1">
      <alignment vertical="center"/>
    </xf>
    <xf numFmtId="0" fontId="42" fillId="8" borderId="0" xfId="0" applyFont="1" applyFill="1" applyAlignment="1">
      <alignment vertical="center"/>
    </xf>
    <xf numFmtId="0" fontId="43" fillId="8" borderId="0" xfId="0" applyFont="1" applyFill="1" applyAlignment="1">
      <alignment horizontal="center" vertical="center"/>
    </xf>
    <xf numFmtId="0" fontId="43" fillId="11" borderId="0" xfId="0" applyFont="1" applyFill="1" applyAlignment="1">
      <alignment horizontal="center" vertical="center"/>
    </xf>
    <xf numFmtId="0" fontId="30" fillId="11" borderId="0" xfId="0" applyFont="1" applyFill="1"/>
    <xf numFmtId="0" fontId="30" fillId="2" borderId="0" xfId="0" applyFont="1" applyFill="1"/>
    <xf numFmtId="0" fontId="44" fillId="2" borderId="0" xfId="0" applyFont="1" applyFill="1"/>
    <xf numFmtId="0" fontId="44" fillId="11" borderId="0" xfId="0" applyFont="1" applyFill="1"/>
    <xf numFmtId="4" fontId="45" fillId="2" borderId="0" xfId="0" applyNumberFormat="1" applyFont="1" applyFill="1" applyAlignment="1">
      <alignment horizontal="right"/>
    </xf>
    <xf numFmtId="0" fontId="35" fillId="2" borderId="0" xfId="0" applyFont="1" applyFill="1"/>
    <xf numFmtId="4" fontId="46" fillId="11" borderId="0" xfId="0" applyNumberFormat="1" applyFont="1" applyFill="1" applyAlignment="1">
      <alignment horizontal="right"/>
    </xf>
    <xf numFmtId="0" fontId="35" fillId="11" borderId="0" xfId="0" applyFont="1" applyFill="1"/>
    <xf numFmtId="0" fontId="43" fillId="2" borderId="0" xfId="0" applyFont="1" applyFill="1" applyAlignment="1">
      <alignment horizontal="center" vertical="center"/>
    </xf>
    <xf numFmtId="4" fontId="34" fillId="2" borderId="0" xfId="0" applyNumberFormat="1" applyFont="1" applyFill="1" applyAlignment="1">
      <alignment horizontal="right"/>
    </xf>
    <xf numFmtId="0" fontId="21" fillId="6" borderId="0" xfId="0" applyFont="1" applyFill="1" applyAlignment="1">
      <alignment horizontal="center" wrapText="1"/>
    </xf>
    <xf numFmtId="0" fontId="0" fillId="0" borderId="0" xfId="0"/>
    <xf numFmtId="0" fontId="31" fillId="11" borderId="0" xfId="0" applyFont="1" applyFill="1" applyAlignment="1">
      <alignment vertical="center"/>
    </xf>
    <xf numFmtId="0" fontId="31" fillId="2" borderId="0" xfId="0" applyFont="1" applyFill="1" applyAlignment="1">
      <alignment vertical="center"/>
    </xf>
    <xf numFmtId="0" fontId="29" fillId="8" borderId="6" xfId="0" applyFont="1" applyFill="1" applyBorder="1" applyAlignment="1">
      <alignment horizontal="center" vertical="center" textRotation="75"/>
    </xf>
    <xf numFmtId="0" fontId="37" fillId="11" borderId="5" xfId="0" applyFont="1" applyFill="1" applyBorder="1"/>
    <xf numFmtId="0" fontId="37" fillId="2" borderId="5" xfId="0" applyFont="1" applyFill="1" applyBorder="1"/>
    <xf numFmtId="0" fontId="38" fillId="8" borderId="6" xfId="0" applyFont="1" applyFill="1" applyBorder="1" applyAlignment="1">
      <alignment horizontal="center" vertical="center"/>
    </xf>
    <xf numFmtId="0" fontId="0" fillId="0" borderId="8" xfId="0" pivotButton="1" applyBorder="1"/>
    <xf numFmtId="0" fontId="0" fillId="0" borderId="9" xfId="0" applyBorder="1"/>
    <xf numFmtId="49" fontId="0" fillId="0" borderId="8" xfId="0" applyNumberFormat="1" applyBorder="1"/>
    <xf numFmtId="0" fontId="0" fillId="0" borderId="9" xfId="0" applyNumberFormat="1" applyBorder="1"/>
    <xf numFmtId="0" fontId="0" fillId="0" borderId="10" xfId="0" applyBorder="1"/>
    <xf numFmtId="0" fontId="0" fillId="0" borderId="11" xfId="0" applyBorder="1"/>
    <xf numFmtId="49" fontId="0" fillId="0" borderId="12" xfId="0" applyNumberFormat="1" applyBorder="1"/>
    <xf numFmtId="0" fontId="0" fillId="0" borderId="13" xfId="0" applyNumberFormat="1" applyBorder="1"/>
    <xf numFmtId="49" fontId="0" fillId="0" borderId="14" xfId="0" applyNumberFormat="1" applyBorder="1"/>
    <xf numFmtId="0" fontId="0" fillId="0" borderId="15" xfId="0" applyBorder="1"/>
    <xf numFmtId="0" fontId="0" fillId="0" borderId="16" xfId="0" applyNumberFormat="1" applyBorder="1"/>
    <xf numFmtId="0" fontId="0" fillId="0" borderId="16" xfId="0" pivotButton="1" applyBorder="1"/>
    <xf numFmtId="0" fontId="0" fillId="0" borderId="16" xfId="0" applyBorder="1"/>
  </cellXfs>
  <cellStyles count="1">
    <cellStyle name="Normal" xfId="0" builtinId="0"/>
  </cellStyles>
  <dxfs count="20">
    <dxf>
      <font>
        <b/>
        <color rgb="FF38761D"/>
      </font>
      <fill>
        <patternFill patternType="solid">
          <fgColor rgb="FFD9EAD3"/>
          <bgColor rgb="FFD9EAD3"/>
        </patternFill>
      </fill>
    </dxf>
    <dxf>
      <font>
        <b/>
        <color rgb="FF783F04"/>
      </font>
      <fill>
        <patternFill patternType="solid">
          <fgColor rgb="FFF9CB9C"/>
          <bgColor rgb="FFF9CB9C"/>
        </patternFill>
      </fill>
    </dxf>
    <dxf>
      <font>
        <b/>
      </font>
      <fill>
        <patternFill patternType="solid">
          <fgColor rgb="FFFFF2CC"/>
          <bgColor rgb="FFFFF2CC"/>
        </patternFill>
      </fill>
    </dxf>
    <dxf>
      <font>
        <color rgb="FFD9D9D9"/>
      </font>
      <fill>
        <patternFill patternType="none"/>
      </fill>
    </dxf>
    <dxf>
      <font>
        <b/>
      </font>
      <fill>
        <patternFill patternType="solid">
          <fgColor rgb="FFD9EAD3"/>
          <bgColor rgb="FFD9EAD3"/>
        </patternFill>
      </fill>
    </dxf>
    <dxf>
      <font>
        <b/>
        <color rgb="FF660000"/>
      </font>
      <fill>
        <patternFill patternType="solid">
          <fgColor rgb="FFF4CCCC"/>
          <bgColor rgb="FFF4CCCC"/>
        </patternFill>
      </fill>
    </dxf>
    <dxf>
      <fill>
        <patternFill patternType="solid">
          <fgColor rgb="FFFCE5CD"/>
          <bgColor rgb="FFFCE5CD"/>
        </patternFill>
      </fill>
    </dxf>
    <dxf>
      <font>
        <b/>
        <color rgb="FF783F04"/>
      </font>
      <fill>
        <patternFill patternType="solid">
          <fgColor rgb="FFF9CB9C"/>
          <bgColor rgb="FFF9CB9C"/>
        </patternFill>
      </fill>
    </dxf>
    <dxf>
      <font>
        <b/>
      </font>
      <fill>
        <patternFill patternType="solid">
          <fgColor rgb="FFFFF2CC"/>
          <bgColor rgb="FFFFF2CC"/>
        </patternFill>
      </fill>
    </dxf>
    <dxf>
      <font>
        <color rgb="FFD9D9D9"/>
      </font>
      <fill>
        <patternFill patternType="none"/>
      </fill>
    </dxf>
    <dxf>
      <font>
        <b/>
      </font>
      <fill>
        <patternFill patternType="solid">
          <fgColor rgb="FFD9EAD3"/>
          <bgColor rgb="FFD9EAD3"/>
        </patternFill>
      </fill>
    </dxf>
    <dxf>
      <font>
        <b/>
        <color rgb="FF660000"/>
      </font>
      <fill>
        <patternFill patternType="solid">
          <fgColor rgb="FFF4CCCC"/>
          <bgColor rgb="FFF4CCCC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2">
    <tableStyle name="bom-style" pivot="0" count="4" xr9:uid="{00000000-0011-0000-FFFF-FFFF00000000}">
      <tableStyleElement type="wholeTable" size="0" dxfId="16"/>
      <tableStyleElement type="headerRow" dxfId="19"/>
      <tableStyleElement type="firstRowStripe" dxfId="18"/>
      <tableStyleElement type="secondRowStripe" dxfId="17"/>
    </tableStyle>
    <tableStyle name="Copy of bom-style" pivot="0" count="4" xr9:uid="{00000000-0011-0000-FFFF-FFFF01000000}">
      <tableStyleElement type="wholeTable" size="0" dxfId="12"/>
      <tableStyleElement type="headerRow" dxfId="15"/>
      <tableStyleElement type="firstRowStripe" dxfId="14"/>
      <tableStyleElement type="secondRowStripe" dxfId="1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Quilee Simeon" refreshedDate="46057.601836226851" refreshedVersion="8" recordCount="928" xr:uid="{00000000-000A-0000-FFFF-FFFF00000000}">
  <cacheSource type="worksheet">
    <worksheetSource ref="A1:V929" sheet="bom"/>
  </cacheSource>
  <cacheFields count="22">
    <cacheField name="Part #" numFmtId="0">
      <sharedItems containsNonDate="0" containsString="0" containsBlank="1"/>
    </cacheField>
    <cacheField name="Subassm." numFmtId="0">
      <sharedItems containsBlank="1"/>
    </cacheField>
    <cacheField name="Q. Design" numFmtId="0">
      <sharedItems containsString="0" containsBlank="1" containsNumber="1" containsInteger="1" minValue="0" maxValue="12"/>
    </cacheField>
    <cacheField name="Q. Extra" numFmtId="0">
      <sharedItems containsString="0" containsBlank="1" containsNumber="1" containsInteger="1" minValue="0" maxValue="104"/>
    </cacheField>
    <cacheField name="Q. Stock" numFmtId="0">
      <sharedItems containsString="0" containsBlank="1" containsNumber="1" containsInteger="1" minValue="0" maxValue="54" count="13">
        <n v="4"/>
        <n v="1"/>
        <m/>
        <n v="0"/>
        <n v="2"/>
        <n v="6"/>
        <n v="3"/>
        <n v="8"/>
        <n v="9"/>
        <n v="12"/>
        <n v="5"/>
        <n v="10"/>
        <n v="54"/>
      </sharedItems>
    </cacheField>
    <cacheField name="Q Tent." numFmtId="0">
      <sharedItems containsString="0" containsBlank="1" containsNumber="1" containsInteger="1" minValue="0" maxValue="100"/>
    </cacheField>
    <cacheField name="Q. Buy" numFmtId="0">
      <sharedItems containsString="0" containsBlank="1" containsNumber="1" containsInteger="1" minValue="0" maxValue="100" count="11">
        <n v="0"/>
        <n v="100"/>
        <n v="1"/>
        <n v="10"/>
        <n v="2"/>
        <n v="4"/>
        <n v="12"/>
        <n v="8"/>
        <n v="7"/>
        <n v="5"/>
        <m/>
      </sharedItems>
    </cacheField>
    <cacheField name="U. Price" numFmtId="0">
      <sharedItems containsString="0" containsBlank="1" containsNumber="1" minValue="0.06" maxValue="0.06"/>
    </cacheField>
    <cacheField name="U./Pkg" numFmtId="0">
      <sharedItems containsString="0" containsBlank="1" containsNumber="1" containsInteger="1" minValue="1" maxValue="100"/>
    </cacheField>
    <cacheField name="Pkg. Q." numFmtId="0">
      <sharedItems containsString="0" containsBlank="1" containsNumber="1" containsInteger="1" minValue="0" maxValue="10"/>
    </cacheField>
    <cacheField name="Subtot." numFmtId="0">
      <sharedItems containsString="0" containsBlank="1" containsNumber="1" containsInteger="1" minValue="0" maxValue="6"/>
    </cacheField>
    <cacheField name="Vendor" numFmtId="0">
      <sharedItems containsBlank="1" count="15">
        <s v="(unknown)"/>
        <s v="Chroma"/>
        <s v="CUSTOM"/>
        <s v="Edmund Optics"/>
        <s v="HÜBNER"/>
        <s v="Idex"/>
        <s v="Laserline Optics"/>
        <s v="McMaster-Carr"/>
        <s v="Microscope Central"/>
        <s v="Newport"/>
        <s v="Spach Optics"/>
        <s v="Thorlabs"/>
        <s v="Ximea"/>
        <s v="DigiKey"/>
        <m/>
      </sharedItems>
    </cacheField>
    <cacheField name="Part Num" numFmtId="0">
      <sharedItems containsBlank="1" count="284">
        <s v="22x22 No2 Coverglass"/>
        <s v="Remote Mirror (2x2x1 mm3)"/>
        <s v="3DP-eye-mask-mount"/>
        <s v="3DP-fish-holder-base"/>
        <s v="CNC-fish-holder-bracket"/>
        <s v="CNC-galvo-to-60mm-adapter"/>
        <s v="cnc-piezo-mount-001"/>
        <s v="custom-001"/>
        <s v="custom-002"/>
        <s v="custom-003"/>
        <s v="custom-004"/>
        <s v="custom-005"/>
        <s v="custom-006"/>
        <s v="custom-007"/>
        <s v="custom-008"/>
        <s v="custom-009"/>
        <s v="custom-010"/>
        <s v="custom-011"/>
        <s v="custom-012"/>
        <s v="custom-013"/>
        <s v="Customized optical mask"/>
        <s v="Zebrafish sample chamber"/>
        <m/>
        <s v="16-043"/>
        <s v="39-032"/>
        <s v="49-272"/>
        <s v="58-373"/>
        <s v="Cobalt HS-03"/>
        <s v="Cobolt 06-MLD 515nm"/>
        <s v="FL-004389"/>
        <s v="LOCP-8.9R05-1.4"/>
        <s v="91292A108"/>
        <s v="91292A113"/>
        <s v="92196A144"/>
        <s v="1-UB950-2"/>
        <s v="MRD00045"/>
        <s v="LT10-SP05-PK"/>
        <s v="LT20-SP1-PK"/>
        <s v="LT20-SP10-PK"/>
        <s v="LT20-SP2-PK"/>
        <s v="LT20-SP4-PK"/>
        <s v="UGP-1"/>
        <s v="UPLANXAPO20X"/>
        <s v="XLUMPLANFL20X"/>
        <s v="AC127-050-A-ML"/>
        <s v="AC127-075-A-ML"/>
        <s v="AC254-100-A-ML"/>
        <s v="AC254-200-A-ML"/>
        <s v="ACL2520U-A"/>
        <s v="ACT508-1000-A / ACT508-1000-A-ML"/>
        <s v="ACT508-750-A / ACT508-750-A-ML"/>
        <s v="AD11F"/>
        <s v="AQWP10M-580"/>
        <s v="B1C"/>
        <s v="B3036FX"/>
        <s v="B3648G"/>
        <s v="BA1"/>
        <s v="BA1L"/>
        <s v="BA1S"/>
        <s v="BA2"/>
        <s v="BA2F"/>
        <s v="BA2L"/>
        <s v="BA4"/>
        <s v="BB05-E02"/>
        <s v="BB1-E02 "/>
        <s v="BBE1-E02"/>
        <s v="BBE2-E02"/>
        <s v="C1519"/>
        <s v="C330TMD-A"/>
        <s v="C4W"/>
        <s v="CCM1-4ER"/>
        <s v="CCM1-P01"/>
        <s v="CCM1-PBS251"/>
        <s v="CF125"/>
        <s v="CF125-P5"/>
        <s v="CL3"/>
        <s v="CLS-SL"/>
        <s v="CM1-DCH/M"/>
        <s v="CP02T/M"/>
        <s v="CP08FP"/>
        <s v="CP20D"/>
        <s v="CP32"/>
        <s v="CPA1"/>
        <s v="CRM05"/>
        <s v="CXY1A"/>
        <s v="CXY2 / CXY2A"/>
        <s v="E09RMS"/>
        <s v="ER025"/>
        <s v="ER05-P4"/>
        <s v="ER05-P4 "/>
        <s v="ER1-P4"/>
        <s v="ER1.5"/>
        <s v="ER1.5-P4"/>
        <s v="ER10"/>
        <s v="ER18"/>
        <s v="ER2"/>
        <s v="ER2-P4"/>
        <s v="ER24"/>
        <s v="ER3-P4"/>
        <s v="ER4-P4"/>
        <s v="ER6-P4"/>
        <s v="ER8-P4"/>
        <s v="GN2"/>
        <s v="H45"/>
        <s v="HW-KIT1"/>
        <s v="HW-KIT2"/>
        <s v="HW-KIT3"/>
        <s v="HW-KIT4"/>
        <s v="HW-KIT5"/>
        <s v="HW-KIT6"/>
        <s v="ITL200"/>
        <s v="K6XS"/>
        <s v="KA05"/>
        <s v="KAD11F"/>
        <s v="KCB1"/>
        <s v="KCB1E"/>
        <s v="KCB1EC"/>
        <s v="KCB1EC/M"/>
        <s v="KCB2"/>
        <s v="KCB2E/M"/>
        <s v="KCB2EC"/>
        <s v="KM100"/>
        <s v="KM100B"/>
        <s v="KS1RS"/>
        <s v="LCP01"/>
        <s v="LCP01T/M"/>
        <s v="LCP02"/>
        <s v="LCP08"/>
        <s v="LCP30"/>
        <s v="LCP33"/>
        <s v="LCP34T"/>
        <s v="LCP36"/>
        <s v="LCP60"/>
        <s v="LCP6X"/>
        <s v="LCPA1"/>
        <s v="LEDD1B"/>
        <s v="LMR1AP"/>
        <s v="LMR2"/>
        <s v="LMR2AP"/>
        <s v="LMRA9"/>
        <s v="LRM1"/>
        <s v="M1M25S"/>
        <s v="M32M34S"/>
        <s v="M43L01"/>
        <s v="M470L5"/>
        <s v="M595L4"/>
        <s v="MB1012"/>
        <s v="MB4"/>
        <s v="MB6"/>
        <s v="MB618"/>
        <s v="MDT693B"/>
        <s v="MRAK25-P01"/>
        <s v="MS1"/>
        <s v="MSA25"/>
        <s v="MT1"/>
        <s v="MT1B"/>
        <s v="MT402"/>
        <s v="P1-460AR-2"/>
        <s v="P1-460B-FC-1"/>
        <s v="P10"/>
        <s v="P100/M"/>
        <s v="P4"/>
        <s v="P6"/>
        <s v="PAF2-A7A"/>
        <s v="PB1"/>
        <s v="PB4"/>
        <s v="PB4-M"/>
        <s v="PB4VB2S"/>
        <s v="PBS251"/>
        <s v="PF20-03-P01"/>
        <s v="PH1"/>
        <s v="PH1.5"/>
        <s v="PH2"/>
        <s v="PH2E"/>
        <s v="PH3"/>
        <s v="PH4"/>
        <s v="PH6"/>
        <s v="PL201"/>
        <s v="PS7M "/>
        <s v="PT1"/>
        <s v="PT101"/>
        <s v="PT102"/>
        <s v="PT1B"/>
        <s v="QRC2A"/>
        <s v="RS2P8"/>
        <s v="RA180"/>
        <s v="RA360"/>
        <s v="RBP2"/>
        <s v="RM1B"/>
        <s v="RM1G"/>
        <s v="RS05"/>
        <s v="RS05P"/>
        <s v="RS05P8"/>
        <s v="RS075P8"/>
        <s v="RS1"/>
        <s v="RS1.5"/>
        <s v="RS1.5P8"/>
        <s v="RS1M"/>
        <s v="RS2"/>
        <s v="RS4"/>
        <s v="RS4P"/>
        <s v="RS6P"/>
        <s v="RS8M"/>
        <s v="SD1"/>
        <s v="SM1A12"/>
        <s v="SM1A3"/>
        <s v="SM1A34"/>
        <s v="SM1A64"/>
        <s v="SM1AP1"/>
        <s v="SM1CP2"/>
        <s v="SM1FC2"/>
        <s v="SM1L03"/>
        <s v="SM1L05"/>
        <s v="SM1RR"/>
        <s v="SM1RRC"/>
        <s v="SM1S1M"/>
        <s v="SM1S8M"/>
        <s v="SM1T4"/>
        <s v="SM1TC"/>
        <s v="SM1V10"/>
        <s v="SM1ZA"/>
        <s v="SM2A20"/>
        <s v="SM2A33"/>
        <s v="SM2AP1"/>
        <s v="SM2CP1"/>
        <s v="SM2D25D "/>
        <s v="SM2L10"/>
        <s v="SM2L15"/>
        <s v="SM2RR"/>
        <s v="SPT1C"/>
        <s v="SPT1CT"/>
        <s v="SPT2"/>
        <s v="SPT2C"/>
        <s v="ST1XY-A"/>
        <s v="ST1XY-D"/>
        <s v="TCH002"/>
        <s v="TDC001"/>
        <s v="TH075"/>
        <s v="TL4X-SAP"/>
        <s v="TR075"/>
        <s v="TR1"/>
        <s v="TR1.5"/>
        <s v="TR2"/>
        <s v="TR3"/>
        <s v="TR4"/>
        <s v="TR40/M"/>
        <s v="TR6"/>
        <s v="TR8"/>
        <s v="TR3M"/>
        <s v="TTL200-A"/>
        <s v="TTL200MP"/>
        <s v="TTL200MP2"/>
        <s v="UBP2"/>
        <s v="UBP3"/>
        <s v="UPH1"/>
        <s v="UPH1.5"/>
        <s v="UPHA"/>
        <s v="VRC3CPT"/>
        <s v="XRN-B1"/>
        <s v="XRN25P"/>
        <s v="XT66-500"/>
        <s v="XT66P1"/>
        <s v="Z812B"/>
        <s v="CB024CG-GP-X8G3"/>
        <s v="CB209MG-GP-X8G3"/>
        <s v="HKTS-KIT"/>
        <s v="TC2"/>
        <s v="SPW301"/>
        <s v="SPW801"/>
        <s v="CA4-US"/>
        <s v="PLW33"/>
        <s v="VRC3"/>
        <s v="1992T41"/>
        <s v="SH25LP38"/>
        <s v="SH25LP63"/>
        <s v="98381A469"/>
        <s v="RMHD19003BK"/>
        <s v="71145K51"/>
        <s v="5214-CLPSCRW1032-ND"/>
        <s v="2584N223"/>
        <s v="8357T61"/>
        <s v="7815N11"/>
        <s v="2770-786411-01-ND"/>
        <s v="1133A4"/>
      </sharedItems>
    </cacheField>
    <cacheField name="Part ID" numFmtId="0">
      <sharedItems containsBlank="1"/>
    </cacheField>
    <cacheField name="Dupe?" numFmtId="0">
      <sharedItems containsString="0" containsBlank="1" containsNumber="1" containsInteger="1" minValue="1" maxValue="3"/>
    </cacheField>
    <cacheField name="Vendor Status" numFmtId="0">
      <sharedItems containsBlank="1"/>
    </cacheField>
    <cacheField name="Standard" numFmtId="0">
      <sharedItems containsBlank="1"/>
    </cacheField>
    <cacheField name="Manufactuer" numFmtId="0">
      <sharedItems containsBlank="1"/>
    </cacheField>
    <cacheField name="Manuf. Part Number" numFmtId="0">
      <sharedItems containsBlank="1"/>
    </cacheField>
    <cacheField name="Description" numFmtId="0">
      <sharedItems containsBlank="1"/>
    </cacheField>
    <cacheField name="Note" numFmtId="0">
      <sharedItems containsBlank="1"/>
    </cacheField>
    <cacheField name="Reference Name(s)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28">
  <r>
    <m/>
    <s v="Sample Hold"/>
    <n v="4"/>
    <m/>
    <x v="0"/>
    <m/>
    <x v="0"/>
    <m/>
    <n v="1"/>
    <n v="0"/>
    <n v="0"/>
    <x v="0"/>
    <x v="0"/>
    <s v="Sample Hold|(unknown)|22x22 No2 Coverglass"/>
    <n v="1"/>
    <m/>
    <m/>
    <m/>
    <m/>
    <s v="22x22 No 2 Coverglass"/>
    <s v="*from cad 11/17/2025."/>
    <m/>
  </r>
  <r>
    <m/>
    <s v="Imaging"/>
    <n v="1"/>
    <m/>
    <x v="1"/>
    <m/>
    <x v="0"/>
    <m/>
    <n v="1"/>
    <n v="0"/>
    <n v="0"/>
    <x v="1"/>
    <x v="1"/>
    <s v="Imaging|Chroma|Remote Mirror (2x2x1 mm3)"/>
    <n v="1"/>
    <m/>
    <m/>
    <m/>
    <m/>
    <s v="Customized 2x2x1 mm3 remote mirror."/>
    <m/>
    <m/>
  </r>
  <r>
    <m/>
    <s v="Illumination"/>
    <n v="1"/>
    <m/>
    <x v="1"/>
    <m/>
    <x v="0"/>
    <m/>
    <n v="1"/>
    <n v="0"/>
    <n v="0"/>
    <x v="2"/>
    <x v="2"/>
    <s v="Illumination|CUSTOM|3DP-eye-mask-mount"/>
    <n v="1"/>
    <m/>
    <m/>
    <m/>
    <m/>
    <s v="eye mask mount"/>
    <s v="*from cad 11/17/2025."/>
    <m/>
  </r>
  <r>
    <m/>
    <s v="Sample Hold"/>
    <n v="1"/>
    <m/>
    <x v="1"/>
    <m/>
    <x v="0"/>
    <m/>
    <n v="1"/>
    <n v="0"/>
    <n v="0"/>
    <x v="2"/>
    <x v="3"/>
    <s v="Sample Hold|CUSTOM|3DP-fish-holder-base"/>
    <n v="1"/>
    <m/>
    <m/>
    <m/>
    <m/>
    <s v="zeguan custom fish holder"/>
    <s v="*from cad 11/17/2025."/>
    <m/>
  </r>
  <r>
    <m/>
    <s v="Sample Hold"/>
    <n v="1"/>
    <m/>
    <x v="1"/>
    <m/>
    <x v="0"/>
    <m/>
    <n v="1"/>
    <n v="0"/>
    <n v="0"/>
    <x v="2"/>
    <x v="4"/>
    <s v="Sample Hold|CUSTOM|CNC-fish-holder-bracket"/>
    <n v="1"/>
    <s v="Active"/>
    <m/>
    <m/>
    <m/>
    <s v="20220311 zebrafish chamber holder"/>
    <s v="*from cad 11/17/2025."/>
    <m/>
  </r>
  <r>
    <m/>
    <s v="Illumination"/>
    <n v="1"/>
    <m/>
    <x v="1"/>
    <m/>
    <x v="0"/>
    <m/>
    <n v="1"/>
    <n v="0"/>
    <n v="0"/>
    <x v="2"/>
    <x v="5"/>
    <s v="Illumination|CUSTOM|CNC-galvo-to-60mm-adapter"/>
    <n v="1"/>
    <s v="Active"/>
    <m/>
    <m/>
    <m/>
    <s v="20230424 galvo mount new version"/>
    <s v="*from cad 11/17/2025."/>
    <m/>
  </r>
  <r>
    <m/>
    <s v="Imaging"/>
    <n v="1"/>
    <m/>
    <x v="2"/>
    <n v="1"/>
    <x v="0"/>
    <m/>
    <n v="1"/>
    <n v="0"/>
    <n v="0"/>
    <x v="2"/>
    <x v="6"/>
    <s v="Imaging|CUSTOM|cnc-piezo-mount-001"/>
    <n v="1"/>
    <m/>
    <m/>
    <m/>
    <m/>
    <m/>
    <s v="*from cad 12/2/2025"/>
    <m/>
  </r>
  <r>
    <m/>
    <m/>
    <m/>
    <m/>
    <x v="2"/>
    <m/>
    <x v="0"/>
    <m/>
    <n v="1"/>
    <n v="0"/>
    <n v="0"/>
    <x v="2"/>
    <x v="7"/>
    <s v="|CUSTOM|custom-001"/>
    <n v="1"/>
    <m/>
    <m/>
    <m/>
    <m/>
    <s v="Part7"/>
    <s v="Custom patrts"/>
    <m/>
  </r>
  <r>
    <m/>
    <m/>
    <m/>
    <m/>
    <x v="2"/>
    <m/>
    <x v="0"/>
    <m/>
    <n v="1"/>
    <n v="0"/>
    <n v="0"/>
    <x v="2"/>
    <x v="8"/>
    <s v="|CUSTOM|custom-002"/>
    <n v="1"/>
    <m/>
    <m/>
    <m/>
    <m/>
    <s v="20210813_illumination-OL-mount-adapter"/>
    <s v="Custom patrts"/>
    <m/>
  </r>
  <r>
    <m/>
    <m/>
    <m/>
    <m/>
    <x v="1"/>
    <m/>
    <x v="0"/>
    <m/>
    <n v="1"/>
    <n v="0"/>
    <n v="0"/>
    <x v="2"/>
    <x v="9"/>
    <s v="|CUSTOM|custom-003"/>
    <n v="1"/>
    <m/>
    <m/>
    <m/>
    <m/>
    <s v="20230417_objective_lens_extension_cube_adapter"/>
    <s v="Custom patrts"/>
    <m/>
  </r>
  <r>
    <m/>
    <m/>
    <m/>
    <m/>
    <x v="1"/>
    <m/>
    <x v="0"/>
    <m/>
    <n v="1"/>
    <n v="0"/>
    <n v="0"/>
    <x v="2"/>
    <x v="10"/>
    <s v="|CUSTOM|custom-004"/>
    <n v="1"/>
    <m/>
    <m/>
    <m/>
    <m/>
    <s v="20211201_pizeo_holder_adaptor"/>
    <s v="Custom patrts"/>
    <m/>
  </r>
  <r>
    <m/>
    <m/>
    <m/>
    <m/>
    <x v="1"/>
    <m/>
    <x v="0"/>
    <m/>
    <n v="1"/>
    <n v="0"/>
    <n v="0"/>
    <x v="2"/>
    <x v="11"/>
    <s v="|CUSTOM|custom-005"/>
    <n v="1"/>
    <m/>
    <m/>
    <m/>
    <m/>
    <s v="bracket_part_1"/>
    <s v="Custom patrts"/>
    <m/>
  </r>
  <r>
    <m/>
    <m/>
    <m/>
    <m/>
    <x v="1"/>
    <m/>
    <x v="0"/>
    <m/>
    <n v="1"/>
    <n v="0"/>
    <n v="0"/>
    <x v="2"/>
    <x v="12"/>
    <s v="|CUSTOM|custom-006"/>
    <n v="1"/>
    <m/>
    <m/>
    <m/>
    <m/>
    <s v="bracket_part_2"/>
    <s v="Custom patrts"/>
    <m/>
  </r>
  <r>
    <m/>
    <m/>
    <m/>
    <m/>
    <x v="1"/>
    <m/>
    <x v="0"/>
    <m/>
    <n v="1"/>
    <n v="0"/>
    <n v="0"/>
    <x v="2"/>
    <x v="13"/>
    <s v="|CUSTOM|custom-007"/>
    <n v="1"/>
    <m/>
    <m/>
    <m/>
    <m/>
    <s v="20230424 galvo mount new version"/>
    <s v="Custom patrts"/>
    <m/>
  </r>
  <r>
    <m/>
    <m/>
    <m/>
    <m/>
    <x v="1"/>
    <m/>
    <x v="0"/>
    <m/>
    <n v="1"/>
    <n v="0"/>
    <n v="0"/>
    <x v="2"/>
    <x v="14"/>
    <s v="|CUSTOM|custom-008"/>
    <n v="1"/>
    <m/>
    <m/>
    <m/>
    <m/>
    <s v="20230421_KM100B_with_hole"/>
    <s v="Custom patrts"/>
    <m/>
  </r>
  <r>
    <m/>
    <m/>
    <m/>
    <m/>
    <x v="1"/>
    <m/>
    <x v="0"/>
    <m/>
    <n v="1"/>
    <n v="0"/>
    <n v="0"/>
    <x v="2"/>
    <x v="15"/>
    <s v="|CUSTOM|custom-009"/>
    <n v="1"/>
    <m/>
    <m/>
    <m/>
    <m/>
    <s v="bracket_part_3_right"/>
    <s v="Custom patrts"/>
    <m/>
  </r>
  <r>
    <m/>
    <m/>
    <m/>
    <m/>
    <x v="1"/>
    <m/>
    <x v="0"/>
    <m/>
    <n v="1"/>
    <n v="0"/>
    <n v="0"/>
    <x v="2"/>
    <x v="16"/>
    <s v="|CUSTOM|custom-010"/>
    <n v="1"/>
    <m/>
    <m/>
    <m/>
    <m/>
    <s v="bracket_clamp"/>
    <s v="Custom patrts"/>
    <m/>
  </r>
  <r>
    <m/>
    <m/>
    <m/>
    <m/>
    <x v="1"/>
    <m/>
    <x v="0"/>
    <m/>
    <n v="1"/>
    <n v="0"/>
    <n v="0"/>
    <x v="2"/>
    <x v="17"/>
    <s v="|CUSTOM|custom-011"/>
    <n v="1"/>
    <m/>
    <m/>
    <m/>
    <m/>
    <s v="20220312 zebrafish embeding holder"/>
    <s v="Custom patrts"/>
    <m/>
  </r>
  <r>
    <m/>
    <m/>
    <m/>
    <m/>
    <x v="1"/>
    <m/>
    <x v="0"/>
    <m/>
    <n v="1"/>
    <n v="0"/>
    <n v="0"/>
    <x v="2"/>
    <x v="18"/>
    <s v="|CUSTOM|custom-012"/>
    <n v="1"/>
    <m/>
    <m/>
    <m/>
    <m/>
    <s v="20220311 zebrafish chamber holder"/>
    <s v="Custom patrts"/>
    <m/>
  </r>
  <r>
    <m/>
    <m/>
    <m/>
    <m/>
    <x v="1"/>
    <m/>
    <x v="0"/>
    <m/>
    <n v="1"/>
    <n v="0"/>
    <n v="0"/>
    <x v="2"/>
    <x v="19"/>
    <s v="|CUSTOM|custom-013"/>
    <n v="1"/>
    <m/>
    <m/>
    <m/>
    <m/>
    <s v="bracket_part_3_left"/>
    <s v="Custom patrts"/>
    <m/>
  </r>
  <r>
    <m/>
    <s v="Illumination"/>
    <n v="1"/>
    <m/>
    <x v="1"/>
    <m/>
    <x v="0"/>
    <m/>
    <n v="1"/>
    <n v="0"/>
    <n v="0"/>
    <x v="2"/>
    <x v="20"/>
    <s v="Illumination|CUSTOM|Customized optical mask"/>
    <n v="1"/>
    <m/>
    <m/>
    <m/>
    <m/>
    <s v="800um fish eye mask mounted + fish eye light blocker"/>
    <m/>
    <m/>
  </r>
  <r>
    <m/>
    <s v="Sample Hold"/>
    <n v="1"/>
    <m/>
    <x v="1"/>
    <m/>
    <x v="0"/>
    <m/>
    <n v="1"/>
    <n v="0"/>
    <n v="0"/>
    <x v="2"/>
    <x v="21"/>
    <s v="Sample Hold|CUSTOM|Zebrafish sample chamber"/>
    <n v="1"/>
    <m/>
    <m/>
    <m/>
    <m/>
    <s v="20220311_zebrafish_sample_chamber_large"/>
    <s v="Custom patrts"/>
    <m/>
  </r>
  <r>
    <m/>
    <m/>
    <m/>
    <m/>
    <x v="2"/>
    <m/>
    <x v="0"/>
    <m/>
    <n v="1"/>
    <n v="0"/>
    <n v="0"/>
    <x v="2"/>
    <x v="22"/>
    <s v="|CUSTOM|"/>
    <n v="1"/>
    <m/>
    <m/>
    <m/>
    <m/>
    <s v="20220210_remote_position_scope_adapter1"/>
    <m/>
    <m/>
  </r>
  <r>
    <m/>
    <s v="Illumination"/>
    <n v="1"/>
    <m/>
    <x v="1"/>
    <m/>
    <x v="0"/>
    <m/>
    <n v="1"/>
    <n v="1"/>
    <n v="0"/>
    <x v="3"/>
    <x v="23"/>
    <s v="Illumination|Edmund Optics|16-043"/>
    <n v="1"/>
    <m/>
    <m/>
    <s v="ScannerMAX"/>
    <s v="Saturn 5B"/>
    <s v="Galvo mirror. 5mm Aperture, Protected Silver, Saturn 5B Single Axis Galvanometer Scanner + UP150D ±24 VDC Power Supply for ScannerMAX Mach-DSP"/>
    <s v="We have the galvo, power supply and mounting block. https://www.edmundoptics.com/p/up150d-24-vdc-power-supply-for-scannermax-mach-dsp/44532/?srsltid=AfmBOorKXSPqFr5jPq2sLyohFGUzbHd31aSoaUabUcWtlrBIf9BXsSea"/>
    <m/>
  </r>
  <r>
    <m/>
    <s v="Imaging"/>
    <n v="1"/>
    <m/>
    <x v="1"/>
    <m/>
    <x v="0"/>
    <m/>
    <n v="1"/>
    <n v="0"/>
    <n v="0"/>
    <x v="3"/>
    <x v="24"/>
    <s v="Imaging|Edmund Optics|39-032"/>
    <n v="1"/>
    <s v="Active"/>
    <s v="Universal"/>
    <s v="Edmund Optics"/>
    <s v="39-032"/>
    <s v="25.4mm Dia, 450 - 650nm, λ/4 Achromatic Waveplate"/>
    <s v="*from cad 12/2/2025"/>
    <m/>
  </r>
  <r>
    <m/>
    <s v="Obselete/None"/>
    <m/>
    <m/>
    <x v="2"/>
    <m/>
    <x v="0"/>
    <m/>
    <n v="1"/>
    <n v="0"/>
    <n v="0"/>
    <x v="3"/>
    <x v="25"/>
    <s v="Obselete/None|Edmund Optics|49-272"/>
    <n v="1"/>
    <m/>
    <m/>
    <m/>
    <m/>
    <s v="3mm Dia. x 9mm FL, VIS 0° Coated, Achromatic Lens"/>
    <s v="Used in Zeguan's orginal design but we are using somehting different. https://www.edmundoptics.com/p/3mm-dia-x-9mm-fl-vis-0deg-coated-achromatic-lens/9607/?srsltid=AfmBOoogf28MNBkknd2WDS97veEn_9kuoA4NwilBtqQPC1DcoCY2UIlG"/>
    <m/>
  </r>
  <r>
    <m/>
    <s v="Inspection Scope"/>
    <m/>
    <m/>
    <x v="2"/>
    <m/>
    <x v="0"/>
    <m/>
    <n v="1"/>
    <n v="0"/>
    <n v="0"/>
    <x v="3"/>
    <x v="26"/>
    <s v="Inspection Scope|Edmund Optics|58-373"/>
    <n v="1"/>
    <m/>
    <m/>
    <m/>
    <m/>
    <s v="20X EO HR Infinity Corrected Objective"/>
    <s v="piezo mirro inspection objective"/>
    <m/>
  </r>
  <r>
    <m/>
    <s v="Illumination"/>
    <n v="1"/>
    <m/>
    <x v="1"/>
    <m/>
    <x v="0"/>
    <m/>
    <n v="1"/>
    <n v="0"/>
    <n v="0"/>
    <x v="4"/>
    <x v="27"/>
    <s v="Illumination|HÜBNER|Cobalt HS-03"/>
    <n v="1"/>
    <s v="Active"/>
    <m/>
    <m/>
    <m/>
    <s v="Laser Heat Sink Cobalt HS-03 Hubner"/>
    <s v="*from cad 11/17/2025."/>
    <m/>
  </r>
  <r>
    <m/>
    <s v="Illumination"/>
    <n v="1"/>
    <m/>
    <x v="1"/>
    <m/>
    <x v="0"/>
    <m/>
    <n v="1"/>
    <n v="0"/>
    <n v="0"/>
    <x v="4"/>
    <x v="28"/>
    <s v="Illumination|HÜBNER|Cobolt 06-MLD 515nm"/>
    <n v="1"/>
    <m/>
    <m/>
    <m/>
    <m/>
    <s v="Illuminiation laser. Diode Laser Cobolt 06-MLD"/>
    <s v="https://www.meetoptics.com/light-sources/lasers-and-coherent-systems/diode-and-semiconductor-lasers/diode-laser/s/h%C3%BCbner-photonics/p/06-01-06-MLD0515?srsltid=AfmBOop148zDsqZ-b3Dc8k8j2utRO2tyD7lQskBvkkjXQDCoUYSX_DE5"/>
    <m/>
  </r>
  <r>
    <m/>
    <s v="Imaging"/>
    <n v="1"/>
    <m/>
    <x v="1"/>
    <m/>
    <x v="0"/>
    <m/>
    <n v="1"/>
    <n v="0"/>
    <n v="0"/>
    <x v="5"/>
    <x v="29"/>
    <s v="Imaging|Idex|FL-004389"/>
    <n v="1"/>
    <m/>
    <m/>
    <s v="Semrock"/>
    <s v="FF01-571/72-25"/>
    <s v="571/72 nm BrightLine® single-band bandpass filter"/>
    <m/>
    <m/>
  </r>
  <r>
    <m/>
    <s v="Illumination"/>
    <n v="1"/>
    <m/>
    <x v="1"/>
    <m/>
    <x v="0"/>
    <m/>
    <n v="1"/>
    <n v="0"/>
    <n v="0"/>
    <x v="6"/>
    <x v="30"/>
    <s v="Illumination|Laserline Optics|LOCP-8.9R05-1.4"/>
    <n v="1"/>
    <m/>
    <m/>
    <m/>
    <m/>
    <s v="Mounted 5 deg powell lens for 1.5mm beam 8.9mm diameter lens"/>
    <s v="https://www.laserlineoptics.com/store/product/powell-lens/"/>
    <m/>
  </r>
  <r>
    <m/>
    <s v="Imaging"/>
    <n v="2"/>
    <m/>
    <x v="2"/>
    <m/>
    <x v="1"/>
    <m/>
    <n v="100"/>
    <n v="1"/>
    <n v="0"/>
    <x v="7"/>
    <x v="31"/>
    <s v="Imaging|McMaster-Carr|91292A108"/>
    <n v="1"/>
    <m/>
    <m/>
    <m/>
    <m/>
    <s v="18-8 Stainless Steel Socket Head Screw, M4 x 0.7 mm Thread, 8 mm Long"/>
    <s v="*from cad 12/2/2025"/>
    <m/>
  </r>
  <r>
    <m/>
    <s v="Illumination"/>
    <n v="3"/>
    <n v="104"/>
    <x v="3"/>
    <n v="100"/>
    <x v="1"/>
    <n v="0.06"/>
    <n v="100"/>
    <n v="1"/>
    <n v="6"/>
    <x v="7"/>
    <x v="32"/>
    <s v="Illumination|McMaster-Carr|91292A113"/>
    <n v="1"/>
    <m/>
    <m/>
    <m/>
    <m/>
    <s v="18-8 Stainless Steel Socket Head Screw, M3 x 0.5 mm Thread, 10 mm Long"/>
    <s v="for galvo mount"/>
    <m/>
  </r>
  <r>
    <m/>
    <s v="Imaging"/>
    <n v="8"/>
    <m/>
    <x v="2"/>
    <m/>
    <x v="1"/>
    <m/>
    <n v="100"/>
    <n v="1"/>
    <n v="0"/>
    <x v="7"/>
    <x v="33"/>
    <s v="Imaging|McMaster-Carr|92196A144"/>
    <n v="1"/>
    <m/>
    <m/>
    <m/>
    <m/>
    <s v="18-8 Stainless Steel Socket Head Screw, 6-32 Thread Size, 1/4&quot; Long"/>
    <s v="*from cad 12/2/2025"/>
    <m/>
  </r>
  <r>
    <m/>
    <s v="Illumination"/>
    <n v="1"/>
    <m/>
    <x v="1"/>
    <m/>
    <x v="0"/>
    <m/>
    <n v="1"/>
    <n v="0"/>
    <n v="0"/>
    <x v="8"/>
    <x v="34"/>
    <s v="Illumination|Microscope Central|1-UB950-2"/>
    <n v="1"/>
    <m/>
    <m/>
    <s v=" Olympus"/>
    <s v="XLFluor4x/340"/>
    <s v="Ilumination objective: Olympus XLFluor 4x 340"/>
    <s v="https://microscopecentral.com/products/olympus-xlfluor-4x-340-microscope-objective"/>
    <m/>
  </r>
  <r>
    <m/>
    <s v="Imaging"/>
    <m/>
    <m/>
    <x v="4"/>
    <m/>
    <x v="0"/>
    <m/>
    <n v="1"/>
    <n v="0"/>
    <n v="0"/>
    <x v="8"/>
    <x v="35"/>
    <s v="Imaging|Microscope Central|MRD00045"/>
    <n v="1"/>
    <m/>
    <m/>
    <m/>
    <m/>
    <s v="Relay objectives: Nikon Plan Apo Lambda 4x Microscope Objective"/>
    <s v="https://microscopecentral.com/products/nikon-plan-apo-lambda-4x-microscope-objective"/>
    <m/>
  </r>
  <r>
    <m/>
    <s v="Imaging"/>
    <n v="0"/>
    <n v="6"/>
    <x v="5"/>
    <n v="0"/>
    <x v="0"/>
    <m/>
    <n v="6"/>
    <n v="0"/>
    <n v="0"/>
    <x v="9"/>
    <x v="36"/>
    <s v="Imaging|Newport|LT10-SP05-PK"/>
    <n v="1"/>
    <m/>
    <m/>
    <m/>
    <m/>
    <m/>
    <m/>
    <m/>
  </r>
  <r>
    <m/>
    <s v="Imaging"/>
    <n v="5"/>
    <n v="1"/>
    <x v="5"/>
    <n v="0"/>
    <x v="0"/>
    <m/>
    <n v="6"/>
    <n v="0"/>
    <n v="0"/>
    <x v="9"/>
    <x v="37"/>
    <s v="Imaging|Newport|LT20-SP1-PK"/>
    <n v="1"/>
    <m/>
    <m/>
    <m/>
    <m/>
    <m/>
    <m/>
    <m/>
  </r>
  <r>
    <m/>
    <s v="Imaging"/>
    <n v="2"/>
    <n v="4"/>
    <x v="5"/>
    <n v="0"/>
    <x v="0"/>
    <m/>
    <n v="6"/>
    <n v="0"/>
    <n v="0"/>
    <x v="9"/>
    <x v="38"/>
    <s v="Imaging|Newport|LT20-SP10-PK"/>
    <n v="1"/>
    <m/>
    <m/>
    <m/>
    <m/>
    <m/>
    <m/>
    <m/>
  </r>
  <r>
    <m/>
    <s v="Imaging"/>
    <n v="5"/>
    <n v="1"/>
    <x v="5"/>
    <n v="0"/>
    <x v="0"/>
    <m/>
    <n v="6"/>
    <n v="0"/>
    <n v="0"/>
    <x v="9"/>
    <x v="39"/>
    <s v="Imaging|Newport|LT20-SP2-PK"/>
    <n v="1"/>
    <m/>
    <m/>
    <m/>
    <m/>
    <m/>
    <m/>
    <m/>
  </r>
  <r>
    <m/>
    <s v="Imaging"/>
    <n v="0"/>
    <n v="6"/>
    <x v="5"/>
    <n v="0"/>
    <x v="0"/>
    <m/>
    <n v="6"/>
    <n v="0"/>
    <n v="0"/>
    <x v="9"/>
    <x v="40"/>
    <s v="Imaging|Newport|LT20-SP4-PK"/>
    <n v="1"/>
    <m/>
    <m/>
    <m/>
    <m/>
    <m/>
    <m/>
    <m/>
  </r>
  <r>
    <m/>
    <s v="Imaging"/>
    <n v="1"/>
    <m/>
    <x v="2"/>
    <n v="1"/>
    <x v="0"/>
    <m/>
    <n v="1"/>
    <n v="0"/>
    <n v="0"/>
    <x v="9"/>
    <x v="41"/>
    <s v="Imaging|Newport|UGP-1"/>
    <n v="1"/>
    <m/>
    <m/>
    <m/>
    <m/>
    <m/>
    <s v="*from cad 12/2/2025"/>
    <m/>
  </r>
  <r>
    <m/>
    <s v="Imaging"/>
    <m/>
    <m/>
    <x v="1"/>
    <m/>
    <x v="0"/>
    <m/>
    <n v="1"/>
    <n v="0"/>
    <n v="0"/>
    <x v="10"/>
    <x v="42"/>
    <s v="Imaging|Spach Optics|UPLANXAPO20X"/>
    <n v="1"/>
    <s v="Active"/>
    <m/>
    <s v="Olympus"/>
    <m/>
    <s v="Olympus UPLANXAPO 20X Extended Apochromat Objective"/>
    <s v="https://www.spachoptics.com/Olympus-UPLANXAPO-20X-Objective-N5702000-p/olympus-uplxapo20x.htm"/>
    <m/>
  </r>
  <r>
    <m/>
    <s v="Imaging"/>
    <m/>
    <m/>
    <x v="2"/>
    <m/>
    <x v="0"/>
    <m/>
    <n v="1"/>
    <n v="0"/>
    <n v="0"/>
    <x v="10"/>
    <x v="43"/>
    <s v="Imaging|Spach Optics|XLUMPLANFL20X"/>
    <n v="1"/>
    <m/>
    <m/>
    <m/>
    <m/>
    <s v="Olympus XLUMPLANFL N 20X Objective"/>
    <s v="https://www.spachoptics.com/Olympus-XLUMPLFLN-20X-Objective-p/olympus-xlumplfln20x.htm"/>
    <m/>
  </r>
  <r>
    <m/>
    <s v="Illumination"/>
    <n v="1"/>
    <m/>
    <x v="1"/>
    <m/>
    <x v="0"/>
    <m/>
    <n v="1"/>
    <n v="0"/>
    <n v="0"/>
    <x v="11"/>
    <x v="44"/>
    <s v="Illumination|Thorlabs|AC127-050-A-ML"/>
    <n v="1"/>
    <m/>
    <m/>
    <s v="Thorlabs"/>
    <s v="AC127-050-A-ML"/>
    <s v="AC127-050-A-ML - f=50 mm, Ø1/2&quot; Achromatic Doublet, SM05-Threaded Mount, ARC: 400-700 nm "/>
    <s v="https://www.thorlabs.de/thorProduct.cfm?partNumber=AC127-050-A-ML"/>
    <m/>
  </r>
  <r>
    <m/>
    <s v="Illumination"/>
    <n v="1"/>
    <m/>
    <x v="1"/>
    <m/>
    <x v="0"/>
    <m/>
    <n v="1"/>
    <n v="0"/>
    <n v="0"/>
    <x v="11"/>
    <x v="45"/>
    <s v="Illumination|Thorlabs|AC127-075-A-ML"/>
    <n v="1"/>
    <m/>
    <m/>
    <s v="Thorlabs"/>
    <s v="AC127-075-A-ML"/>
    <s v="AC127-075-A-ML - f=75 mm, Ø1/2&quot; Achromatic Doublet, SM05-Threaded Mount, ARC: 400-700 nm "/>
    <s v="https://www.thorlabs.com/thorproduct.cfm?partnumber=AC127-075-A-ML"/>
    <m/>
  </r>
  <r>
    <m/>
    <s v="Illumination"/>
    <n v="1"/>
    <m/>
    <x v="1"/>
    <m/>
    <x v="0"/>
    <m/>
    <n v="1"/>
    <n v="0"/>
    <n v="0"/>
    <x v="11"/>
    <x v="46"/>
    <s v="Illumination|Thorlabs|AC254-100-A-ML"/>
    <n v="1"/>
    <s v="Active"/>
    <m/>
    <s v="Thorlabs"/>
    <s v="AC254-100-A-ML"/>
    <s v="AC254-100-A-ML Thorlabs"/>
    <s v="*from cad 11/17/2025."/>
    <m/>
  </r>
  <r>
    <m/>
    <s v="Obselete/None"/>
    <m/>
    <m/>
    <x v="2"/>
    <m/>
    <x v="0"/>
    <m/>
    <n v="1"/>
    <n v="0"/>
    <n v="0"/>
    <x v="11"/>
    <x v="47"/>
    <s v="Obselete/None|Thorlabs|AC254-200-A-ML"/>
    <n v="1"/>
    <s v="Active"/>
    <m/>
    <s v="Thorlabs"/>
    <s v="AC254-200-A-ML"/>
    <m/>
    <m/>
    <m/>
  </r>
  <r>
    <m/>
    <s v="Obselete/None"/>
    <m/>
    <m/>
    <x v="2"/>
    <m/>
    <x v="0"/>
    <m/>
    <n v="1"/>
    <n v="0"/>
    <n v="0"/>
    <x v="11"/>
    <x v="48"/>
    <s v="Obselete/None|Thorlabs|ACL2520U-A"/>
    <n v="1"/>
    <m/>
    <m/>
    <s v="Thorlabs"/>
    <s v="ACL2520U-A"/>
    <s v="Aspheric Condenser Lens, Ø25 mm, f=20.1 mm, NA=0.60 ARC: 350-700 nm "/>
    <s v="https://www.thorlabs.com/thorproduct.cfm?partnumber=ACL2520U-A"/>
    <m/>
  </r>
  <r>
    <m/>
    <s v="Imaging"/>
    <n v="1"/>
    <m/>
    <x v="1"/>
    <m/>
    <x v="0"/>
    <m/>
    <n v="1"/>
    <n v="0"/>
    <n v="0"/>
    <x v="11"/>
    <x v="48"/>
    <s v="Imaging|Thorlabs|ACL2520U-A"/>
    <n v="1"/>
    <m/>
    <m/>
    <m/>
    <m/>
    <m/>
    <s v="*from cad 12/2/2025, corban has one of these with diffuser (ACL2520U-DG15-A) in stock"/>
    <m/>
  </r>
  <r>
    <m/>
    <s v="Imaging"/>
    <n v="3"/>
    <m/>
    <x v="6"/>
    <n v="0"/>
    <x v="0"/>
    <m/>
    <n v="1"/>
    <n v="0"/>
    <n v="0"/>
    <x v="11"/>
    <x v="49"/>
    <s v="Imaging|Thorlabs|ACT508-1000-A / ACT508-1000-A-ML"/>
    <n v="1"/>
    <s v="Active"/>
    <m/>
    <s v="Thorlabs"/>
    <s v="ACT508-1000-A / ACT508-1000-A-ML"/>
    <s v="f = 1000 mm, Ø2&quot; Achromatic Doublet, ARC: 400 - 700 nm. With the mounted (-ML) version we don't need the additon LMR2 + SM2L10 for mounting."/>
    <s v="Need 1 for each camera relay lens 1 (x2 cameras so that's 2). Need another 1 for the L3 tube lens bringing the total needed to 3. Should have gotten this mounted (-ML version). This version requires us to additionally get the LMR2 and SM2L10 to mount it. "/>
    <m/>
  </r>
  <r>
    <m/>
    <s v="Imaging"/>
    <n v="8"/>
    <m/>
    <x v="7"/>
    <n v="0"/>
    <x v="0"/>
    <m/>
    <n v="1"/>
    <n v="0"/>
    <n v="0"/>
    <x v="11"/>
    <x v="50"/>
    <s v="Imaging|Thorlabs|ACT508-750-A / ACT508-750-A-ML"/>
    <n v="1"/>
    <s v="Active"/>
    <m/>
    <s v="Thorlabs"/>
    <s v="ACT508-750-A / ACT508-750-A-ML"/>
    <s v="f = 750 mm, Ø2&quot; Achromatic Doublet, ARC: 400 - 700 nm "/>
    <s v="https://www.thorlabs.com/thorproduct.cfm?partnumber=ACT508-750-A"/>
    <m/>
  </r>
  <r>
    <m/>
    <s v="Imaging"/>
    <n v="1"/>
    <m/>
    <x v="3"/>
    <m/>
    <x v="2"/>
    <m/>
    <n v="1"/>
    <n v="1"/>
    <n v="0"/>
    <x v="11"/>
    <x v="51"/>
    <s v="Imaging|Thorlabs|AD11F"/>
    <n v="1"/>
    <m/>
    <m/>
    <m/>
    <m/>
    <m/>
    <s v="*from cad 12/2/2025"/>
    <m/>
  </r>
  <r>
    <m/>
    <s v="Imaging"/>
    <n v="1"/>
    <m/>
    <x v="1"/>
    <m/>
    <x v="0"/>
    <m/>
    <n v="1"/>
    <n v="0"/>
    <n v="0"/>
    <x v="11"/>
    <x v="52"/>
    <s v="Imaging|Thorlabs|AQWP10M-580"/>
    <n v="1"/>
    <s v="Active"/>
    <m/>
    <s v="Thorlabs"/>
    <s v="AQWP10M-580"/>
    <m/>
    <m/>
    <m/>
  </r>
  <r>
    <m/>
    <s v="Imaging"/>
    <n v="1"/>
    <m/>
    <x v="3"/>
    <m/>
    <x v="2"/>
    <m/>
    <n v="1"/>
    <n v="1"/>
    <n v="0"/>
    <x v="11"/>
    <x v="53"/>
    <s v="Imaging|Thorlabs|B1C"/>
    <n v="1"/>
    <m/>
    <m/>
    <m/>
    <m/>
    <m/>
    <s v="*from cad 12/2/2025"/>
    <m/>
  </r>
  <r>
    <m/>
    <s v="Obselete/None"/>
    <m/>
    <m/>
    <x v="2"/>
    <m/>
    <x v="0"/>
    <m/>
    <n v="1"/>
    <n v="0"/>
    <n v="0"/>
    <x v="11"/>
    <x v="54"/>
    <s v="Obselete/None|Thorlabs|B3036FX"/>
    <n v="1"/>
    <s v="Active"/>
    <m/>
    <s v="Thorlabs"/>
    <s v="B3036FX"/>
    <m/>
    <m/>
    <m/>
  </r>
  <r>
    <m/>
    <s v="Obselete/None"/>
    <m/>
    <m/>
    <x v="2"/>
    <m/>
    <x v="0"/>
    <m/>
    <n v="1"/>
    <n v="0"/>
    <n v="0"/>
    <x v="11"/>
    <x v="55"/>
    <s v="Obselete/None|Thorlabs|B3648G"/>
    <n v="1"/>
    <s v="Active"/>
    <m/>
    <s v="Thorlabs"/>
    <s v="B3648G"/>
    <m/>
    <m/>
    <m/>
  </r>
  <r>
    <m/>
    <s v="Illumination"/>
    <n v="2"/>
    <m/>
    <x v="4"/>
    <m/>
    <x v="0"/>
    <m/>
    <n v="1"/>
    <n v="0"/>
    <n v="0"/>
    <x v="11"/>
    <x v="56"/>
    <s v="Illumination|Thorlabs|BA1"/>
    <n v="1"/>
    <m/>
    <m/>
    <s v="Thorlabs"/>
    <s v="BA1"/>
    <s v="Mounting Base, 1&quot; x 3&quot; x 3/8&quot; "/>
    <s v="https://www.thorlabs.com/thorproduct.cfm?partnumber=BA1#ad-image-0"/>
    <m/>
  </r>
  <r>
    <m/>
    <s v="Imaging"/>
    <n v="1"/>
    <m/>
    <x v="3"/>
    <m/>
    <x v="2"/>
    <m/>
    <n v="1"/>
    <n v="1"/>
    <n v="0"/>
    <x v="11"/>
    <x v="56"/>
    <s v="Imaging|Thorlabs|BA1"/>
    <n v="1"/>
    <m/>
    <m/>
    <m/>
    <m/>
    <m/>
    <s v="*from cad 12/2/2025"/>
    <m/>
  </r>
  <r>
    <m/>
    <s v="Sample Hold"/>
    <n v="1"/>
    <m/>
    <x v="1"/>
    <m/>
    <x v="0"/>
    <m/>
    <n v="1"/>
    <n v="0"/>
    <n v="0"/>
    <x v="11"/>
    <x v="57"/>
    <s v="Sample Hold|Thorlabs|BA1L"/>
    <n v="1"/>
    <s v="Active"/>
    <m/>
    <s v="Thorlabs"/>
    <s v="BA1L"/>
    <s v="BA1L-thorlabs"/>
    <s v="*from cad 11/17/2025."/>
    <m/>
  </r>
  <r>
    <m/>
    <s v="Sample Hold"/>
    <n v="2"/>
    <m/>
    <x v="4"/>
    <m/>
    <x v="0"/>
    <m/>
    <n v="1"/>
    <n v="0"/>
    <n v="0"/>
    <x v="11"/>
    <x v="58"/>
    <s v="Sample Hold|Thorlabs|BA1S"/>
    <n v="1"/>
    <s v="Active"/>
    <m/>
    <s v="Thorlabs"/>
    <s v="BA1S"/>
    <s v="BA1S-thorlabs"/>
    <s v="*from cad 11/17/2025."/>
    <m/>
  </r>
  <r>
    <m/>
    <s v="Imaging"/>
    <n v="1"/>
    <m/>
    <x v="1"/>
    <m/>
    <x v="0"/>
    <m/>
    <n v="1"/>
    <n v="0"/>
    <n v="0"/>
    <x v="11"/>
    <x v="58"/>
    <s v="Imaging|Thorlabs|BA1S"/>
    <n v="1"/>
    <m/>
    <m/>
    <m/>
    <m/>
    <m/>
    <s v="*from cad 12/2/2025"/>
    <m/>
  </r>
  <r>
    <m/>
    <s v="Illumination"/>
    <n v="1"/>
    <m/>
    <x v="1"/>
    <m/>
    <x v="0"/>
    <m/>
    <n v="1"/>
    <n v="0"/>
    <n v="0"/>
    <x v="11"/>
    <x v="59"/>
    <s v="Illumination|Thorlabs|BA2"/>
    <n v="1"/>
    <s v="Active"/>
    <m/>
    <s v="Thorlabs"/>
    <s v="BA2"/>
    <s v="BA2 thorlabs"/>
    <s v="*from cad 11/17/2025."/>
    <m/>
  </r>
  <r>
    <m/>
    <s v="Imaging"/>
    <n v="10"/>
    <m/>
    <x v="3"/>
    <m/>
    <x v="3"/>
    <m/>
    <n v="1"/>
    <n v="10"/>
    <n v="0"/>
    <x v="11"/>
    <x v="59"/>
    <s v="Imaging|Thorlabs|BA2"/>
    <n v="1"/>
    <m/>
    <m/>
    <m/>
    <m/>
    <m/>
    <s v="*from cad 12/2/2025"/>
    <m/>
  </r>
  <r>
    <m/>
    <s v="Imaging"/>
    <n v="2"/>
    <m/>
    <x v="3"/>
    <m/>
    <x v="4"/>
    <m/>
    <n v="1"/>
    <n v="2"/>
    <n v="0"/>
    <x v="11"/>
    <x v="60"/>
    <s v="Imaging|Thorlabs|BA2F"/>
    <n v="1"/>
    <m/>
    <m/>
    <m/>
    <m/>
    <m/>
    <s v="*from cad 12/2/2025"/>
    <m/>
  </r>
  <r>
    <m/>
    <s v="Illumination"/>
    <n v="1"/>
    <m/>
    <x v="1"/>
    <m/>
    <x v="0"/>
    <m/>
    <n v="1"/>
    <n v="0"/>
    <n v="0"/>
    <x v="11"/>
    <x v="61"/>
    <s v="Illumination|Thorlabs|BA2L"/>
    <n v="1"/>
    <s v="Active"/>
    <m/>
    <s v="Thorlabs"/>
    <s v="BA2L"/>
    <s v="BA2L Thorlabs"/>
    <s v="*from cad 11/17/2025."/>
    <m/>
  </r>
  <r>
    <m/>
    <s v="Obselete/None"/>
    <m/>
    <m/>
    <x v="3"/>
    <m/>
    <x v="0"/>
    <m/>
    <n v="1"/>
    <n v="0"/>
    <n v="0"/>
    <x v="11"/>
    <x v="62"/>
    <s v="Obselete/None|Thorlabs|BA4"/>
    <n v="1"/>
    <s v="Active"/>
    <m/>
    <s v="Thorlabs"/>
    <s v="BA4"/>
    <m/>
    <m/>
    <m/>
  </r>
  <r>
    <m/>
    <s v="Illumination"/>
    <n v="2"/>
    <m/>
    <x v="4"/>
    <m/>
    <x v="0"/>
    <m/>
    <n v="1"/>
    <n v="0"/>
    <n v="0"/>
    <x v="11"/>
    <x v="63"/>
    <s v="Illumination|Thorlabs|BB05-E02"/>
    <n v="1"/>
    <s v="Active"/>
    <m/>
    <s v="Thorlabs"/>
    <s v="BB05-E02"/>
    <s v="BB05-E02 Thorlabs"/>
    <s v="*from cad 11/17/2025."/>
    <m/>
  </r>
  <r>
    <m/>
    <s v="Illumination"/>
    <n v="1"/>
    <m/>
    <x v="1"/>
    <m/>
    <x v="0"/>
    <m/>
    <n v="1"/>
    <n v="0"/>
    <n v="0"/>
    <x v="11"/>
    <x v="64"/>
    <s v="Illumination|Thorlabs|BB1-E02 "/>
    <n v="1"/>
    <s v="Active"/>
    <m/>
    <s v="Thorlabs"/>
    <s v="BB1-E02 "/>
    <s v="BB1-E02 Thorlabs"/>
    <s v="*from cad 11/17/2025."/>
    <m/>
  </r>
  <r>
    <m/>
    <s v="Illumination"/>
    <n v="2"/>
    <m/>
    <x v="4"/>
    <m/>
    <x v="0"/>
    <m/>
    <n v="1"/>
    <n v="0"/>
    <n v="0"/>
    <x v="11"/>
    <x v="65"/>
    <s v="Illumination|Thorlabs|BBE1-E02"/>
    <n v="1"/>
    <s v="Active"/>
    <m/>
    <s v="Thorlabs"/>
    <s v="BBE1-E02"/>
    <s v="BBE1-E02 Thorlabs"/>
    <s v="*from cad 11/17/2025."/>
    <m/>
  </r>
  <r>
    <m/>
    <s v="Imaging"/>
    <n v="2"/>
    <m/>
    <x v="1"/>
    <m/>
    <x v="2"/>
    <m/>
    <n v="1"/>
    <n v="1"/>
    <n v="0"/>
    <x v="11"/>
    <x v="66"/>
    <s v="Imaging|Thorlabs|BBE2-E02"/>
    <n v="1"/>
    <m/>
    <m/>
    <m/>
    <m/>
    <m/>
    <s v="*from cad 12/2/2025"/>
    <m/>
  </r>
  <r>
    <m/>
    <s v="Obselete/None"/>
    <m/>
    <m/>
    <x v="2"/>
    <m/>
    <x v="0"/>
    <m/>
    <n v="1"/>
    <n v="0"/>
    <n v="0"/>
    <x v="11"/>
    <x v="67"/>
    <s v="Obselete/None|Thorlabs|C1519"/>
    <n v="1"/>
    <s v="Active"/>
    <m/>
    <s v="Thorlabs"/>
    <s v="C1519"/>
    <m/>
    <m/>
    <m/>
  </r>
  <r>
    <m/>
    <s v="Illumination"/>
    <n v="1"/>
    <m/>
    <x v="1"/>
    <m/>
    <x v="0"/>
    <m/>
    <n v="1"/>
    <n v="0"/>
    <n v="0"/>
    <x v="11"/>
    <x v="68"/>
    <s v="Illumination|Thorlabs|C330TMD-A"/>
    <n v="1"/>
    <s v="Active"/>
    <m/>
    <s v="Thorlabs"/>
    <s v="C330TMD-A"/>
    <s v="f = 3.1 mm, NA = 0.70, WD = 1.8 mm, Mounted Aspheric Lens, ARC: 350 - 700 nm "/>
    <s v="https://www.thorlabs.com/thorproduct.cfm?partnumber=C330TMD-A"/>
    <m/>
  </r>
  <r>
    <m/>
    <s v="Imaging"/>
    <n v="1"/>
    <m/>
    <x v="1"/>
    <m/>
    <x v="0"/>
    <m/>
    <n v="1"/>
    <n v="0"/>
    <n v="0"/>
    <x v="11"/>
    <x v="69"/>
    <s v="Imaging|Thorlabs|C4W"/>
    <n v="1"/>
    <s v="Active"/>
    <m/>
    <s v="Thorlabs"/>
    <s v="C4W"/>
    <s v="30 mm Cage Cube"/>
    <s v="https://www.thorlabs.com/newgrouppage9.cfm?objectgroup_id=3929&amp;pn=C4W#6646"/>
    <m/>
  </r>
  <r>
    <m/>
    <m/>
    <m/>
    <m/>
    <x v="2"/>
    <m/>
    <x v="0"/>
    <m/>
    <n v="1"/>
    <n v="0"/>
    <n v="0"/>
    <x v="11"/>
    <x v="70"/>
    <s v="|Thorlabs|CCM1-4ER"/>
    <n v="1"/>
    <s v="Active"/>
    <m/>
    <s v="Thorlabs"/>
    <s v="CCM1-4ER"/>
    <m/>
    <m/>
    <m/>
  </r>
  <r>
    <m/>
    <m/>
    <m/>
    <m/>
    <x v="2"/>
    <m/>
    <x v="0"/>
    <m/>
    <n v="1"/>
    <n v="0"/>
    <n v="0"/>
    <x v="11"/>
    <x v="71"/>
    <s v="|Thorlabs|CCM1-P01"/>
    <n v="1"/>
    <s v="Active"/>
    <m/>
    <s v="Thorlabs"/>
    <s v="CCM1-P01"/>
    <m/>
    <m/>
    <m/>
  </r>
  <r>
    <m/>
    <s v="Imaging"/>
    <n v="1"/>
    <m/>
    <x v="1"/>
    <m/>
    <x v="0"/>
    <m/>
    <n v="1"/>
    <n v="0"/>
    <n v="0"/>
    <x v="11"/>
    <x v="72"/>
    <s v="Imaging|Thorlabs|CCM1-PBS251"/>
    <n v="1"/>
    <m/>
    <m/>
    <s v="Thorlabs"/>
    <s v="CCM1-PBS251"/>
    <s v="30 mm Cage Cube-Mounted Polarizing Beamsplitter Cube, 420-680 nm, 8-32 Tap "/>
    <s v="https://www.thorlabs.com/thorproduct.cfm?partnumber=CCM1-PBS251"/>
    <m/>
  </r>
  <r>
    <m/>
    <s v="Imaging"/>
    <n v="2"/>
    <m/>
    <x v="3"/>
    <m/>
    <x v="4"/>
    <m/>
    <n v="1"/>
    <n v="2"/>
    <n v="0"/>
    <x v="11"/>
    <x v="73"/>
    <s v="Imaging|Thorlabs|CF125"/>
    <n v="1"/>
    <m/>
    <m/>
    <m/>
    <m/>
    <m/>
    <s v="*from cad 12/2/2025"/>
    <m/>
  </r>
  <r>
    <m/>
    <s v="Illumination"/>
    <n v="9"/>
    <m/>
    <x v="8"/>
    <m/>
    <x v="0"/>
    <m/>
    <n v="5"/>
    <n v="0"/>
    <n v="0"/>
    <x v="11"/>
    <x v="74"/>
    <s v="Illumination|Thorlabs|CF125-P5"/>
    <n v="1"/>
    <m/>
    <m/>
    <m/>
    <m/>
    <m/>
    <m/>
    <m/>
  </r>
  <r>
    <m/>
    <m/>
    <m/>
    <m/>
    <x v="5"/>
    <m/>
    <x v="0"/>
    <m/>
    <n v="1"/>
    <n v="0"/>
    <n v="0"/>
    <x v="11"/>
    <x v="75"/>
    <s v="|Thorlabs|CL3"/>
    <n v="1"/>
    <s v="Active"/>
    <m/>
    <s v="Thorlabs"/>
    <s v="CL3"/>
    <s v="Compact Variable Height Clamp, 1/4&quot;-20 Tapped "/>
    <s v="https://www.thorlabs.com/thorproduct.cfm?partnumber=CL3"/>
    <m/>
  </r>
  <r>
    <m/>
    <m/>
    <n v="1"/>
    <m/>
    <x v="1"/>
    <m/>
    <x v="0"/>
    <m/>
    <n v="1"/>
    <n v="0"/>
    <n v="0"/>
    <x v="11"/>
    <x v="76"/>
    <s v="|Thorlabs|CLS-SL"/>
    <n v="1"/>
    <s v="Active"/>
    <m/>
    <s v="Thorlabs"/>
    <s v="CLS-SL"/>
    <s v="Scan Lens with Large Field of View, 400 to 750 nm, EFL=70 mm "/>
    <s v="Comes with 2 SM2CP1 caps for protection.  https://www.thorlabs.com/thorproduct.cfm?partnumber=CLS-SL"/>
    <m/>
  </r>
  <r>
    <m/>
    <m/>
    <m/>
    <m/>
    <x v="2"/>
    <m/>
    <x v="0"/>
    <m/>
    <n v="1"/>
    <n v="0"/>
    <n v="0"/>
    <x v="11"/>
    <x v="77"/>
    <s v="|Thorlabs|CM1-DCH/M"/>
    <n v="1"/>
    <s v="Active"/>
    <s v="Metric"/>
    <s v="Thorlabs"/>
    <s v="CM1-DCH/M"/>
    <m/>
    <m/>
    <m/>
  </r>
  <r>
    <m/>
    <m/>
    <m/>
    <m/>
    <x v="2"/>
    <m/>
    <x v="0"/>
    <m/>
    <n v="1"/>
    <n v="0"/>
    <n v="0"/>
    <x v="11"/>
    <x v="78"/>
    <s v="|Thorlabs|CP02T/M"/>
    <n v="1"/>
    <m/>
    <m/>
    <s v="Thorlabs"/>
    <s v="CP02T/M"/>
    <s v="SM1-Threaded 30 mm Cage Plate, 0.50&quot; Thick, 2 Retaining Rings, M4 Tap "/>
    <m/>
    <m/>
  </r>
  <r>
    <m/>
    <s v="Illumination"/>
    <n v="1"/>
    <m/>
    <x v="1"/>
    <m/>
    <x v="0"/>
    <m/>
    <n v="1"/>
    <n v="0"/>
    <n v="0"/>
    <x v="11"/>
    <x v="79"/>
    <s v="Illumination|Thorlabs|CP08FP"/>
    <n v="1"/>
    <s v="Active"/>
    <m/>
    <s v="Thorlabs"/>
    <s v="CP08FP"/>
    <s v="CP08FP Thorlabs"/>
    <s v="*from cad 11/17/2025."/>
    <m/>
  </r>
  <r>
    <m/>
    <s v="Illumination"/>
    <n v="1"/>
    <m/>
    <x v="1"/>
    <m/>
    <x v="0"/>
    <m/>
    <n v="1"/>
    <n v="0"/>
    <n v="0"/>
    <x v="11"/>
    <x v="80"/>
    <s v="Illumination|Thorlabs|CP20D"/>
    <n v="1"/>
    <s v="Active"/>
    <m/>
    <s v="Thorlabs"/>
    <s v="CP20D"/>
    <s v="CP20D-Solidworks"/>
    <s v="*from cad 11/17/2025."/>
    <m/>
  </r>
  <r>
    <m/>
    <s v="Illumination"/>
    <n v="1"/>
    <m/>
    <x v="1"/>
    <m/>
    <x v="0"/>
    <m/>
    <n v="1"/>
    <n v="0"/>
    <n v="0"/>
    <x v="11"/>
    <x v="81"/>
    <s v="Illumination|Thorlabs|CP32"/>
    <n v="1"/>
    <s v="Active"/>
    <m/>
    <s v="Thorlabs"/>
    <s v="CP32"/>
    <s v="CP32 Thorlabs"/>
    <s v="*from cad 11/17/2025."/>
    <m/>
  </r>
  <r>
    <m/>
    <s v="Illumination"/>
    <n v="1"/>
    <m/>
    <x v="1"/>
    <m/>
    <x v="0"/>
    <m/>
    <n v="1"/>
    <n v="0"/>
    <n v="0"/>
    <x v="11"/>
    <x v="82"/>
    <s v="Illumination|Thorlabs|CPA1"/>
    <n v="1"/>
    <s v="Active"/>
    <m/>
    <s v="Thorlabs"/>
    <s v="CPA1"/>
    <s v="CPA1 Thorlabs"/>
    <s v="*from cad 11/17/2025."/>
    <m/>
  </r>
  <r>
    <m/>
    <s v="Illumination"/>
    <n v="1"/>
    <m/>
    <x v="1"/>
    <m/>
    <x v="0"/>
    <m/>
    <n v="1"/>
    <n v="0"/>
    <n v="0"/>
    <x v="11"/>
    <x v="83"/>
    <s v="Illumination|Thorlabs|CRM05"/>
    <n v="1"/>
    <m/>
    <m/>
    <s v="Thorlabs"/>
    <s v="CRM05"/>
    <s v="Rotation Mount for Ø1/2&quot; (Ø12.7 mm) Optics, External SM1 Threads "/>
    <m/>
    <m/>
  </r>
  <r>
    <m/>
    <s v="Illumination"/>
    <n v="1"/>
    <m/>
    <x v="1"/>
    <m/>
    <x v="0"/>
    <m/>
    <n v="1"/>
    <n v="0"/>
    <n v="0"/>
    <x v="11"/>
    <x v="84"/>
    <s v="Illumination|Thorlabs|CXY1A"/>
    <n v="1"/>
    <s v="Active"/>
    <m/>
    <s v="Thorlabs"/>
    <s v="CXY1A"/>
    <s v="CXY1 thorlabs"/>
    <s v="*from cad 11/17/2025. (Obselete part number CXY1)"/>
    <m/>
  </r>
  <r>
    <m/>
    <s v="Illumination"/>
    <n v="1"/>
    <m/>
    <x v="1"/>
    <m/>
    <x v="0"/>
    <m/>
    <n v="1"/>
    <n v="0"/>
    <n v="0"/>
    <x v="11"/>
    <x v="85"/>
    <s v="Illumination|Thorlabs|CXY2 / CXY2A"/>
    <n v="1"/>
    <m/>
    <m/>
    <s v="Thorlabs"/>
    <s v="CXY2 / CXY2A"/>
    <s v="60 mm Cage System Translating Lens Mount for Ø2&quot; Optics"/>
    <s v="This product has been superseded by part number CXY2A. https://www.thorlabs.com/thorproduct.cfm?partnumber=CXY2"/>
    <m/>
  </r>
  <r>
    <m/>
    <s v="Illumination"/>
    <n v="1"/>
    <m/>
    <x v="1"/>
    <m/>
    <x v="0"/>
    <m/>
    <n v="1"/>
    <n v="0"/>
    <n v="0"/>
    <x v="11"/>
    <x v="86"/>
    <s v="Illumination|Thorlabs|E09RMS"/>
    <n v="1"/>
    <s v="Active"/>
    <m/>
    <s v="Thorlabs"/>
    <s v="E09RMS"/>
    <s v="E09RMS Thorlabs"/>
    <s v="*from cad 11/17/2025."/>
    <m/>
  </r>
  <r>
    <m/>
    <s v="Illumination"/>
    <n v="4"/>
    <m/>
    <x v="0"/>
    <m/>
    <x v="0"/>
    <m/>
    <n v="1"/>
    <n v="0"/>
    <n v="0"/>
    <x v="11"/>
    <x v="87"/>
    <s v="Illumination|Thorlabs|ER025"/>
    <n v="1"/>
    <m/>
    <m/>
    <m/>
    <m/>
    <m/>
    <m/>
    <m/>
  </r>
  <r>
    <m/>
    <s v="Imaging"/>
    <n v="4"/>
    <m/>
    <x v="3"/>
    <m/>
    <x v="5"/>
    <m/>
    <n v="4"/>
    <n v="1"/>
    <n v="0"/>
    <x v="11"/>
    <x v="88"/>
    <s v="Imaging|Thorlabs|ER05-P4"/>
    <n v="1"/>
    <m/>
    <m/>
    <m/>
    <m/>
    <m/>
    <s v="*from cad 12/2/2025"/>
    <m/>
  </r>
  <r>
    <m/>
    <s v="Illumination"/>
    <n v="0"/>
    <m/>
    <x v="3"/>
    <m/>
    <x v="0"/>
    <m/>
    <n v="4"/>
    <n v="0"/>
    <n v="0"/>
    <x v="11"/>
    <x v="89"/>
    <s v="Illumination|Thorlabs|ER05-P4 "/>
    <n v="1"/>
    <s v="Active"/>
    <m/>
    <s v="Thorlabs"/>
    <s v="ER05-P4 "/>
    <s v="ER05-P4 Thorlabs"/>
    <s v="*from cad 11/17/2025."/>
    <m/>
  </r>
  <r>
    <m/>
    <s v="Illumination"/>
    <n v="8"/>
    <m/>
    <x v="7"/>
    <m/>
    <x v="0"/>
    <m/>
    <n v="4"/>
    <n v="0"/>
    <n v="0"/>
    <x v="11"/>
    <x v="90"/>
    <s v="Illumination|Thorlabs|ER1-P4"/>
    <n v="1"/>
    <s v="Active"/>
    <m/>
    <s v="Thorlabs"/>
    <s v="ER1-P4"/>
    <s v="ER1-P4 Thorlabs"/>
    <s v="*from cad 11/17/2025."/>
    <m/>
  </r>
  <r>
    <m/>
    <s v="Imaging"/>
    <n v="1"/>
    <m/>
    <x v="3"/>
    <m/>
    <x v="2"/>
    <m/>
    <n v="1"/>
    <n v="1"/>
    <n v="0"/>
    <x v="11"/>
    <x v="91"/>
    <s v="Imaging|Thorlabs|ER1.5"/>
    <n v="1"/>
    <m/>
    <m/>
    <m/>
    <m/>
    <m/>
    <s v="*from cad 12/2/2025"/>
    <m/>
  </r>
  <r>
    <m/>
    <s v="Illumination"/>
    <n v="4"/>
    <m/>
    <x v="0"/>
    <m/>
    <x v="0"/>
    <m/>
    <n v="4"/>
    <n v="0"/>
    <n v="0"/>
    <x v="11"/>
    <x v="92"/>
    <s v="Illumination|Thorlabs|ER1.5-P4"/>
    <n v="1"/>
    <s v="Active"/>
    <m/>
    <s v="Thorlabs"/>
    <s v="ER1.5-P4"/>
    <s v="ER1.5 Thorlabs"/>
    <s v="*from cad 11/17/2025."/>
    <m/>
  </r>
  <r>
    <m/>
    <s v="Illumination"/>
    <n v="4"/>
    <m/>
    <x v="0"/>
    <m/>
    <x v="0"/>
    <m/>
    <n v="1"/>
    <n v="0"/>
    <n v="0"/>
    <x v="11"/>
    <x v="93"/>
    <s v="Illumination|Thorlabs|ER10"/>
    <n v="1"/>
    <s v="Active"/>
    <m/>
    <s v="Thorlabs"/>
    <s v="ER10"/>
    <s v="ER10 Thorlabs"/>
    <s v="*from cad 11/17/2025."/>
    <m/>
  </r>
  <r>
    <m/>
    <s v="Imaging"/>
    <n v="4"/>
    <m/>
    <x v="3"/>
    <m/>
    <x v="5"/>
    <m/>
    <n v="1"/>
    <n v="4"/>
    <n v="0"/>
    <x v="11"/>
    <x v="93"/>
    <s v="Imaging|Thorlabs|ER10"/>
    <n v="1"/>
    <m/>
    <m/>
    <m/>
    <m/>
    <m/>
    <s v="*from cad 12/2/2025"/>
    <m/>
  </r>
  <r>
    <m/>
    <s v="Obselete/None"/>
    <n v="0"/>
    <m/>
    <x v="3"/>
    <m/>
    <x v="0"/>
    <m/>
    <n v="1"/>
    <n v="0"/>
    <n v="0"/>
    <x v="11"/>
    <x v="94"/>
    <s v="Obselete/None|Thorlabs|ER18"/>
    <n v="1"/>
    <m/>
    <m/>
    <m/>
    <m/>
    <m/>
    <s v="*from cad 12/2/2025"/>
    <m/>
  </r>
  <r>
    <m/>
    <s v="Imaging"/>
    <n v="4"/>
    <m/>
    <x v="3"/>
    <m/>
    <x v="5"/>
    <m/>
    <n v="1"/>
    <n v="4"/>
    <n v="0"/>
    <x v="11"/>
    <x v="95"/>
    <s v="Imaging|Thorlabs|ER2"/>
    <n v="1"/>
    <m/>
    <m/>
    <m/>
    <m/>
    <m/>
    <s v="*from cad 12/2/2025"/>
    <m/>
  </r>
  <r>
    <m/>
    <s v="Illumination"/>
    <n v="4"/>
    <m/>
    <x v="7"/>
    <m/>
    <x v="0"/>
    <m/>
    <n v="4"/>
    <n v="0"/>
    <n v="0"/>
    <x v="11"/>
    <x v="96"/>
    <s v="Illumination|Thorlabs|ER2-P4"/>
    <n v="1"/>
    <s v="Active"/>
    <m/>
    <s v="Thorlabs"/>
    <s v="ER2-P4"/>
    <s v="ER2 Thorlabs"/>
    <s v="*from cad 11/17/2025."/>
    <m/>
  </r>
  <r>
    <m/>
    <s v="Imaging"/>
    <n v="4"/>
    <m/>
    <x v="3"/>
    <m/>
    <x v="5"/>
    <m/>
    <n v="1"/>
    <n v="4"/>
    <n v="0"/>
    <x v="11"/>
    <x v="97"/>
    <s v="Imaging|Thorlabs|ER24"/>
    <n v="1"/>
    <m/>
    <m/>
    <m/>
    <m/>
    <m/>
    <s v="*from cad 12/2/2025"/>
    <m/>
  </r>
  <r>
    <m/>
    <s v="Illumination"/>
    <n v="12"/>
    <m/>
    <x v="9"/>
    <m/>
    <x v="0"/>
    <m/>
    <n v="4"/>
    <n v="0"/>
    <n v="0"/>
    <x v="11"/>
    <x v="98"/>
    <s v="Illumination|Thorlabs|ER3-P4"/>
    <n v="1"/>
    <s v="Active"/>
    <m/>
    <s v="Thorlabs"/>
    <s v="ER3-P4"/>
    <s v="ER3-P4 Thorlabs"/>
    <s v="*from cad 11/17/2025."/>
    <m/>
  </r>
  <r>
    <m/>
    <s v="Imaging"/>
    <n v="12"/>
    <m/>
    <x v="3"/>
    <m/>
    <x v="6"/>
    <m/>
    <n v="4"/>
    <n v="3"/>
    <n v="0"/>
    <x v="11"/>
    <x v="98"/>
    <s v="Imaging|Thorlabs|ER3-P4"/>
    <n v="1"/>
    <m/>
    <m/>
    <m/>
    <m/>
    <m/>
    <s v="*from cad 12/2/2025"/>
    <m/>
  </r>
  <r>
    <m/>
    <s v="Illumination"/>
    <n v="8"/>
    <m/>
    <x v="7"/>
    <m/>
    <x v="0"/>
    <m/>
    <n v="4"/>
    <n v="0"/>
    <n v="0"/>
    <x v="11"/>
    <x v="99"/>
    <s v="Illumination|Thorlabs|ER4-P4"/>
    <n v="1"/>
    <m/>
    <m/>
    <s v="Thorlabs"/>
    <s v="ER4-P4"/>
    <s v="Cage Assembly Rod, 4&quot; Long, Ø6 mm, 4 Pack "/>
    <s v="Not sure yet how many to get; Corban will send parts list."/>
    <m/>
  </r>
  <r>
    <m/>
    <s v="Imaging"/>
    <n v="3"/>
    <m/>
    <x v="0"/>
    <m/>
    <x v="0"/>
    <m/>
    <n v="4"/>
    <n v="0"/>
    <n v="0"/>
    <x v="11"/>
    <x v="100"/>
    <s v="Imaging|Thorlabs|ER6-P4"/>
    <n v="1"/>
    <s v="Active"/>
    <m/>
    <s v="Thorlabs"/>
    <s v="ER6-P4"/>
    <s v="Cage Assembly Rod, 6&quot; Long, Ø6 mm, 4 Pack "/>
    <s v="Not sure yet how many to get; Corban will send parts list. https://www.thorlabs.com/thorproduct.cfm?partnumber=ER6-P4"/>
    <m/>
  </r>
  <r>
    <m/>
    <s v="Imaging"/>
    <n v="8"/>
    <m/>
    <x v="3"/>
    <m/>
    <x v="7"/>
    <m/>
    <n v="4"/>
    <n v="2"/>
    <n v="0"/>
    <x v="11"/>
    <x v="101"/>
    <s v="Imaging|Thorlabs|ER8-P4"/>
    <n v="1"/>
    <m/>
    <m/>
    <m/>
    <m/>
    <m/>
    <s v="*from cad 12/2/2025"/>
    <m/>
  </r>
  <r>
    <m/>
    <s v="Imaging"/>
    <n v="1"/>
    <m/>
    <x v="3"/>
    <m/>
    <x v="2"/>
    <m/>
    <n v="1"/>
    <n v="1"/>
    <n v="0"/>
    <x v="11"/>
    <x v="102"/>
    <s v="Imaging|Thorlabs|GN2"/>
    <n v="1"/>
    <m/>
    <m/>
    <m/>
    <m/>
    <m/>
    <s v="*from cad 12/2/2025"/>
    <m/>
  </r>
  <r>
    <m/>
    <s v="Illumination"/>
    <n v="1"/>
    <m/>
    <x v="1"/>
    <m/>
    <x v="0"/>
    <m/>
    <n v="1"/>
    <n v="0"/>
    <n v="0"/>
    <x v="11"/>
    <x v="103"/>
    <s v="Illumination|Thorlabs|H45"/>
    <n v="1"/>
    <s v="Active"/>
    <m/>
    <s v="Thorlabs"/>
    <s v="H45"/>
    <s v="H45 thorlabs"/>
    <s v="*from cad 11/17/2025."/>
    <m/>
  </r>
  <r>
    <m/>
    <s v="Gen Hardware"/>
    <m/>
    <n v="1"/>
    <x v="1"/>
    <m/>
    <x v="0"/>
    <m/>
    <n v="1"/>
    <n v="0"/>
    <n v="0"/>
    <x v="11"/>
    <x v="104"/>
    <s v="Gen Hardware|Thorlabs|HW-KIT1"/>
    <n v="1"/>
    <m/>
    <m/>
    <s v="Thorlabs"/>
    <s v="HW-KIT1"/>
    <m/>
    <m/>
    <m/>
  </r>
  <r>
    <m/>
    <s v="Gen Hardware"/>
    <m/>
    <n v="1"/>
    <x v="1"/>
    <m/>
    <x v="0"/>
    <m/>
    <n v="1"/>
    <n v="0"/>
    <n v="0"/>
    <x v="11"/>
    <x v="105"/>
    <s v="Gen Hardware|Thorlabs|HW-KIT2"/>
    <n v="1"/>
    <m/>
    <m/>
    <s v="Thorlabs"/>
    <s v="HW-KIT2"/>
    <m/>
    <m/>
    <m/>
  </r>
  <r>
    <m/>
    <s v="Gen Hardware"/>
    <m/>
    <n v="1"/>
    <x v="1"/>
    <m/>
    <x v="0"/>
    <m/>
    <n v="1"/>
    <n v="0"/>
    <n v="0"/>
    <x v="11"/>
    <x v="106"/>
    <s v="Gen Hardware|Thorlabs|HW-KIT3"/>
    <n v="1"/>
    <m/>
    <m/>
    <s v="Thorlabs"/>
    <s v="HW-KIT3"/>
    <m/>
    <m/>
    <m/>
  </r>
  <r>
    <m/>
    <s v="Gen Hardware"/>
    <m/>
    <n v="1"/>
    <x v="1"/>
    <m/>
    <x v="0"/>
    <m/>
    <n v="1"/>
    <n v="0"/>
    <n v="0"/>
    <x v="11"/>
    <x v="107"/>
    <s v="Gen Hardware|Thorlabs|HW-KIT4"/>
    <n v="1"/>
    <m/>
    <m/>
    <s v="Thorlabs"/>
    <s v="HW-KIT4"/>
    <m/>
    <m/>
    <m/>
  </r>
  <r>
    <m/>
    <s v="Gen Hardware"/>
    <m/>
    <n v="1"/>
    <x v="1"/>
    <m/>
    <x v="0"/>
    <m/>
    <n v="1"/>
    <n v="0"/>
    <n v="0"/>
    <x v="11"/>
    <x v="108"/>
    <s v="Gen Hardware|Thorlabs|HW-KIT5"/>
    <n v="1"/>
    <m/>
    <m/>
    <s v="Thorlabs"/>
    <s v="HW-KIT5"/>
    <m/>
    <m/>
    <m/>
  </r>
  <r>
    <m/>
    <s v="Gen Hardware"/>
    <m/>
    <n v="1"/>
    <x v="1"/>
    <m/>
    <x v="0"/>
    <m/>
    <n v="1"/>
    <n v="0"/>
    <n v="0"/>
    <x v="11"/>
    <x v="109"/>
    <s v="Gen Hardware|Thorlabs|HW-KIT6"/>
    <n v="1"/>
    <m/>
    <m/>
    <s v="Thorlabs"/>
    <s v="HW-KIT6"/>
    <m/>
    <m/>
    <m/>
  </r>
  <r>
    <m/>
    <s v="Illumination"/>
    <n v="1"/>
    <m/>
    <x v="1"/>
    <m/>
    <x v="0"/>
    <m/>
    <n v="1"/>
    <n v="0"/>
    <n v="0"/>
    <x v="11"/>
    <x v="110"/>
    <s v="Illumination|Thorlabs|ITL200"/>
    <n v="1"/>
    <m/>
    <m/>
    <s v="Thorlabs"/>
    <s v="ITL200"/>
    <s v="Tube Lens, f = 200 mm, External M38 x 0.5 Threads "/>
    <s v="https://www.thorlabs.com/thorproduct.cfm?partnumber=ITL200"/>
    <m/>
  </r>
  <r>
    <m/>
    <s v="Imaging"/>
    <n v="1"/>
    <m/>
    <x v="3"/>
    <m/>
    <x v="2"/>
    <m/>
    <n v="1"/>
    <n v="1"/>
    <n v="0"/>
    <x v="11"/>
    <x v="111"/>
    <s v="Imaging|Thorlabs|K6XS"/>
    <n v="1"/>
    <m/>
    <m/>
    <m/>
    <m/>
    <m/>
    <s v="*from cad 12/2/2025"/>
    <m/>
  </r>
  <r>
    <m/>
    <s v="Illumination"/>
    <n v="2"/>
    <m/>
    <x v="6"/>
    <m/>
    <x v="0"/>
    <m/>
    <n v="1"/>
    <n v="0"/>
    <n v="0"/>
    <x v="11"/>
    <x v="112"/>
    <s v="Illumination|Thorlabs|KA05"/>
    <n v="1"/>
    <s v="Active"/>
    <m/>
    <s v="Thorlabs"/>
    <s v="KA05"/>
    <s v="KA05 Thorlabs"/>
    <s v="*from cad 11/17/2025."/>
    <m/>
  </r>
  <r>
    <m/>
    <m/>
    <m/>
    <m/>
    <x v="2"/>
    <m/>
    <x v="0"/>
    <m/>
    <n v="1"/>
    <n v="0"/>
    <n v="0"/>
    <x v="11"/>
    <x v="113"/>
    <s v="|Thorlabs|KAD11F"/>
    <n v="1"/>
    <s v="Active"/>
    <m/>
    <s v="Thorlabs"/>
    <s v="KAD11F"/>
    <m/>
    <m/>
    <m/>
  </r>
  <r>
    <m/>
    <s v="Illumination"/>
    <n v="0"/>
    <m/>
    <x v="2"/>
    <m/>
    <x v="0"/>
    <m/>
    <n v="1"/>
    <n v="0"/>
    <n v="0"/>
    <x v="11"/>
    <x v="114"/>
    <s v="Illumination|Thorlabs|KCB1"/>
    <n v="1"/>
    <s v="Active"/>
    <m/>
    <s v="Thorlabs"/>
    <s v="KCB1"/>
    <s v="KCB1 Thorlabs"/>
    <s v="*from cad 11/17/2025."/>
    <m/>
  </r>
  <r>
    <m/>
    <s v="Illumination"/>
    <n v="0"/>
    <m/>
    <x v="2"/>
    <m/>
    <x v="0"/>
    <m/>
    <n v="1"/>
    <n v="0"/>
    <n v="0"/>
    <x v="11"/>
    <x v="115"/>
    <s v="Illumination|Thorlabs|KCB1E"/>
    <n v="1"/>
    <s v="Active"/>
    <m/>
    <s v="Thorlabs"/>
    <s v="KCB1E"/>
    <s v="KCB1E Thorlabs"/>
    <s v="*from cad 11/17/2025."/>
    <m/>
  </r>
  <r>
    <m/>
    <m/>
    <m/>
    <m/>
    <x v="1"/>
    <m/>
    <x v="0"/>
    <m/>
    <n v="1"/>
    <n v="0"/>
    <n v="0"/>
    <x v="11"/>
    <x v="116"/>
    <s v="|Thorlabs|KCB1EC"/>
    <n v="1"/>
    <s v="Active"/>
    <m/>
    <s v="Thorlabs"/>
    <s v="KCB1EC"/>
    <m/>
    <m/>
    <m/>
  </r>
  <r>
    <m/>
    <s v="Illumination"/>
    <n v="2"/>
    <m/>
    <x v="4"/>
    <m/>
    <x v="0"/>
    <m/>
    <n v="1"/>
    <n v="0"/>
    <n v="0"/>
    <x v="11"/>
    <x v="117"/>
    <s v="Illumination|Thorlabs|KCB1EC/M"/>
    <n v="1"/>
    <s v="Active"/>
    <m/>
    <s v="Thorlabs"/>
    <s v="KCB1EC/M"/>
    <s v="Right-Angle Kinematic Elliptical Mirror Mount with Smooth Cage Rod Bores, 30 mm Cage System and SM1 Compatible, M4 and M6 Mounting Holes "/>
    <s v="https://www.thorlabs.com/thorproduct.cfm?partnumber=BBE1-E02"/>
    <m/>
  </r>
  <r>
    <m/>
    <s v="Imaging"/>
    <n v="1"/>
    <m/>
    <x v="1"/>
    <m/>
    <x v="0"/>
    <m/>
    <n v="1"/>
    <n v="0"/>
    <n v="0"/>
    <x v="11"/>
    <x v="118"/>
    <s v="Imaging|Thorlabs|KCB2"/>
    <n v="1"/>
    <s v="Active"/>
    <m/>
    <s v="Thorlabs"/>
    <s v="KCB2"/>
    <s v="Right-Angle Kinematic Mirror Mount with Tapped Cage Rod Holes, 60 mm Cage System and SM2 Compatible, 8-32 and 1/4&quot;-20 Mounting Holes "/>
    <s v="https://www.thorlabs.com/thorproduct.cfm?partnumber=KCB2#ad-image-0"/>
    <m/>
  </r>
  <r>
    <m/>
    <m/>
    <m/>
    <m/>
    <x v="2"/>
    <m/>
    <x v="0"/>
    <m/>
    <n v="1"/>
    <n v="0"/>
    <n v="0"/>
    <x v="11"/>
    <x v="119"/>
    <s v="|Thorlabs|KCB2E/M"/>
    <n v="1"/>
    <s v="Obselete"/>
    <s v="Metric"/>
    <s v="Thorlabs"/>
    <s v="KCB2E/M"/>
    <m/>
    <m/>
    <m/>
  </r>
  <r>
    <m/>
    <s v="Imaging"/>
    <n v="2"/>
    <m/>
    <x v="1"/>
    <m/>
    <x v="2"/>
    <m/>
    <n v="1"/>
    <n v="1"/>
    <n v="0"/>
    <x v="11"/>
    <x v="120"/>
    <s v="Imaging|Thorlabs|KCB2EC"/>
    <n v="1"/>
    <m/>
    <m/>
    <m/>
    <m/>
    <m/>
    <s v="*from cad 12/2/2025"/>
    <m/>
  </r>
  <r>
    <m/>
    <s v="Illumination"/>
    <n v="1"/>
    <m/>
    <x v="1"/>
    <m/>
    <x v="0"/>
    <m/>
    <n v="1"/>
    <n v="0"/>
    <n v="0"/>
    <x v="11"/>
    <x v="121"/>
    <s v="Illumination|Thorlabs|KM100"/>
    <n v="1"/>
    <s v="Active"/>
    <m/>
    <s v="Thorlabs"/>
    <s v="KM100"/>
    <s v="KM100 thorlabs"/>
    <s v="*from cad 11/17/2025. CORBAN FIND"/>
    <m/>
  </r>
  <r>
    <m/>
    <m/>
    <m/>
    <m/>
    <x v="2"/>
    <m/>
    <x v="0"/>
    <m/>
    <n v="1"/>
    <n v="0"/>
    <n v="0"/>
    <x v="11"/>
    <x v="122"/>
    <s v="|Thorlabs|KM100B"/>
    <n v="1"/>
    <m/>
    <m/>
    <s v="Thorlabs"/>
    <s v="KM100B"/>
    <s v="1.92&quot; x 1.92&quot; Kinematic Platform Mount "/>
    <s v="https://www.thorlabs.com/thorproduct.cfm?partnumber=KM100B"/>
    <m/>
  </r>
  <r>
    <m/>
    <m/>
    <m/>
    <m/>
    <x v="2"/>
    <m/>
    <x v="0"/>
    <m/>
    <n v="1"/>
    <n v="0"/>
    <n v="0"/>
    <x v="11"/>
    <x v="123"/>
    <s v="|Thorlabs|KS1RS"/>
    <n v="1"/>
    <s v="Active"/>
    <m/>
    <s v="Thorlabs"/>
    <s v="KS1RS"/>
    <m/>
    <m/>
    <m/>
  </r>
  <r>
    <m/>
    <s v="Illumination"/>
    <n v="1"/>
    <m/>
    <x v="6"/>
    <m/>
    <x v="0"/>
    <m/>
    <n v="1"/>
    <n v="0"/>
    <n v="0"/>
    <x v="11"/>
    <x v="124"/>
    <s v="Illumination|Thorlabs|LCP01"/>
    <n v="1"/>
    <s v="Obselete"/>
    <m/>
    <s v="Thorlabs"/>
    <s v="LCP01"/>
    <s v="60 mm Cage Plate, SM2 Threads, 0.5&quot; Thick, 8-32 Tap (Two SM2RR Retaining Rings Included). _x000a_"/>
    <s v="This product has been superseded by part number LCP34.  https://www.thorlabs.com/thorproduct.cfm?partnumber=LCP01"/>
    <m/>
  </r>
  <r>
    <m/>
    <m/>
    <m/>
    <m/>
    <x v="2"/>
    <m/>
    <x v="0"/>
    <m/>
    <n v="1"/>
    <n v="0"/>
    <n v="0"/>
    <x v="11"/>
    <x v="125"/>
    <s v="|Thorlabs|LCP01T/M"/>
    <n v="1"/>
    <s v="Obselete"/>
    <s v="Metric"/>
    <s v="Thorlabs"/>
    <s v="LCP01T/M"/>
    <m/>
    <m/>
    <m/>
  </r>
  <r>
    <m/>
    <s v="Illumination"/>
    <n v="1"/>
    <m/>
    <x v="1"/>
    <m/>
    <x v="0"/>
    <m/>
    <n v="1"/>
    <n v="0"/>
    <n v="0"/>
    <x v="11"/>
    <x v="126"/>
    <s v="Illumination|Thorlabs|LCP02"/>
    <n v="1"/>
    <s v="Obselete"/>
    <m/>
    <s v="Thorlabs"/>
    <s v="LCP02"/>
    <s v="LCP02 - 30 mm to 60 mm Cage Plate Adapter, 8-32 Tap "/>
    <s v="This product has been superseded by part number LCP33. https://www.thorlabs.com/thorproduct.cfm?partnumber=LCP02#ad-image-0"/>
    <m/>
  </r>
  <r>
    <m/>
    <s v="Illumination"/>
    <n v="0"/>
    <m/>
    <x v="2"/>
    <m/>
    <x v="0"/>
    <m/>
    <n v="1"/>
    <n v="0"/>
    <n v="0"/>
    <x v="11"/>
    <x v="127"/>
    <s v="Illumination|Thorlabs|LCP08"/>
    <n v="1"/>
    <s v="Active"/>
    <m/>
    <s v="Thorlabs"/>
    <s v="LCP08"/>
    <s v="LCP08 Thorlabs"/>
    <s v="*from cad 11/17/2025."/>
    <m/>
  </r>
  <r>
    <m/>
    <s v="Imaging"/>
    <n v="8"/>
    <m/>
    <x v="3"/>
    <m/>
    <x v="7"/>
    <m/>
    <n v="1"/>
    <n v="8"/>
    <n v="0"/>
    <x v="11"/>
    <x v="127"/>
    <s v="Imaging|Thorlabs|LCP08"/>
    <n v="1"/>
    <m/>
    <m/>
    <m/>
    <m/>
    <m/>
    <s v="*from cad 12/2/2025"/>
    <m/>
  </r>
  <r>
    <m/>
    <s v="Imaging"/>
    <n v="1"/>
    <m/>
    <x v="3"/>
    <m/>
    <x v="2"/>
    <m/>
    <n v="1"/>
    <n v="1"/>
    <n v="0"/>
    <x v="11"/>
    <x v="128"/>
    <s v="Imaging|Thorlabs|LCP30"/>
    <n v="1"/>
    <m/>
    <m/>
    <m/>
    <m/>
    <m/>
    <s v="*from cad 12/2/2025"/>
    <m/>
  </r>
  <r>
    <m/>
    <s v="Illumination"/>
    <n v="1"/>
    <m/>
    <x v="1"/>
    <m/>
    <x v="0"/>
    <m/>
    <n v="1"/>
    <n v="0"/>
    <n v="0"/>
    <x v="11"/>
    <x v="129"/>
    <s v="Illumination|Thorlabs|LCP33"/>
    <n v="1"/>
    <s v="Active"/>
    <m/>
    <s v="Thorlabs"/>
    <s v="LCP33"/>
    <s v="LCP33 Thorlabs"/>
    <s v="*from cad 11/17/2025. Note that LCP02 was obsoleted part superseded superseded by this one LCP33 so if you have LCP02 in stock, you can use in where it says to use LCP33."/>
    <m/>
  </r>
  <r>
    <m/>
    <s v="Imaging"/>
    <n v="2"/>
    <m/>
    <x v="3"/>
    <m/>
    <x v="4"/>
    <m/>
    <n v="1"/>
    <n v="2"/>
    <n v="0"/>
    <x v="11"/>
    <x v="129"/>
    <s v="Imaging|Thorlabs|LCP33"/>
    <n v="1"/>
    <m/>
    <m/>
    <m/>
    <m/>
    <m/>
    <s v="*from cad 12/2/2025"/>
    <m/>
  </r>
  <r>
    <m/>
    <s v="Imaging"/>
    <n v="1"/>
    <m/>
    <x v="3"/>
    <m/>
    <x v="2"/>
    <m/>
    <n v="1"/>
    <n v="1"/>
    <n v="0"/>
    <x v="11"/>
    <x v="130"/>
    <s v="Imaging|Thorlabs|LCP34T"/>
    <n v="1"/>
    <m/>
    <m/>
    <m/>
    <m/>
    <m/>
    <s v="*from cad 12/2/2025"/>
    <m/>
  </r>
  <r>
    <m/>
    <s v="Imaging"/>
    <n v="4"/>
    <m/>
    <x v="3"/>
    <m/>
    <x v="5"/>
    <m/>
    <n v="1"/>
    <n v="4"/>
    <n v="0"/>
    <x v="11"/>
    <x v="131"/>
    <s v="Imaging|Thorlabs|LCP36"/>
    <n v="1"/>
    <m/>
    <m/>
    <m/>
    <m/>
    <m/>
    <s v="*from cad 12/2/2025"/>
    <m/>
  </r>
  <r>
    <m/>
    <s v="Imaging"/>
    <n v="2"/>
    <m/>
    <x v="3"/>
    <m/>
    <x v="4"/>
    <m/>
    <n v="1"/>
    <n v="2"/>
    <n v="0"/>
    <x v="11"/>
    <x v="132"/>
    <s v="Imaging|Thorlabs|LCP60"/>
    <n v="1"/>
    <m/>
    <m/>
    <m/>
    <m/>
    <m/>
    <s v="*from cad 12/2/2025"/>
    <m/>
  </r>
  <r>
    <m/>
    <s v="Illumination"/>
    <n v="3"/>
    <m/>
    <x v="6"/>
    <m/>
    <x v="0"/>
    <m/>
    <n v="1"/>
    <n v="0"/>
    <n v="0"/>
    <x v="11"/>
    <x v="133"/>
    <s v="Illumination|Thorlabs|LCP6X"/>
    <n v="1"/>
    <s v="Active"/>
    <m/>
    <s v="Thorlabs"/>
    <s v="LCP6X"/>
    <s v="LCP6X Thorlabs"/>
    <s v="*from cad 11/17/2025."/>
    <m/>
  </r>
  <r>
    <m/>
    <s v="Illumination"/>
    <n v="1"/>
    <m/>
    <x v="1"/>
    <m/>
    <x v="0"/>
    <m/>
    <n v="1"/>
    <n v="0"/>
    <n v="0"/>
    <x v="11"/>
    <x v="134"/>
    <s v="Illumination|Thorlabs|LCPA1"/>
    <n v="1"/>
    <s v="Active"/>
    <m/>
    <s v="Thorlabs"/>
    <s v="LCPA1"/>
    <s v="LCPA1 Thorlabs"/>
    <s v="*from cad 11/17/2025."/>
    <m/>
  </r>
  <r>
    <m/>
    <m/>
    <m/>
    <m/>
    <x v="2"/>
    <m/>
    <x v="0"/>
    <m/>
    <n v="1"/>
    <n v="0"/>
    <n v="0"/>
    <x v="11"/>
    <x v="135"/>
    <s v="|Thorlabs|LEDD1B"/>
    <n v="1"/>
    <m/>
    <m/>
    <s v="Thorlabs"/>
    <s v="LEDD1B"/>
    <s v="T-Cube LED Driver, 1200 mA Max Drive Current (Power Supply Not Included)."/>
    <s v="https://www.thorlabs.com/thorproduct.cfm?partnumber=LEDD1B "/>
    <m/>
  </r>
  <r>
    <m/>
    <s v="Illumination"/>
    <n v="1"/>
    <m/>
    <x v="1"/>
    <m/>
    <x v="0"/>
    <m/>
    <n v="1"/>
    <n v="0"/>
    <n v="0"/>
    <x v="11"/>
    <x v="136"/>
    <s v="Illumination|Thorlabs|LMR1AP"/>
    <n v="1"/>
    <s v="Active"/>
    <m/>
    <s v="Thorlabs"/>
    <s v="LMR1AP"/>
    <s v="LMR1AP Thorlabs"/>
    <s v="*from cad 11/17/2025."/>
    <m/>
  </r>
  <r>
    <m/>
    <m/>
    <n v="1"/>
    <m/>
    <x v="6"/>
    <m/>
    <x v="0"/>
    <m/>
    <n v="1"/>
    <n v="0"/>
    <n v="0"/>
    <x v="11"/>
    <x v="137"/>
    <s v="|Thorlabs|LMR2"/>
    <n v="1"/>
    <m/>
    <m/>
    <s v="Thorlabs"/>
    <s v="LMR2"/>
    <s v="Lens Mount with Retaining Ring for Ø2&quot; Optics, 8-32 Tap "/>
    <s v="https://www.thorlabs.com/thorproduct.cfm?partnumber=LMR2#ad-image-0 ; Need 1 for ITL200 and 1 for each of the ACT508 lenses (along with and SM2L10 for mounting)."/>
    <m/>
  </r>
  <r>
    <m/>
    <s v="Illumination"/>
    <n v="1"/>
    <m/>
    <x v="1"/>
    <m/>
    <x v="0"/>
    <m/>
    <n v="1"/>
    <n v="0"/>
    <n v="0"/>
    <x v="11"/>
    <x v="138"/>
    <s v="Illumination|Thorlabs|LMR2AP"/>
    <n v="1"/>
    <s v="Active"/>
    <m/>
    <s v="Thorlabs"/>
    <s v="LMR2AP"/>
    <s v="LMR2AP Thorlabs"/>
    <s v="*from cad 11/17/2025."/>
    <m/>
  </r>
  <r>
    <m/>
    <m/>
    <m/>
    <m/>
    <x v="2"/>
    <m/>
    <x v="0"/>
    <m/>
    <n v="1"/>
    <n v="0"/>
    <n v="0"/>
    <x v="11"/>
    <x v="138"/>
    <s v="|Thorlabs|LMR2AP"/>
    <n v="1"/>
    <s v="Active"/>
    <m/>
    <s v="Thorlabs"/>
    <s v="LMR2AP"/>
    <m/>
    <m/>
    <m/>
  </r>
  <r>
    <m/>
    <s v="Illumination"/>
    <n v="1"/>
    <m/>
    <x v="1"/>
    <m/>
    <x v="0"/>
    <m/>
    <n v="1"/>
    <n v="0"/>
    <n v="0"/>
    <x v="11"/>
    <x v="139"/>
    <s v="Illumination|Thorlabs|LMRA9"/>
    <n v="1"/>
    <s v="Active"/>
    <m/>
    <s v="Thorlabs"/>
    <s v="LMRA9"/>
    <s v="LMRA9 Thorlabs"/>
    <s v="*from cad 11/17/2025."/>
    <m/>
  </r>
  <r>
    <m/>
    <m/>
    <m/>
    <m/>
    <x v="2"/>
    <m/>
    <x v="0"/>
    <m/>
    <n v="1"/>
    <n v="0"/>
    <n v="0"/>
    <x v="11"/>
    <x v="140"/>
    <s v="|Thorlabs|LRM1"/>
    <n v="1"/>
    <s v="Active"/>
    <m/>
    <s v="Thorlabs"/>
    <s v="LRM1"/>
    <m/>
    <m/>
    <m/>
  </r>
  <r>
    <m/>
    <s v="Imaging"/>
    <n v="2"/>
    <m/>
    <x v="3"/>
    <m/>
    <x v="4"/>
    <m/>
    <n v="1"/>
    <n v="2"/>
    <n v="0"/>
    <x v="11"/>
    <x v="140"/>
    <s v="Imaging|Thorlabs|LRM1"/>
    <n v="1"/>
    <m/>
    <m/>
    <m/>
    <m/>
    <m/>
    <s v="*from cad 12/2/2025"/>
    <m/>
  </r>
  <r>
    <m/>
    <s v="Imaging"/>
    <n v="1"/>
    <m/>
    <x v="3"/>
    <m/>
    <x v="2"/>
    <m/>
    <n v="1"/>
    <n v="1"/>
    <n v="0"/>
    <x v="11"/>
    <x v="141"/>
    <s v="Imaging|Thorlabs|M1M25S"/>
    <n v="1"/>
    <m/>
    <m/>
    <m/>
    <m/>
    <m/>
    <s v="*from cad 12/2/2025"/>
    <m/>
  </r>
  <r>
    <m/>
    <s v="Illumination"/>
    <n v="1"/>
    <m/>
    <x v="1"/>
    <m/>
    <x v="0"/>
    <m/>
    <n v="1"/>
    <n v="0"/>
    <n v="0"/>
    <x v="11"/>
    <x v="142"/>
    <s v="Illumination|Thorlabs|M32M34S"/>
    <n v="1"/>
    <s v="Active"/>
    <m/>
    <s v="Thorlabs"/>
    <s v="M32M34S"/>
    <s v="M32M34S Thorlabs"/>
    <s v="*from cad 11/17/2025."/>
    <m/>
  </r>
  <r>
    <m/>
    <s v="Illumination"/>
    <n v="1"/>
    <m/>
    <x v="1"/>
    <n v="0"/>
    <x v="0"/>
    <m/>
    <n v="1"/>
    <n v="0"/>
    <n v="0"/>
    <x v="11"/>
    <x v="143"/>
    <s v="Illumination|Thorlabs|M43L01"/>
    <n v="1"/>
    <m/>
    <m/>
    <s v="Thorlabs"/>
    <s v="M43L01"/>
    <s v="Ø105 µm, 0.22 NA, Low OH, FC/PC-FC/PC Fiber Patch Cable, 1 m Long"/>
    <s v="use for initial fiber coupling alignment"/>
    <m/>
  </r>
  <r>
    <m/>
    <m/>
    <m/>
    <m/>
    <x v="2"/>
    <m/>
    <x v="0"/>
    <m/>
    <n v="1"/>
    <n v="0"/>
    <n v="0"/>
    <x v="11"/>
    <x v="144"/>
    <s v="|Thorlabs|M470L5"/>
    <n v="1"/>
    <s v="Active"/>
    <m/>
    <s v="Thorlabs"/>
    <s v="M470L5"/>
    <m/>
    <m/>
    <m/>
  </r>
  <r>
    <m/>
    <s v="Imaging"/>
    <n v="1"/>
    <m/>
    <x v="3"/>
    <m/>
    <x v="2"/>
    <m/>
    <n v="1"/>
    <n v="1"/>
    <n v="0"/>
    <x v="11"/>
    <x v="145"/>
    <s v="Imaging|Thorlabs|M595L4"/>
    <n v="1"/>
    <m/>
    <m/>
    <m/>
    <m/>
    <m/>
    <s v="*from cad 12/2/2025"/>
    <m/>
  </r>
  <r>
    <m/>
    <s v="Illumination"/>
    <n v="1"/>
    <m/>
    <x v="1"/>
    <m/>
    <x v="0"/>
    <m/>
    <n v="1"/>
    <n v="0"/>
    <n v="0"/>
    <x v="11"/>
    <x v="146"/>
    <s v="Illumination|Thorlabs|MB1012"/>
    <n v="1"/>
    <s v="Active"/>
    <m/>
    <s v="Thorlabs"/>
    <s v="MB1012"/>
    <s v="MB1012 Thorlabs"/>
    <s v="*from cad 11/17/2025."/>
    <m/>
  </r>
  <r>
    <m/>
    <m/>
    <m/>
    <m/>
    <x v="2"/>
    <m/>
    <x v="0"/>
    <m/>
    <n v="1"/>
    <n v="0"/>
    <n v="0"/>
    <x v="11"/>
    <x v="146"/>
    <s v="|Thorlabs|MB1012"/>
    <n v="1"/>
    <s v="Active"/>
    <s v="Imperial"/>
    <s v="Thorlabs"/>
    <s v="MB1012"/>
    <m/>
    <m/>
    <m/>
  </r>
  <r>
    <m/>
    <s v="Imaging"/>
    <n v="1"/>
    <m/>
    <x v="3"/>
    <m/>
    <x v="2"/>
    <m/>
    <n v="1"/>
    <n v="1"/>
    <n v="0"/>
    <x v="11"/>
    <x v="146"/>
    <s v="Imaging|Thorlabs|MB1012"/>
    <n v="1"/>
    <m/>
    <m/>
    <m/>
    <m/>
    <m/>
    <s v="*from cad 12/2/2025"/>
    <m/>
  </r>
  <r>
    <m/>
    <s v="Sample Hold"/>
    <n v="1"/>
    <m/>
    <x v="4"/>
    <m/>
    <x v="0"/>
    <m/>
    <n v="1"/>
    <n v="0"/>
    <n v="0"/>
    <x v="11"/>
    <x v="147"/>
    <s v="Sample Hold|Thorlabs|MB4"/>
    <n v="1"/>
    <s v="Active"/>
    <m/>
    <s v="Thorlabs"/>
    <s v="MB4"/>
    <s v="MB4 Thorlabs"/>
    <s v="*from cad 11/17/2025."/>
    <m/>
  </r>
  <r>
    <m/>
    <m/>
    <m/>
    <m/>
    <x v="1"/>
    <m/>
    <x v="0"/>
    <m/>
    <n v="1"/>
    <n v="0"/>
    <n v="0"/>
    <x v="11"/>
    <x v="148"/>
    <s v="|Thorlabs|MB6"/>
    <n v="1"/>
    <m/>
    <m/>
    <m/>
    <m/>
    <m/>
    <m/>
    <m/>
  </r>
  <r>
    <m/>
    <s v="Imaging"/>
    <n v="1"/>
    <m/>
    <x v="3"/>
    <m/>
    <x v="2"/>
    <m/>
    <n v="1"/>
    <n v="1"/>
    <n v="0"/>
    <x v="11"/>
    <x v="149"/>
    <s v="Imaging|Thorlabs|MB618"/>
    <n v="1"/>
    <m/>
    <m/>
    <m/>
    <m/>
    <m/>
    <s v="*from cad 12/2/2025"/>
    <m/>
  </r>
  <r>
    <m/>
    <m/>
    <n v="1"/>
    <m/>
    <x v="1"/>
    <m/>
    <x v="0"/>
    <m/>
    <n v="1"/>
    <n v="0"/>
    <n v="0"/>
    <x v="11"/>
    <x v="150"/>
    <s v="|Thorlabs|MDT693B"/>
    <n v="1"/>
    <m/>
    <m/>
    <s v="Thorlabs"/>
    <s v="MDT693B"/>
    <s v="3-Channel, Open-Loop Piezo Controller "/>
    <s v="https://www.thorlabs.com/thorproduct.cfm?partnumber=MDT693B"/>
    <m/>
  </r>
  <r>
    <m/>
    <s v="Imaging"/>
    <n v="1"/>
    <m/>
    <x v="1"/>
    <m/>
    <x v="0"/>
    <m/>
    <n v="1"/>
    <n v="0"/>
    <n v="0"/>
    <x v="11"/>
    <x v="151"/>
    <s v="Imaging|Thorlabs|MRAK25-P01"/>
    <n v="1"/>
    <m/>
    <m/>
    <s v="Thorlabs"/>
    <s v="MRAK25-P01"/>
    <s v="Knife-Edge Right-Angle Prism Prot. Silver Mirror, 450 nm-20 µm, L = 25 mm "/>
    <s v="https://www.thorlabs.com/thorproduct.cfm?partnumber=MRAK25-P01"/>
    <m/>
  </r>
  <r>
    <m/>
    <s v="Imaging"/>
    <n v="1"/>
    <m/>
    <x v="3"/>
    <m/>
    <x v="2"/>
    <m/>
    <n v="1"/>
    <n v="1"/>
    <n v="0"/>
    <x v="11"/>
    <x v="152"/>
    <s v="Imaging|Thorlabs|MS1"/>
    <n v="1"/>
    <m/>
    <m/>
    <m/>
    <m/>
    <m/>
    <s v="*from cad 12/2/2025"/>
    <m/>
  </r>
  <r>
    <m/>
    <s v="Imaging"/>
    <n v="4"/>
    <m/>
    <x v="3"/>
    <m/>
    <x v="5"/>
    <m/>
    <n v="1"/>
    <n v="4"/>
    <n v="0"/>
    <x v="11"/>
    <x v="153"/>
    <s v="Imaging|Thorlabs|MSA25"/>
    <n v="1"/>
    <m/>
    <m/>
    <m/>
    <m/>
    <m/>
    <s v="*from cad 12/2/2025"/>
    <m/>
  </r>
  <r>
    <m/>
    <s v="Sample Hold"/>
    <n v="1"/>
    <m/>
    <x v="1"/>
    <m/>
    <x v="0"/>
    <m/>
    <n v="1"/>
    <n v="0"/>
    <n v="0"/>
    <x v="11"/>
    <x v="154"/>
    <s v="Sample Hold|Thorlabs|MT1"/>
    <n v="1"/>
    <s v="Active"/>
    <m/>
    <s v="Thorlabs"/>
    <s v="MT1"/>
    <s v="1/2&quot; Translation Stage with Standard Micrometer, 1/4&quot;-20 Taps"/>
    <s v="The adapter/knob has been removed because we are going to move it with a piezo driver instead. https://www.thorlabs.com/thorproduct.cfm?partnumber=MT1#ad-image-0 "/>
    <m/>
  </r>
  <r>
    <m/>
    <m/>
    <m/>
    <m/>
    <x v="2"/>
    <m/>
    <x v="0"/>
    <m/>
    <n v="1"/>
    <n v="0"/>
    <n v="0"/>
    <x v="11"/>
    <x v="155"/>
    <s v="|Thorlabs|MT1B"/>
    <n v="1"/>
    <s v="Active"/>
    <m/>
    <s v="Thorlabs"/>
    <s v="MT1B"/>
    <m/>
    <m/>
    <m/>
  </r>
  <r>
    <m/>
    <m/>
    <m/>
    <m/>
    <x v="2"/>
    <m/>
    <x v="0"/>
    <m/>
    <n v="1"/>
    <n v="0"/>
    <n v="0"/>
    <x v="11"/>
    <x v="156"/>
    <s v="|Thorlabs|MT402"/>
    <n v="1"/>
    <s v="Active"/>
    <m/>
    <s v="Thorlabs"/>
    <s v="MT402"/>
    <m/>
    <m/>
    <m/>
  </r>
  <r>
    <m/>
    <s v="Obselete/None"/>
    <n v="0"/>
    <m/>
    <x v="2"/>
    <m/>
    <x v="0"/>
    <m/>
    <n v="1"/>
    <n v="0"/>
    <n v="0"/>
    <x v="11"/>
    <x v="157"/>
    <s v="Obselete/None|Thorlabs|P1-460AR-2"/>
    <n v="1"/>
    <s v="Active"/>
    <m/>
    <s v="Thorlabs"/>
    <s v="P1-460AR-2"/>
    <s v="P1-460AR-2 Thorlabs (connector only AR)"/>
    <s v="*from cad 11/17/2025."/>
    <m/>
  </r>
  <r>
    <m/>
    <s v="Illumination"/>
    <n v="1"/>
    <m/>
    <x v="1"/>
    <m/>
    <x v="0"/>
    <m/>
    <n v="1"/>
    <n v="0"/>
    <n v="0"/>
    <x v="11"/>
    <x v="158"/>
    <s v="Illumination|Thorlabs|P1-460B-FC-1"/>
    <n v="1"/>
    <m/>
    <m/>
    <s v="Thorlabs"/>
    <s v="P1-460B-FC-1"/>
    <m/>
    <m/>
    <m/>
  </r>
  <r>
    <m/>
    <m/>
    <m/>
    <m/>
    <x v="2"/>
    <m/>
    <x v="0"/>
    <m/>
    <n v="1"/>
    <n v="0"/>
    <n v="0"/>
    <x v="11"/>
    <x v="159"/>
    <s v="|Thorlabs|P10"/>
    <n v="1"/>
    <s v="Active"/>
    <m/>
    <s v="Thorlabs"/>
    <s v="P10"/>
    <m/>
    <m/>
    <m/>
  </r>
  <r>
    <m/>
    <m/>
    <m/>
    <m/>
    <x v="2"/>
    <m/>
    <x v="0"/>
    <m/>
    <n v="1"/>
    <n v="0"/>
    <n v="0"/>
    <x v="11"/>
    <x v="160"/>
    <s v="|Thorlabs|P100/M"/>
    <n v="1"/>
    <s v="Active"/>
    <s v="Metric"/>
    <s v="Thorlabs"/>
    <s v="P100/M"/>
    <m/>
    <m/>
    <m/>
  </r>
  <r>
    <m/>
    <m/>
    <m/>
    <m/>
    <x v="1"/>
    <m/>
    <x v="0"/>
    <m/>
    <n v="1"/>
    <n v="0"/>
    <n v="0"/>
    <x v="11"/>
    <x v="161"/>
    <s v="|Thorlabs|P4"/>
    <n v="1"/>
    <s v="Active"/>
    <m/>
    <s v="Thorlabs"/>
    <s v="P4"/>
    <s v="Ø1.5&quot; Mounting Post, 1/4&quot;-20 Taps, L = 4&quot; "/>
    <s v="https://www.thorlabs.com/thorproduct.cfm?partnumber=P4"/>
    <m/>
  </r>
  <r>
    <m/>
    <m/>
    <m/>
    <m/>
    <x v="1"/>
    <m/>
    <x v="0"/>
    <m/>
    <n v="1"/>
    <n v="0"/>
    <n v="0"/>
    <x v="11"/>
    <x v="162"/>
    <s v="|Thorlabs|P6"/>
    <n v="1"/>
    <s v="Active"/>
    <m/>
    <s v="Thorlabs"/>
    <s v="P6"/>
    <s v="Ø1.5&quot; Mounting Post, 1/4&quot;-20 Taps, L = 6&quot; "/>
    <s v="https://www.thorlabs.com/thorproduct.cfm?partnumber=P6"/>
    <m/>
  </r>
  <r>
    <m/>
    <s v="Illumination"/>
    <n v="1"/>
    <m/>
    <x v="1"/>
    <m/>
    <x v="0"/>
    <m/>
    <n v="1"/>
    <n v="0"/>
    <n v="0"/>
    <x v="11"/>
    <x v="163"/>
    <s v="Illumination|Thorlabs|PAF2-A7A"/>
    <n v="1"/>
    <s v="Active"/>
    <m/>
    <s v="Thorlabs"/>
    <s v="PAF2-A7A"/>
    <s v="PAF2-A7A Thorlabs"/>
    <s v="*from cad 11/17/2025."/>
    <m/>
  </r>
  <r>
    <m/>
    <m/>
    <m/>
    <m/>
    <x v="4"/>
    <m/>
    <x v="0"/>
    <m/>
    <n v="1"/>
    <n v="0"/>
    <n v="0"/>
    <x v="11"/>
    <x v="164"/>
    <s v="|Thorlabs|PB1"/>
    <n v="1"/>
    <s v="Active"/>
    <m/>
    <s v="Thorlabs"/>
    <s v="PB1"/>
    <s v="Mounting Post Base, Ø2.48&quot; x 0.40&quot; Thick "/>
    <s v="https://www.thorlabs.com/thorproduct.cfm?partnumber=PB1"/>
    <m/>
  </r>
  <r>
    <m/>
    <m/>
    <m/>
    <m/>
    <x v="1"/>
    <m/>
    <x v="0"/>
    <m/>
    <n v="1"/>
    <n v="0"/>
    <n v="0"/>
    <x v="11"/>
    <x v="165"/>
    <s v="|Thorlabs|PB4"/>
    <n v="1"/>
    <s v="Active"/>
    <m/>
    <s v="Thorlabs"/>
    <s v="PB4"/>
    <s v="Ø1.85&quot; Studded Pedestal Base Adapter, 1/4&quot;-20 Threads "/>
    <s v="https://www.thorlabs.com/thorproduct.cfm?partnumber=PB4"/>
    <m/>
  </r>
  <r>
    <m/>
    <m/>
    <m/>
    <m/>
    <x v="2"/>
    <m/>
    <x v="0"/>
    <m/>
    <n v="1"/>
    <n v="0"/>
    <n v="0"/>
    <x v="11"/>
    <x v="166"/>
    <s v="|Thorlabs|PB4-M"/>
    <n v="1"/>
    <s v="Active"/>
    <m/>
    <s v="Thorlabs"/>
    <s v="PB4-M"/>
    <m/>
    <m/>
    <m/>
  </r>
  <r>
    <m/>
    <s v="Imaging"/>
    <n v="1"/>
    <m/>
    <x v="1"/>
    <m/>
    <x v="0"/>
    <m/>
    <n v="1"/>
    <n v="0"/>
    <n v="0"/>
    <x v="11"/>
    <x v="167"/>
    <s v="Imaging|Thorlabs|PB4VB2S"/>
    <n v="1"/>
    <m/>
    <m/>
    <s v="Thorlabs"/>
    <s v="PB4VB2S"/>
    <s v="Piezoelectric Bender, 150 V, ±135 µm Displacement, Pre-Attached Holder "/>
    <s v="https://www.thorlabs.com/thorproduct.cfm?partnumber=PB4VB2S"/>
    <m/>
  </r>
  <r>
    <m/>
    <m/>
    <m/>
    <m/>
    <x v="2"/>
    <m/>
    <x v="0"/>
    <m/>
    <n v="1"/>
    <n v="0"/>
    <n v="0"/>
    <x v="11"/>
    <x v="168"/>
    <s v="|Thorlabs|PBS251"/>
    <n v="1"/>
    <s v="Active"/>
    <m/>
    <s v="Thorlabs"/>
    <s v="PBS251"/>
    <m/>
    <m/>
    <m/>
  </r>
  <r>
    <m/>
    <s v="Imaging"/>
    <n v="1"/>
    <m/>
    <x v="1"/>
    <m/>
    <x v="0"/>
    <m/>
    <n v="1"/>
    <n v="0"/>
    <n v="0"/>
    <x v="11"/>
    <x v="169"/>
    <s v="Imaging|Thorlabs|PF20-03-P01"/>
    <n v="1"/>
    <s v="Active"/>
    <m/>
    <s v="Thorlabs"/>
    <s v="PF20-03-P01"/>
    <s v="Ø2&quot; Protected Silver Mirror "/>
    <s v="https://www.thorlabs.com/thorproduct.cfm?partnumber=PF20-03-P01"/>
    <m/>
  </r>
  <r>
    <m/>
    <s v="Illumination"/>
    <n v="2"/>
    <m/>
    <x v="4"/>
    <m/>
    <x v="0"/>
    <m/>
    <n v="1"/>
    <n v="0"/>
    <n v="0"/>
    <x v="11"/>
    <x v="170"/>
    <s v="Illumination|Thorlabs|PH1"/>
    <n v="1"/>
    <s v="Active"/>
    <m/>
    <s v="Thorlabs"/>
    <s v="PH1"/>
    <s v="Ø1/2&quot; Post Holder, Spring-Loaded Hex-Locking Thumbscrew, L = 1&quot; "/>
    <s v="https://www.thorlabs.com/thorproduct.cfm?partnumber=PH1#ad-image-0"/>
    <m/>
  </r>
  <r>
    <m/>
    <s v="Imaging"/>
    <n v="5"/>
    <m/>
    <x v="10"/>
    <m/>
    <x v="0"/>
    <m/>
    <n v="1"/>
    <n v="0"/>
    <n v="0"/>
    <x v="11"/>
    <x v="170"/>
    <s v="Imaging|Thorlabs|PH1"/>
    <n v="1"/>
    <m/>
    <m/>
    <m/>
    <m/>
    <m/>
    <s v="*from cad 12/2/2025"/>
    <m/>
  </r>
  <r>
    <m/>
    <s v="Imaging"/>
    <n v="7"/>
    <m/>
    <x v="3"/>
    <m/>
    <x v="8"/>
    <m/>
    <n v="1"/>
    <n v="7"/>
    <n v="0"/>
    <x v="11"/>
    <x v="171"/>
    <s v="Imaging|Thorlabs|PH1.5"/>
    <n v="1"/>
    <m/>
    <m/>
    <m/>
    <m/>
    <m/>
    <s v="*from cad 12/2/2025"/>
    <m/>
  </r>
  <r>
    <m/>
    <m/>
    <m/>
    <m/>
    <x v="1"/>
    <m/>
    <x v="0"/>
    <m/>
    <n v="1"/>
    <n v="0"/>
    <n v="0"/>
    <x v="11"/>
    <x v="172"/>
    <s v="|Thorlabs|PH2"/>
    <n v="1"/>
    <s v="Active"/>
    <m/>
    <s v="Thorlabs"/>
    <s v="PH2"/>
    <s v="Ø1/2&quot; Post Holder, Spring-Loaded Hex-Locking Thumbscrew, L = 2&quot; "/>
    <s v="https://www.thorlabs.com/thorproduct.cfm?partnumber=PH2#ad-image-0"/>
    <m/>
  </r>
  <r>
    <m/>
    <s v="Illumination"/>
    <n v="2"/>
    <m/>
    <x v="4"/>
    <m/>
    <x v="0"/>
    <m/>
    <n v="1"/>
    <n v="0"/>
    <n v="0"/>
    <x v="11"/>
    <x v="173"/>
    <s v="Illumination|Thorlabs|PH2E"/>
    <n v="1"/>
    <s v="Active"/>
    <m/>
    <s v="Thorlabs"/>
    <s v="PH2E"/>
    <s v="thorlabs-PH2E"/>
    <s v="*from cad 11/17/2025."/>
    <m/>
  </r>
  <r>
    <m/>
    <s v="Illumination"/>
    <n v="4"/>
    <m/>
    <x v="10"/>
    <m/>
    <x v="0"/>
    <m/>
    <n v="1"/>
    <n v="0"/>
    <n v="0"/>
    <x v="11"/>
    <x v="174"/>
    <s v="Illumination|Thorlabs|PH3"/>
    <n v="1"/>
    <s v="Active"/>
    <m/>
    <s v="Thorlabs"/>
    <s v="PH3"/>
    <s v="thorlabs-PH3"/>
    <s v="*from cad 11/17/2025."/>
    <m/>
  </r>
  <r>
    <m/>
    <s v="Illumination"/>
    <n v="3"/>
    <m/>
    <x v="6"/>
    <m/>
    <x v="0"/>
    <m/>
    <n v="1"/>
    <n v="0"/>
    <n v="0"/>
    <x v="11"/>
    <x v="175"/>
    <s v="Illumination|Thorlabs|PH4"/>
    <n v="1"/>
    <s v="Active"/>
    <m/>
    <s v="Thorlabs"/>
    <s v="PH4"/>
    <s v="KCB1EC/M"/>
    <s v="*from cad 11/17/2025."/>
    <m/>
  </r>
  <r>
    <m/>
    <s v="Sample Hold"/>
    <n v="3"/>
    <m/>
    <x v="6"/>
    <m/>
    <x v="0"/>
    <m/>
    <n v="1"/>
    <n v="0"/>
    <n v="0"/>
    <x v="11"/>
    <x v="175"/>
    <s v="Sample Hold|Thorlabs|PH4"/>
    <n v="1"/>
    <s v="Active"/>
    <m/>
    <s v="Thorlabs"/>
    <s v="PH4"/>
    <s v="PH4 Thorlabs"/>
    <s v="*from cad 11/17/2025."/>
    <m/>
  </r>
  <r>
    <m/>
    <s v="Illumination"/>
    <n v="2"/>
    <m/>
    <x v="4"/>
    <m/>
    <x v="0"/>
    <m/>
    <n v="1"/>
    <n v="0"/>
    <n v="0"/>
    <x v="11"/>
    <x v="176"/>
    <s v="Illumination|Thorlabs|PH6"/>
    <n v="1"/>
    <s v="Active"/>
    <m/>
    <s v="Thorlabs"/>
    <s v="PH6"/>
    <s v="PH6 Thorlabs"/>
    <s v="*from cad 11/17/2025."/>
    <m/>
  </r>
  <r>
    <m/>
    <s v="Imaging"/>
    <n v="1"/>
    <m/>
    <x v="3"/>
    <m/>
    <x v="2"/>
    <m/>
    <n v="1"/>
    <n v="1"/>
    <n v="0"/>
    <x v="11"/>
    <x v="177"/>
    <s v="Imaging|Thorlabs|PL201"/>
    <n v="1"/>
    <m/>
    <m/>
    <m/>
    <m/>
    <m/>
    <s v="*from cad 12/2/2025"/>
    <m/>
  </r>
  <r>
    <m/>
    <m/>
    <m/>
    <m/>
    <x v="0"/>
    <m/>
    <x v="0"/>
    <m/>
    <n v="1"/>
    <n v="0"/>
    <n v="0"/>
    <x v="11"/>
    <x v="178"/>
    <s v="|Thorlabs|PS7M "/>
    <n v="1"/>
    <m/>
    <m/>
    <s v="Thorlabs"/>
    <s v="PS7M "/>
    <s v="Mounting Post Spacer, Height = 7 mm "/>
    <s v="https://www.thorlabs.com/thorproduct.cfm?partnumber=PS7M"/>
    <m/>
  </r>
  <r>
    <m/>
    <s v="Illumination"/>
    <n v="1"/>
    <m/>
    <x v="1"/>
    <m/>
    <x v="0"/>
    <m/>
    <n v="1"/>
    <n v="0"/>
    <n v="0"/>
    <x v="11"/>
    <x v="179"/>
    <s v="Illumination|Thorlabs|PT1"/>
    <n v="1"/>
    <m/>
    <m/>
    <s v="Thorlabs"/>
    <s v="PT1"/>
    <s v="1&quot; Translation Stage with Standard Micrometer, 1/4&quot;-20 Taps "/>
    <s v="Part of the zebrafish holder stage/manipulator. https://www.thorlabs.com/thorproduct.cfm?partnumber=PT1#ad-image-0. https://www.thorlabs.com/newgrouppage9.cfm?objectgroup_id=706"/>
    <m/>
  </r>
  <r>
    <m/>
    <s v="Imaging"/>
    <n v="1"/>
    <m/>
    <x v="1"/>
    <m/>
    <x v="0"/>
    <m/>
    <n v="1"/>
    <n v="0"/>
    <n v="0"/>
    <x v="11"/>
    <x v="179"/>
    <s v="Imaging|Thorlabs|PT1"/>
    <n v="1"/>
    <m/>
    <m/>
    <m/>
    <m/>
    <m/>
    <s v="*from cad 12/2/2025"/>
    <m/>
  </r>
  <r>
    <m/>
    <s v="Obselete/None"/>
    <n v="0"/>
    <m/>
    <x v="3"/>
    <m/>
    <x v="0"/>
    <m/>
    <n v="1"/>
    <n v="0"/>
    <n v="0"/>
    <x v="11"/>
    <x v="180"/>
    <s v="Obselete/None|Thorlabs|PT101"/>
    <n v="1"/>
    <m/>
    <m/>
    <s v="Thorlabs"/>
    <s v="PT101"/>
    <s v="Base Plate for PT Series Translation Stages, 1/4&quot;-20 Mounting Holes "/>
    <s v="Part of the zebrafish holder stage/manipulator. https://www.thorlabs.com/thorproduct.cfm?partnumber=PT101#ad-image-0 . https://www.thorlabs.com/newgrouppage9.cfm?objectgroup_id=706 "/>
    <m/>
  </r>
  <r>
    <m/>
    <s v="Imaging"/>
    <n v="1"/>
    <m/>
    <x v="1"/>
    <m/>
    <x v="0"/>
    <m/>
    <n v="1"/>
    <n v="0"/>
    <n v="0"/>
    <x v="11"/>
    <x v="180"/>
    <s v="Imaging|Thorlabs|PT101"/>
    <n v="1"/>
    <m/>
    <m/>
    <m/>
    <m/>
    <m/>
    <s v="*from cad 12/2/2025"/>
    <m/>
  </r>
  <r>
    <m/>
    <s v="Sample Hold"/>
    <n v="0"/>
    <m/>
    <x v="3"/>
    <m/>
    <x v="0"/>
    <m/>
    <n v="1"/>
    <n v="0"/>
    <n v="0"/>
    <x v="11"/>
    <x v="181"/>
    <s v="Sample Hold|Thorlabs|PT102"/>
    <n v="1"/>
    <s v="Active"/>
    <m/>
    <s v="Thorlabs"/>
    <s v="PT102"/>
    <s v="Right-Angle Bracket for PT Series Translation Stages, 1/4&quot;-20 Mounting Holes"/>
    <s v="Part of the zebrafish holder stage/manipulator. https://www.thorlabs.com/thorproduct.cfm?partnumber=PT102#ad-image-0 . https://www.thorlabs.com/newgrouppage9.cfm?objectgroup_id=706 "/>
    <m/>
  </r>
  <r>
    <m/>
    <s v="Imaging"/>
    <n v="1"/>
    <m/>
    <x v="1"/>
    <m/>
    <x v="0"/>
    <m/>
    <n v="1"/>
    <n v="0"/>
    <n v="0"/>
    <x v="11"/>
    <x v="181"/>
    <s v="Imaging|Thorlabs|PT102"/>
    <n v="1"/>
    <m/>
    <m/>
    <m/>
    <m/>
    <m/>
    <s v="*from cad 12/2/2025"/>
    <m/>
  </r>
  <r>
    <m/>
    <m/>
    <m/>
    <m/>
    <x v="2"/>
    <m/>
    <x v="0"/>
    <m/>
    <n v="1"/>
    <n v="0"/>
    <n v="0"/>
    <x v="11"/>
    <x v="182"/>
    <s v="|Thorlabs|PT1B"/>
    <n v="1"/>
    <s v="Active"/>
    <m/>
    <s v="Thorlabs"/>
    <s v="PT1B"/>
    <m/>
    <m/>
    <m/>
  </r>
  <r>
    <m/>
    <s v="Imaging"/>
    <n v="2"/>
    <m/>
    <x v="1"/>
    <m/>
    <x v="2"/>
    <m/>
    <n v="1"/>
    <n v="1"/>
    <n v="0"/>
    <x v="11"/>
    <x v="182"/>
    <s v="Imaging|Thorlabs|PT1B"/>
    <n v="1"/>
    <m/>
    <m/>
    <m/>
    <m/>
    <m/>
    <s v="*from cad 12/2/2025"/>
    <m/>
  </r>
  <r>
    <m/>
    <s v="Imaging"/>
    <n v="1"/>
    <m/>
    <x v="3"/>
    <m/>
    <x v="2"/>
    <m/>
    <n v="1"/>
    <n v="1"/>
    <n v="0"/>
    <x v="11"/>
    <x v="183"/>
    <s v="Imaging|Thorlabs|QRC2A"/>
    <n v="1"/>
    <m/>
    <m/>
    <m/>
    <m/>
    <m/>
    <s v="*from cad 12/2/2025"/>
    <m/>
  </r>
  <r>
    <m/>
    <s v="Imaging"/>
    <n v="1"/>
    <m/>
    <x v="3"/>
    <m/>
    <x v="2"/>
    <m/>
    <n v="1"/>
    <n v="1"/>
    <n v="0"/>
    <x v="11"/>
    <x v="184"/>
    <s v="Imaging|Thorlabs|RS2P8"/>
    <n v="1"/>
    <m/>
    <m/>
    <m/>
    <m/>
    <m/>
    <s v="*from cad 12/2/2025"/>
    <m/>
  </r>
  <r>
    <m/>
    <s v="Illumination"/>
    <n v="1"/>
    <m/>
    <x v="1"/>
    <m/>
    <x v="0"/>
    <m/>
    <n v="1"/>
    <n v="0"/>
    <n v="0"/>
    <x v="11"/>
    <x v="185"/>
    <s v="Illumination|Thorlabs|RA180"/>
    <n v="1"/>
    <s v="Active"/>
    <m/>
    <s v="Thorlabs"/>
    <s v="RA180"/>
    <s v="RA180-thorlabs"/>
    <s v="*from cad 11/17/2025."/>
    <m/>
  </r>
  <r>
    <m/>
    <s v="Imaging"/>
    <n v="1"/>
    <m/>
    <x v="1"/>
    <m/>
    <x v="0"/>
    <m/>
    <n v="1"/>
    <n v="0"/>
    <n v="0"/>
    <x v="11"/>
    <x v="185"/>
    <s v="Imaging|Thorlabs|RA180"/>
    <n v="1"/>
    <m/>
    <m/>
    <m/>
    <m/>
    <m/>
    <s v="*from cad 12/2/2025"/>
    <m/>
  </r>
  <r>
    <m/>
    <s v="Illumination"/>
    <n v="2"/>
    <m/>
    <x v="4"/>
    <m/>
    <x v="0"/>
    <m/>
    <n v="1"/>
    <n v="0"/>
    <n v="0"/>
    <x v="11"/>
    <x v="186"/>
    <s v="Illumination|Thorlabs|RA360"/>
    <n v="1"/>
    <s v="Active"/>
    <m/>
    <s v="Thorlabs"/>
    <s v="RA360"/>
    <s v="RA360 Thorlabs"/>
    <s v="*from cad 11/17/2025."/>
    <m/>
  </r>
  <r>
    <m/>
    <s v="Imaging"/>
    <n v="2"/>
    <m/>
    <x v="3"/>
    <m/>
    <x v="4"/>
    <m/>
    <n v="1"/>
    <n v="2"/>
    <n v="0"/>
    <x v="11"/>
    <x v="187"/>
    <s v="Imaging|Thorlabs|RBP2"/>
    <n v="1"/>
    <m/>
    <m/>
    <m/>
    <m/>
    <m/>
    <s v="*from cad 12/2/2025"/>
    <m/>
  </r>
  <r>
    <m/>
    <s v="Imaging"/>
    <n v="2"/>
    <m/>
    <x v="3"/>
    <m/>
    <x v="4"/>
    <m/>
    <n v="1"/>
    <n v="2"/>
    <n v="0"/>
    <x v="11"/>
    <x v="188"/>
    <s v="Imaging|Thorlabs|RM1B"/>
    <n v="1"/>
    <m/>
    <m/>
    <m/>
    <m/>
    <m/>
    <s v="*from cad 12/2/2025"/>
    <m/>
  </r>
  <r>
    <m/>
    <s v="Imaging"/>
    <n v="2"/>
    <m/>
    <x v="3"/>
    <m/>
    <x v="4"/>
    <m/>
    <n v="1"/>
    <n v="2"/>
    <n v="0"/>
    <x v="11"/>
    <x v="189"/>
    <s v="Imaging|Thorlabs|RM1G"/>
    <n v="1"/>
    <m/>
    <m/>
    <m/>
    <m/>
    <m/>
    <s v="*from cad 12/2/2025"/>
    <m/>
  </r>
  <r>
    <m/>
    <s v="Imaging"/>
    <n v="2"/>
    <m/>
    <x v="3"/>
    <m/>
    <x v="4"/>
    <m/>
    <n v="1"/>
    <n v="2"/>
    <n v="0"/>
    <x v="11"/>
    <x v="190"/>
    <s v="Imaging|Thorlabs|RS05"/>
    <n v="1"/>
    <m/>
    <m/>
    <m/>
    <m/>
    <m/>
    <s v="*from cad 12/2/2025"/>
    <m/>
  </r>
  <r>
    <m/>
    <s v="Illumination"/>
    <n v="2"/>
    <m/>
    <x v="4"/>
    <m/>
    <x v="0"/>
    <m/>
    <n v="1"/>
    <n v="0"/>
    <n v="0"/>
    <x v="11"/>
    <x v="191"/>
    <s v="Illumination|Thorlabs|RS05P"/>
    <n v="1"/>
    <s v="Active"/>
    <m/>
    <s v="Thorlabs"/>
    <s v="RS05P"/>
    <s v="RS075P Thorlabs"/>
    <s v="*from cad 11/17/2025."/>
    <m/>
  </r>
  <r>
    <m/>
    <s v="Imaging"/>
    <n v="1"/>
    <m/>
    <x v="3"/>
    <m/>
    <x v="2"/>
    <m/>
    <n v="1"/>
    <n v="1"/>
    <n v="0"/>
    <x v="11"/>
    <x v="192"/>
    <s v="Imaging|Thorlabs|RS05P8"/>
    <n v="1"/>
    <m/>
    <m/>
    <m/>
    <m/>
    <m/>
    <s v="*from cad 12/2/2025"/>
    <m/>
  </r>
  <r>
    <m/>
    <s v="Imaging"/>
    <n v="1"/>
    <m/>
    <x v="3"/>
    <m/>
    <x v="2"/>
    <m/>
    <n v="1"/>
    <n v="1"/>
    <n v="0"/>
    <x v="11"/>
    <x v="193"/>
    <s v="Imaging|Thorlabs|RS075P8"/>
    <n v="1"/>
    <m/>
    <m/>
    <m/>
    <m/>
    <m/>
    <s v="*from cad 12/2/2025"/>
    <m/>
  </r>
  <r>
    <m/>
    <s v="Imaging"/>
    <n v="2"/>
    <m/>
    <x v="3"/>
    <m/>
    <x v="4"/>
    <m/>
    <n v="1"/>
    <n v="2"/>
    <n v="0"/>
    <x v="11"/>
    <x v="194"/>
    <s v="Imaging|Thorlabs|RS1"/>
    <n v="1"/>
    <m/>
    <m/>
    <m/>
    <m/>
    <m/>
    <s v="*from cad 12/2/2025"/>
    <m/>
  </r>
  <r>
    <m/>
    <s v="Sample Hold"/>
    <n v="3"/>
    <m/>
    <x v="6"/>
    <m/>
    <x v="0"/>
    <m/>
    <n v="1"/>
    <n v="0"/>
    <n v="0"/>
    <x v="11"/>
    <x v="195"/>
    <s v="Sample Hold|Thorlabs|RS1.5"/>
    <n v="1"/>
    <s v="Active"/>
    <m/>
    <s v="Thorlabs"/>
    <s v="RS1.5"/>
    <s v="RS1.5 Thorlabs"/>
    <s v="*from cad 11/17/2025."/>
    <m/>
  </r>
  <r>
    <m/>
    <m/>
    <m/>
    <m/>
    <x v="2"/>
    <m/>
    <x v="0"/>
    <m/>
    <n v="1"/>
    <n v="0"/>
    <n v="0"/>
    <x v="11"/>
    <x v="196"/>
    <s v="|Thorlabs|RS1.5P8"/>
    <n v="1"/>
    <s v="Active"/>
    <s v="Imperial"/>
    <s v="Thorlabs"/>
    <s v="RS1.5P8"/>
    <m/>
    <m/>
    <m/>
  </r>
  <r>
    <m/>
    <s v="Imaging"/>
    <n v="1"/>
    <m/>
    <x v="3"/>
    <m/>
    <x v="2"/>
    <m/>
    <n v="1"/>
    <n v="1"/>
    <n v="0"/>
    <x v="11"/>
    <x v="197"/>
    <s v="Imaging|Thorlabs|RS1M"/>
    <n v="1"/>
    <m/>
    <m/>
    <m/>
    <m/>
    <m/>
    <s v="*from cad 12/2/2025"/>
    <m/>
  </r>
  <r>
    <m/>
    <m/>
    <m/>
    <m/>
    <x v="4"/>
    <m/>
    <x v="0"/>
    <m/>
    <n v="1"/>
    <n v="0"/>
    <n v="0"/>
    <x v="11"/>
    <x v="198"/>
    <s v="|Thorlabs|RS2"/>
    <n v="1"/>
    <s v="Active"/>
    <m/>
    <s v="Thorlabs"/>
    <s v="RS2"/>
    <s v="Ø1&quot; Pillar Post, 1/4&quot;-20 Taps, L = 2&quot; "/>
    <s v="https://www.thorlabs.com/thorproduct.cfm?partnumber=RS2"/>
    <m/>
  </r>
  <r>
    <m/>
    <s v="Illumination"/>
    <n v="2"/>
    <m/>
    <x v="4"/>
    <m/>
    <x v="0"/>
    <m/>
    <n v="1"/>
    <n v="0"/>
    <n v="0"/>
    <x v="11"/>
    <x v="184"/>
    <s v="Illumination|Thorlabs|RS2P8"/>
    <n v="1"/>
    <s v="Active"/>
    <m/>
    <s v="Thorlabs"/>
    <s v="R2SP8"/>
    <s v="thorlabs-R2SP8"/>
    <s v="*from cad 11/17/2025."/>
    <m/>
  </r>
  <r>
    <m/>
    <s v="Imaging"/>
    <n v="1"/>
    <m/>
    <x v="3"/>
    <m/>
    <x v="2"/>
    <m/>
    <n v="1"/>
    <n v="1"/>
    <n v="0"/>
    <x v="11"/>
    <x v="199"/>
    <s v="Imaging|Thorlabs|RS4"/>
    <n v="1"/>
    <m/>
    <m/>
    <m/>
    <m/>
    <m/>
    <s v="*from cad 12/2/2025"/>
    <m/>
  </r>
  <r>
    <m/>
    <s v="Illumination"/>
    <n v="3"/>
    <m/>
    <x v="6"/>
    <m/>
    <x v="0"/>
    <m/>
    <n v="1"/>
    <n v="0"/>
    <n v="0"/>
    <x v="11"/>
    <x v="200"/>
    <s v="Illumination|Thorlabs|RS4P"/>
    <n v="1"/>
    <s v="Active"/>
    <m/>
    <s v="Thorlabs"/>
    <s v="RS4P"/>
    <s v="RS4P Thorlabs"/>
    <s v="*from cad 11/17/2025."/>
    <m/>
  </r>
  <r>
    <m/>
    <s v="Illumination"/>
    <n v="2"/>
    <m/>
    <x v="4"/>
    <m/>
    <x v="0"/>
    <m/>
    <n v="1"/>
    <n v="0"/>
    <n v="0"/>
    <x v="11"/>
    <x v="201"/>
    <s v="Illumination|Thorlabs|RS6P"/>
    <n v="1"/>
    <s v="Active"/>
    <m/>
    <s v="Thorlabs"/>
    <s v="RS6P"/>
    <s v="RS6P Thorlabs"/>
    <s v="*from cad 11/17/2025."/>
    <m/>
  </r>
  <r>
    <m/>
    <s v="Imaging"/>
    <n v="2"/>
    <m/>
    <x v="3"/>
    <m/>
    <x v="4"/>
    <m/>
    <n v="1"/>
    <n v="2"/>
    <n v="0"/>
    <x v="11"/>
    <x v="201"/>
    <s v="Imaging|Thorlabs|RS6P"/>
    <n v="1"/>
    <m/>
    <m/>
    <m/>
    <m/>
    <m/>
    <s v="*from cad 12/2/2025"/>
    <m/>
  </r>
  <r>
    <m/>
    <s v="Imaging"/>
    <n v="2"/>
    <m/>
    <x v="3"/>
    <m/>
    <x v="4"/>
    <m/>
    <n v="1"/>
    <n v="2"/>
    <n v="0"/>
    <x v="11"/>
    <x v="202"/>
    <s v="Imaging|Thorlabs|RS8M"/>
    <n v="1"/>
    <m/>
    <m/>
    <m/>
    <m/>
    <m/>
    <s v="*from cad 12/2/2025"/>
    <m/>
  </r>
  <r>
    <m/>
    <s v="Illumination"/>
    <n v="2"/>
    <m/>
    <x v="11"/>
    <m/>
    <x v="0"/>
    <m/>
    <n v="10"/>
    <n v="0"/>
    <n v="0"/>
    <x v="11"/>
    <x v="203"/>
    <s v="Illumination|Thorlabs|SD1"/>
    <n v="1"/>
    <m/>
    <m/>
    <m/>
    <m/>
    <m/>
    <s v="Custom patrts"/>
    <m/>
  </r>
  <r>
    <m/>
    <m/>
    <m/>
    <m/>
    <x v="2"/>
    <m/>
    <x v="0"/>
    <m/>
    <n v="1"/>
    <n v="0"/>
    <n v="0"/>
    <x v="11"/>
    <x v="204"/>
    <s v="|Thorlabs|SM1A12"/>
    <n v="1"/>
    <s v="Active"/>
    <m/>
    <s v="Thorlabs"/>
    <s v="SM1A12"/>
    <m/>
    <m/>
    <m/>
  </r>
  <r>
    <m/>
    <s v="Illumination"/>
    <n v="1"/>
    <m/>
    <x v="1"/>
    <m/>
    <x v="0"/>
    <m/>
    <n v="1"/>
    <n v="0"/>
    <n v="0"/>
    <x v="11"/>
    <x v="205"/>
    <s v="Illumination|Thorlabs|SM1A3"/>
    <n v="1"/>
    <s v="Active"/>
    <m/>
    <s v="Thorlabs"/>
    <s v="SM1A3"/>
    <s v="SM1A3 Thorlabs"/>
    <s v="*from cad 11/17/2025."/>
    <m/>
  </r>
  <r>
    <m/>
    <s v="Imaging"/>
    <n v="1"/>
    <m/>
    <x v="3"/>
    <m/>
    <x v="2"/>
    <m/>
    <n v="1"/>
    <n v="1"/>
    <n v="0"/>
    <x v="11"/>
    <x v="205"/>
    <s v="Imaging|Thorlabs|SM1A3"/>
    <n v="1"/>
    <m/>
    <m/>
    <m/>
    <m/>
    <m/>
    <s v="*from cad 12/2/2025"/>
    <m/>
  </r>
  <r>
    <m/>
    <s v="Illumination"/>
    <n v="1"/>
    <m/>
    <x v="1"/>
    <m/>
    <x v="0"/>
    <m/>
    <n v="1"/>
    <n v="0"/>
    <n v="0"/>
    <x v="11"/>
    <x v="206"/>
    <s v="Illumination|Thorlabs|SM1A34"/>
    <n v="1"/>
    <s v="Active"/>
    <m/>
    <s v="Thorlabs"/>
    <s v="SM1A34"/>
    <s v="SM1A34 Thorlabs"/>
    <s v="*from cad 11/17/2025."/>
    <m/>
  </r>
  <r>
    <m/>
    <s v="Imaging"/>
    <n v="1"/>
    <m/>
    <x v="3"/>
    <m/>
    <x v="2"/>
    <m/>
    <n v="1"/>
    <n v="1"/>
    <n v="0"/>
    <x v="11"/>
    <x v="207"/>
    <s v="Imaging|Thorlabs|SM1A64"/>
    <n v="1"/>
    <m/>
    <m/>
    <m/>
    <m/>
    <m/>
    <s v="*from cad 12/2/2025"/>
    <m/>
  </r>
  <r>
    <m/>
    <s v="Illumination"/>
    <n v="1"/>
    <m/>
    <x v="1"/>
    <m/>
    <x v="0"/>
    <m/>
    <n v="1"/>
    <n v="0"/>
    <n v="0"/>
    <x v="11"/>
    <x v="208"/>
    <s v="Illumination|Thorlabs|SM1AP1"/>
    <n v="1"/>
    <s v="Active"/>
    <m/>
    <s v="Thorlabs"/>
    <s v="SM1AP1"/>
    <s v="SM1AP1 Thorlabs"/>
    <s v="*from cad 11/17/2025."/>
    <m/>
  </r>
  <r>
    <m/>
    <s v="Imaging"/>
    <n v="2"/>
    <m/>
    <x v="3"/>
    <m/>
    <x v="4"/>
    <m/>
    <n v="1"/>
    <n v="2"/>
    <n v="0"/>
    <x v="11"/>
    <x v="209"/>
    <s v="Imaging|Thorlabs|SM1CP2"/>
    <n v="1"/>
    <m/>
    <m/>
    <m/>
    <m/>
    <m/>
    <s v="*from cad 12/2/2025"/>
    <m/>
  </r>
  <r>
    <m/>
    <s v="Illumination"/>
    <n v="1"/>
    <m/>
    <x v="1"/>
    <m/>
    <x v="0"/>
    <m/>
    <n v="1"/>
    <n v="0"/>
    <n v="0"/>
    <x v="11"/>
    <x v="210"/>
    <s v="Illumination|Thorlabs|SM1FC2"/>
    <n v="1"/>
    <s v="Active"/>
    <m/>
    <s v="Thorlabs"/>
    <s v="SM1FC2"/>
    <s v="SM1FC2 Thorlabs"/>
    <s v="*from cad 11/17/2025."/>
    <m/>
  </r>
  <r>
    <m/>
    <s v="Imaging"/>
    <n v="2"/>
    <m/>
    <x v="6"/>
    <m/>
    <x v="0"/>
    <m/>
    <n v="1"/>
    <n v="0"/>
    <n v="0"/>
    <x v="11"/>
    <x v="211"/>
    <s v="Imaging|Thorlabs|SM1L03"/>
    <n v="1"/>
    <m/>
    <m/>
    <m/>
    <m/>
    <m/>
    <s v="*from cad 12/2/2025"/>
    <m/>
  </r>
  <r>
    <m/>
    <s v="Imaging"/>
    <n v="1"/>
    <m/>
    <x v="3"/>
    <m/>
    <x v="2"/>
    <m/>
    <n v="1"/>
    <n v="1"/>
    <n v="0"/>
    <x v="11"/>
    <x v="212"/>
    <s v="Imaging|Thorlabs|SM1L05"/>
    <n v="1"/>
    <m/>
    <m/>
    <m/>
    <m/>
    <m/>
    <s v="*from cad 12/2/2025"/>
    <m/>
  </r>
  <r>
    <m/>
    <s v="Imaging"/>
    <n v="1"/>
    <m/>
    <x v="11"/>
    <m/>
    <x v="0"/>
    <m/>
    <n v="1"/>
    <n v="0"/>
    <n v="0"/>
    <x v="11"/>
    <x v="213"/>
    <s v="Imaging|Thorlabs|SM1RR"/>
    <n v="1"/>
    <m/>
    <m/>
    <m/>
    <m/>
    <m/>
    <s v="*from cad 12/2/2025"/>
    <m/>
  </r>
  <r>
    <m/>
    <s v="Imaging"/>
    <n v="1"/>
    <m/>
    <x v="1"/>
    <m/>
    <x v="0"/>
    <m/>
    <n v="1"/>
    <n v="0"/>
    <n v="0"/>
    <x v="11"/>
    <x v="214"/>
    <s v="Imaging|Thorlabs|SM1RRC"/>
    <n v="1"/>
    <m/>
    <m/>
    <m/>
    <m/>
    <m/>
    <s v="*from cad 12/2/2025 (equivalent to a single SM1S2M)"/>
    <m/>
  </r>
  <r>
    <m/>
    <s v="Imaging"/>
    <n v="2"/>
    <m/>
    <x v="4"/>
    <m/>
    <x v="0"/>
    <m/>
    <n v="1"/>
    <n v="0"/>
    <n v="0"/>
    <x v="11"/>
    <x v="215"/>
    <s v="Imaging|Thorlabs|SM1S1M"/>
    <n v="1"/>
    <m/>
    <m/>
    <m/>
    <m/>
    <m/>
    <s v="*from cad 12/2/2025"/>
    <m/>
  </r>
  <r>
    <m/>
    <s v="Illumination"/>
    <n v="1"/>
    <m/>
    <x v="1"/>
    <m/>
    <x v="0"/>
    <m/>
    <n v="1"/>
    <n v="0"/>
    <n v="0"/>
    <x v="11"/>
    <x v="216"/>
    <s v="Illumination|Thorlabs|SM1S8M"/>
    <n v="1"/>
    <s v="Active"/>
    <m/>
    <s v="Thorlabs"/>
    <s v="SM1S8M"/>
    <s v="SM1S8M Thorlabs"/>
    <s v="*from cad 11/17/2025."/>
    <m/>
  </r>
  <r>
    <m/>
    <s v="Imaging"/>
    <n v="1"/>
    <m/>
    <x v="3"/>
    <m/>
    <x v="2"/>
    <m/>
    <n v="1"/>
    <n v="1"/>
    <n v="0"/>
    <x v="11"/>
    <x v="217"/>
    <s v="Imaging|Thorlabs|SM1T4"/>
    <n v="1"/>
    <m/>
    <m/>
    <m/>
    <m/>
    <m/>
    <s v="*from cad 12/2/2025"/>
    <m/>
  </r>
  <r>
    <m/>
    <s v="Imaging"/>
    <n v="1"/>
    <m/>
    <x v="1"/>
    <m/>
    <x v="0"/>
    <m/>
    <n v="1"/>
    <n v="0"/>
    <n v="0"/>
    <x v="11"/>
    <x v="218"/>
    <s v="Imaging|Thorlabs|SM1TC"/>
    <n v="1"/>
    <m/>
    <m/>
    <m/>
    <m/>
    <m/>
    <s v="*from cad 12/2/2025"/>
    <m/>
  </r>
  <r>
    <m/>
    <s v="Imaging"/>
    <n v="1"/>
    <m/>
    <x v="1"/>
    <m/>
    <x v="0"/>
    <m/>
    <n v="1"/>
    <n v="0"/>
    <n v="0"/>
    <x v="11"/>
    <x v="219"/>
    <s v="Imaging|Thorlabs|SM1V10"/>
    <n v="1"/>
    <m/>
    <m/>
    <m/>
    <m/>
    <m/>
    <s v="*from cad 12/2/2025"/>
    <m/>
  </r>
  <r>
    <m/>
    <s v="Illumination"/>
    <n v="1"/>
    <m/>
    <x v="1"/>
    <m/>
    <x v="0"/>
    <m/>
    <n v="1"/>
    <n v="0"/>
    <n v="0"/>
    <x v="11"/>
    <x v="220"/>
    <s v="Illumination|Thorlabs|SM1ZA"/>
    <n v="1"/>
    <s v="Active"/>
    <m/>
    <s v="Thorlabs"/>
    <s v="SM1ZA"/>
    <s v="SM1ZA Thorlabs"/>
    <s v="*from cad 11/17/2025."/>
    <m/>
  </r>
  <r>
    <m/>
    <s v="Illumination"/>
    <n v="1"/>
    <m/>
    <x v="1"/>
    <m/>
    <x v="0"/>
    <m/>
    <n v="1"/>
    <n v="0"/>
    <n v="0"/>
    <x v="11"/>
    <x v="221"/>
    <s v="Illumination|Thorlabs|SM2A20"/>
    <n v="1"/>
    <m/>
    <m/>
    <s v="Thorlabs"/>
    <s v="SM2A20"/>
    <s v="Adapter with External SM2 Threads and Internal M38 x 0.5 Threads "/>
    <s v="https://www.thorlabs.com/thorproduct.cfm?partnumber=SM2A20"/>
    <m/>
  </r>
  <r>
    <m/>
    <s v="Imaging"/>
    <n v="2"/>
    <m/>
    <x v="3"/>
    <m/>
    <x v="4"/>
    <m/>
    <n v="1"/>
    <n v="2"/>
    <n v="0"/>
    <x v="11"/>
    <x v="222"/>
    <s v="Imaging|Thorlabs|SM2A33"/>
    <n v="1"/>
    <m/>
    <m/>
    <m/>
    <m/>
    <m/>
    <s v="*from cad 12/2/2025"/>
    <m/>
  </r>
  <r>
    <m/>
    <s v="Illumination"/>
    <n v="1"/>
    <m/>
    <x v="1"/>
    <m/>
    <x v="0"/>
    <m/>
    <n v="1"/>
    <n v="0"/>
    <n v="0"/>
    <x v="11"/>
    <x v="223"/>
    <s v="Illumination|Thorlabs|SM2AP1"/>
    <n v="1"/>
    <s v="Active"/>
    <m/>
    <s v="Thorlabs"/>
    <s v="SM2AP1"/>
    <s v="SM2AP1 Thorlabs"/>
    <s v="*from cad 11/17/2025."/>
    <m/>
  </r>
  <r>
    <m/>
    <m/>
    <m/>
    <m/>
    <x v="4"/>
    <m/>
    <x v="0"/>
    <m/>
    <n v="1"/>
    <n v="0"/>
    <n v="0"/>
    <x v="11"/>
    <x v="224"/>
    <s v="|Thorlabs|SM2CP1"/>
    <n v="1"/>
    <s v="Active"/>
    <m/>
    <s v="Thorlabs"/>
    <s v="SM2CP1"/>
    <s v="Internally SM2-Threaded End Cap "/>
    <s v="Came with CLS-SL. https://www.thorlabs.com/thorproduct.cfm?partnumber=SM2CP1"/>
    <m/>
  </r>
  <r>
    <m/>
    <s v="Imaging"/>
    <n v="1"/>
    <m/>
    <x v="1"/>
    <m/>
    <x v="0"/>
    <m/>
    <n v="1"/>
    <n v="0"/>
    <n v="0"/>
    <x v="11"/>
    <x v="225"/>
    <s v="Imaging|Thorlabs|SM2D25D "/>
    <n v="1"/>
    <m/>
    <m/>
    <s v="Thorlabs"/>
    <s v="SM2D25D "/>
    <s v="SM2 Ring-Actuated Iris Diaphragm (Ø1.4 - Ø25.0 mm) "/>
    <s v="https://www.thorlabs.com/thorproduct.cfm?partnumber=SM2D25D#ad-image-0"/>
    <m/>
  </r>
  <r>
    <m/>
    <s v="Imaging"/>
    <n v="3"/>
    <m/>
    <x v="0"/>
    <m/>
    <x v="0"/>
    <m/>
    <n v="1"/>
    <n v="0"/>
    <n v="0"/>
    <x v="11"/>
    <x v="226"/>
    <s v="Imaging|Thorlabs|SM2L10"/>
    <n v="1"/>
    <s v="Active"/>
    <m/>
    <s v="Thorlabs"/>
    <s v="SM2L10"/>
    <s v="SM2 Lens Tube, 1&quot; Thread Depth, One Retaining Ring Included"/>
    <s v="https://www.thorlabs.com/thorproduct.cfm?partnumber=SM2L10"/>
    <m/>
  </r>
  <r>
    <m/>
    <s v="Imaging"/>
    <n v="4"/>
    <m/>
    <x v="0"/>
    <n v="0"/>
    <x v="0"/>
    <m/>
    <n v="1"/>
    <n v="0"/>
    <n v="0"/>
    <x v="11"/>
    <x v="227"/>
    <s v="Imaging|Thorlabs|SM2L15"/>
    <n v="1"/>
    <m/>
    <m/>
    <s v="Thorlabs"/>
    <s v="SM2L15"/>
    <s v="SM2 Lens Tube, 1.5&quot; Thread Depth, One Retaining Ring Included "/>
    <s v="https://www.thorlabs.com/thorproduct.cfm?partnumber=SM2L15"/>
    <m/>
  </r>
  <r>
    <m/>
    <s v="Imaging"/>
    <n v="7"/>
    <m/>
    <x v="11"/>
    <m/>
    <x v="0"/>
    <m/>
    <n v="1"/>
    <n v="0"/>
    <n v="0"/>
    <x v="11"/>
    <x v="228"/>
    <s v="Imaging|Thorlabs|SM2RR"/>
    <n v="1"/>
    <m/>
    <m/>
    <s v="Thorlabs"/>
    <s v="SM2RR"/>
    <m/>
    <m/>
    <m/>
  </r>
  <r>
    <m/>
    <s v="Illumination"/>
    <n v="2"/>
    <m/>
    <x v="6"/>
    <m/>
    <x v="0"/>
    <m/>
    <n v="1"/>
    <n v="0"/>
    <n v="0"/>
    <x v="11"/>
    <x v="229"/>
    <s v="Illumination|Thorlabs|SPT1C"/>
    <n v="1"/>
    <s v="Active"/>
    <m/>
    <s v="Thorlabs"/>
    <s v="SPT1C"/>
    <s v="SPT1C thorlabs"/>
    <s v="*from cad 11/17/2025."/>
    <m/>
  </r>
  <r>
    <m/>
    <m/>
    <m/>
    <m/>
    <x v="2"/>
    <m/>
    <x v="0"/>
    <m/>
    <n v="1"/>
    <n v="0"/>
    <n v="0"/>
    <x v="11"/>
    <x v="230"/>
    <s v="|Thorlabs|SPT1CT"/>
    <n v="1"/>
    <s v="Active"/>
    <m/>
    <s v="Thorlabs"/>
    <s v="SPT1CT"/>
    <m/>
    <m/>
    <m/>
  </r>
  <r>
    <m/>
    <m/>
    <m/>
    <m/>
    <x v="2"/>
    <m/>
    <x v="0"/>
    <m/>
    <n v="1"/>
    <n v="0"/>
    <n v="0"/>
    <x v="11"/>
    <x v="231"/>
    <s v="|Thorlabs|SPT2"/>
    <n v="1"/>
    <s v="Obselete"/>
    <s v="Imperial"/>
    <s v="Thorlabs"/>
    <s v="SPT2"/>
    <m/>
    <m/>
    <m/>
  </r>
  <r>
    <m/>
    <s v="Imaging"/>
    <n v="2"/>
    <m/>
    <x v="3"/>
    <m/>
    <x v="4"/>
    <m/>
    <n v="1"/>
    <n v="2"/>
    <n v="0"/>
    <x v="11"/>
    <x v="232"/>
    <s v="Imaging|Thorlabs|SPT2C"/>
    <n v="1"/>
    <m/>
    <m/>
    <m/>
    <m/>
    <m/>
    <s v="*from cad 12/2/2025"/>
    <m/>
  </r>
  <r>
    <m/>
    <s v="Illumination"/>
    <n v="1"/>
    <m/>
    <x v="1"/>
    <m/>
    <x v="0"/>
    <m/>
    <n v="1"/>
    <n v="0"/>
    <n v="0"/>
    <x v="11"/>
    <x v="233"/>
    <s v="Illumination|Thorlabs|ST1XY-A"/>
    <n v="1"/>
    <s v="Active"/>
    <m/>
    <s v="Thorlabs"/>
    <s v="ST1XY-A"/>
    <s v="ST1XY-A Thorlabs"/>
    <s v="*from cad 11/17/2025."/>
    <m/>
  </r>
  <r>
    <m/>
    <s v="Imaging"/>
    <n v="1"/>
    <m/>
    <x v="3"/>
    <m/>
    <x v="2"/>
    <m/>
    <n v="1"/>
    <n v="1"/>
    <n v="0"/>
    <x v="11"/>
    <x v="233"/>
    <s v="Imaging|Thorlabs|ST1XY-A"/>
    <n v="1"/>
    <m/>
    <m/>
    <m/>
    <m/>
    <m/>
    <s v="*from cad 12/2/2025"/>
    <m/>
  </r>
  <r>
    <m/>
    <s v="Illumination"/>
    <n v="1"/>
    <m/>
    <x v="1"/>
    <m/>
    <x v="0"/>
    <m/>
    <n v="1"/>
    <n v="0"/>
    <n v="0"/>
    <x v="11"/>
    <x v="234"/>
    <s v="Illumination|Thorlabs|ST1XY-D"/>
    <n v="1"/>
    <s v="Active"/>
    <m/>
    <s v="Thorlabs"/>
    <s v="ST1XY-D"/>
    <s v="ST1XY-D Thorlabs"/>
    <s v="*from cad 11/17/2025."/>
    <m/>
  </r>
  <r>
    <m/>
    <m/>
    <m/>
    <m/>
    <x v="2"/>
    <m/>
    <x v="0"/>
    <m/>
    <n v="1"/>
    <n v="0"/>
    <n v="0"/>
    <x v="11"/>
    <x v="235"/>
    <s v="|Thorlabs|TCH002"/>
    <n v="1"/>
    <m/>
    <m/>
    <s v="Thorlabs"/>
    <s v="TCH002"/>
    <s v="T-Cube Controller Hub and Power Supply Unit "/>
    <s v="This product has been superseded by part number KEH6. https://www.thorlabs.com/thorproduct.cfm?partnumber=TCH002"/>
    <m/>
  </r>
  <r>
    <m/>
    <m/>
    <m/>
    <m/>
    <x v="4"/>
    <m/>
    <x v="0"/>
    <m/>
    <n v="1"/>
    <n v="0"/>
    <n v="0"/>
    <x v="11"/>
    <x v="236"/>
    <s v="|Thorlabs|TDC001"/>
    <n v="1"/>
    <s v="Obselete"/>
    <m/>
    <s v="Thorlabs"/>
    <s v="TDC001"/>
    <s v="T-Cube DC Servo Motor Controller (Power Supply Not Included) "/>
    <s v="This product has been superseded by part number KDC101._x000a_ https://www.thorlabs.com/thorproduct.cfm?partnumber=TDC001"/>
    <m/>
  </r>
  <r>
    <m/>
    <m/>
    <m/>
    <m/>
    <x v="2"/>
    <m/>
    <x v="0"/>
    <m/>
    <n v="1"/>
    <n v="0"/>
    <n v="0"/>
    <x v="11"/>
    <x v="237"/>
    <s v="|Thorlabs|TH075"/>
    <n v="1"/>
    <s v="Active"/>
    <s v="Imperial"/>
    <s v="Thorlabs"/>
    <s v="TH075"/>
    <m/>
    <m/>
    <m/>
  </r>
  <r>
    <m/>
    <s v="Imaging"/>
    <n v="5"/>
    <n v="3"/>
    <x v="3"/>
    <m/>
    <x v="7"/>
    <m/>
    <n v="1"/>
    <n v="8"/>
    <n v="0"/>
    <x v="11"/>
    <x v="237"/>
    <s v="Imaging|Thorlabs|TH075"/>
    <n v="1"/>
    <m/>
    <m/>
    <m/>
    <m/>
    <m/>
    <s v="*from cad 12/2/2025"/>
    <m/>
  </r>
  <r>
    <m/>
    <m/>
    <m/>
    <m/>
    <x v="2"/>
    <m/>
    <x v="0"/>
    <m/>
    <n v="1"/>
    <n v="0"/>
    <n v="0"/>
    <x v="11"/>
    <x v="238"/>
    <s v="|Thorlabs|TL4X-SAP"/>
    <n v="1"/>
    <s v="Active"/>
    <s v="Universal"/>
    <s v="Thorlabs"/>
    <s v="TL4X-SAP"/>
    <m/>
    <m/>
    <m/>
  </r>
  <r>
    <m/>
    <s v="Illumination"/>
    <n v="2"/>
    <m/>
    <x v="4"/>
    <m/>
    <x v="0"/>
    <m/>
    <n v="1"/>
    <n v="0"/>
    <n v="0"/>
    <x v="11"/>
    <x v="239"/>
    <s v="Illumination|Thorlabs|TR075"/>
    <n v="1"/>
    <s v="Active"/>
    <m/>
    <s v="Thorlabs"/>
    <s v="TR075"/>
    <s v="TR075 Thorlabs"/>
    <s v="*from cad 11/17/2025."/>
    <m/>
  </r>
  <r>
    <m/>
    <s v="Imaging"/>
    <n v="3"/>
    <m/>
    <x v="4"/>
    <m/>
    <x v="2"/>
    <m/>
    <n v="1"/>
    <n v="1"/>
    <n v="0"/>
    <x v="11"/>
    <x v="239"/>
    <s v="Imaging|Thorlabs|TR075"/>
    <n v="1"/>
    <m/>
    <m/>
    <m/>
    <m/>
    <m/>
    <s v="*from cad 12/2/2025"/>
    <m/>
  </r>
  <r>
    <m/>
    <s v="Illumination"/>
    <n v="1"/>
    <m/>
    <x v="1"/>
    <m/>
    <x v="0"/>
    <m/>
    <n v="1"/>
    <n v="0"/>
    <n v="0"/>
    <x v="11"/>
    <x v="240"/>
    <s v="Illumination|Thorlabs|TR1"/>
    <n v="1"/>
    <s v="Active"/>
    <m/>
    <s v="Thorlabs"/>
    <s v="TR1"/>
    <s v="Ø1/2&quot; Optical Post, SS, 8-32 Setscrew, 1/4&quot;-20 Tap, L = 1&quot; "/>
    <s v="https://www.thorlabs.com/thorproduct.cfm?partnumber=TR1"/>
    <m/>
  </r>
  <r>
    <m/>
    <s v="Imaging"/>
    <n v="7"/>
    <m/>
    <x v="3"/>
    <m/>
    <x v="8"/>
    <m/>
    <n v="1"/>
    <n v="7"/>
    <n v="0"/>
    <x v="11"/>
    <x v="240"/>
    <s v="Imaging|Thorlabs|TR1"/>
    <n v="1"/>
    <m/>
    <m/>
    <m/>
    <m/>
    <m/>
    <s v="*from cad 12/2/2025"/>
    <m/>
  </r>
  <r>
    <m/>
    <s v="Imaging"/>
    <n v="1"/>
    <m/>
    <x v="3"/>
    <m/>
    <x v="2"/>
    <m/>
    <n v="1"/>
    <n v="1"/>
    <n v="0"/>
    <x v="11"/>
    <x v="241"/>
    <s v="Imaging|Thorlabs|TR1.5"/>
    <n v="1"/>
    <m/>
    <m/>
    <m/>
    <m/>
    <m/>
    <s v="*from cad 12/2/2025"/>
    <m/>
  </r>
  <r>
    <m/>
    <s v="Illumination"/>
    <n v="2"/>
    <m/>
    <x v="4"/>
    <m/>
    <x v="0"/>
    <m/>
    <n v="1"/>
    <n v="0"/>
    <n v="0"/>
    <x v="11"/>
    <x v="242"/>
    <s v="Illumination|Thorlabs|TR2"/>
    <n v="1"/>
    <s v="Active"/>
    <m/>
    <s v="Thorlabs"/>
    <s v="TR2"/>
    <s v="Ø1/2&quot; Optical Post, SS, 8-32 Setscrew, 1/4&quot;-20 Tap, L = 2&quot; "/>
    <s v="https://www.thorlabs.com/thorproduct.cfm?partnumber=TR2"/>
    <m/>
  </r>
  <r>
    <m/>
    <s v="Illumination"/>
    <n v="5"/>
    <m/>
    <x v="10"/>
    <m/>
    <x v="0"/>
    <m/>
    <n v="1"/>
    <n v="0"/>
    <n v="0"/>
    <x v="11"/>
    <x v="243"/>
    <s v="Illumination|Thorlabs|TR3"/>
    <n v="1"/>
    <s v="Active"/>
    <m/>
    <s v="Thorlabs"/>
    <s v="TR3"/>
    <s v="TR3-solidworks"/>
    <s v="*from cad 11/17/2025."/>
    <m/>
  </r>
  <r>
    <m/>
    <s v="Imaging"/>
    <n v="1"/>
    <m/>
    <x v="3"/>
    <m/>
    <x v="2"/>
    <m/>
    <n v="1"/>
    <n v="1"/>
    <n v="0"/>
    <x v="11"/>
    <x v="243"/>
    <s v="Imaging|Thorlabs|TR3"/>
    <n v="1"/>
    <m/>
    <m/>
    <m/>
    <m/>
    <m/>
    <s v="*from cad 12/2/2025"/>
    <m/>
  </r>
  <r>
    <m/>
    <s v="Illumination"/>
    <n v="1"/>
    <m/>
    <x v="1"/>
    <m/>
    <x v="0"/>
    <m/>
    <n v="1"/>
    <n v="0"/>
    <n v="0"/>
    <x v="11"/>
    <x v="244"/>
    <s v="Illumination|Thorlabs|TR4"/>
    <n v="1"/>
    <s v="Active"/>
    <m/>
    <s v="Thorlabs"/>
    <s v="TR4"/>
    <s v="Part 2"/>
    <s v="*from cad 11/17/2025."/>
    <m/>
  </r>
  <r>
    <m/>
    <s v="Sample Hold"/>
    <n v="3"/>
    <m/>
    <x v="6"/>
    <m/>
    <x v="0"/>
    <m/>
    <n v="1"/>
    <n v="0"/>
    <n v="0"/>
    <x v="11"/>
    <x v="244"/>
    <s v="Sample Hold|Thorlabs|TR4"/>
    <n v="1"/>
    <s v="Active"/>
    <m/>
    <s v="Thorlabs"/>
    <s v="TR4"/>
    <s v="Part 2"/>
    <s v="*from cad 11/17/2025."/>
    <m/>
  </r>
  <r>
    <m/>
    <s v="Imaging"/>
    <n v="4"/>
    <n v="1"/>
    <x v="3"/>
    <m/>
    <x v="9"/>
    <m/>
    <n v="1"/>
    <n v="5"/>
    <n v="0"/>
    <x v="11"/>
    <x v="245"/>
    <s v="Imaging|Thorlabs|TR40/M"/>
    <n v="1"/>
    <m/>
    <m/>
    <m/>
    <m/>
    <m/>
    <s v="*from cad 12/2/2025"/>
    <m/>
  </r>
  <r>
    <m/>
    <s v="Illumination"/>
    <n v="2"/>
    <m/>
    <x v="4"/>
    <m/>
    <x v="0"/>
    <m/>
    <n v="1"/>
    <n v="0"/>
    <n v="0"/>
    <x v="11"/>
    <x v="246"/>
    <s v="Illumination|Thorlabs|TR6"/>
    <n v="1"/>
    <s v="Active"/>
    <m/>
    <s v="Thorlabs"/>
    <s v="TR6"/>
    <s v="TR6-thorlabs"/>
    <s v="*from cad 11/17/2025."/>
    <m/>
  </r>
  <r>
    <m/>
    <s v="Illumination"/>
    <n v="2"/>
    <m/>
    <x v="4"/>
    <m/>
    <x v="0"/>
    <m/>
    <n v="1"/>
    <n v="0"/>
    <n v="0"/>
    <x v="11"/>
    <x v="247"/>
    <s v="Illumination|Thorlabs|TR8"/>
    <n v="1"/>
    <s v="Active"/>
    <m/>
    <s v="Thorlabs"/>
    <s v="TR8"/>
    <s v="TR8 Thorlabs"/>
    <s v="*from cad 11/17/2025."/>
    <m/>
  </r>
  <r>
    <m/>
    <s v="Imaging"/>
    <n v="6"/>
    <m/>
    <x v="3"/>
    <m/>
    <x v="3"/>
    <m/>
    <n v="5"/>
    <n v="2"/>
    <n v="0"/>
    <x v="11"/>
    <x v="248"/>
    <s v="Imaging|Thorlabs|TR3M"/>
    <n v="1"/>
    <m/>
    <m/>
    <m/>
    <m/>
    <m/>
    <s v="*from cad 12/2/2025"/>
    <m/>
  </r>
  <r>
    <m/>
    <s v="Imaging"/>
    <n v="1"/>
    <m/>
    <x v="1"/>
    <m/>
    <x v="0"/>
    <m/>
    <n v="1"/>
    <n v="0"/>
    <n v="0"/>
    <x v="11"/>
    <x v="249"/>
    <s v="Imaging|Thorlabs|TTL200-A"/>
    <n v="1"/>
    <m/>
    <m/>
    <s v="Thorlabs"/>
    <s v="TTL200-A"/>
    <s v="Tube Lens, f = 200 mm, ARC: 350 - 700 nm, External SM2 Threads "/>
    <s v="https://www.thorlabs.com/thorproduct.cfm?partnumber=TTL200-A"/>
    <m/>
  </r>
  <r>
    <m/>
    <s v="Imaging"/>
    <n v="1"/>
    <m/>
    <x v="1"/>
    <m/>
    <x v="0"/>
    <m/>
    <n v="1"/>
    <n v="0"/>
    <n v="0"/>
    <x v="11"/>
    <x v="250"/>
    <s v="Imaging|Thorlabs|TTL200MP"/>
    <n v="1"/>
    <s v="Active"/>
    <s v="Imperial"/>
    <s v="Thorlabs"/>
    <s v="TTL200MP"/>
    <s v="Laser Scanning Tube Lens, f = 200 mm, ARC: 400 - 1300 nm "/>
    <s v="https://www.thorlabs.com/thorproduct.cfm?partnumber=TTL200MP"/>
    <m/>
  </r>
  <r>
    <m/>
    <s v="Imaging"/>
    <n v="1"/>
    <m/>
    <x v="3"/>
    <m/>
    <x v="2"/>
    <m/>
    <n v="1"/>
    <n v="1"/>
    <n v="0"/>
    <x v="11"/>
    <x v="251"/>
    <s v="Imaging|Thorlabs|TTL200MP2"/>
    <n v="1"/>
    <s v="Active"/>
    <s v="Imperial"/>
    <s v="Thorlabs"/>
    <s v="TTL200MP"/>
    <s v="Laser Scanning Tube Lens, f = 200 mm, Broadband MgF2 Coating"/>
    <s v="https://www.thorlabs.com/thorproduct.cfm?partnumber=TTL200MP"/>
    <m/>
  </r>
  <r>
    <m/>
    <s v="Imaging"/>
    <n v="1"/>
    <m/>
    <x v="1"/>
    <m/>
    <x v="0"/>
    <m/>
    <n v="1"/>
    <n v="0"/>
    <n v="0"/>
    <x v="11"/>
    <x v="252"/>
    <s v="Imaging|Thorlabs|UBP2"/>
    <n v="1"/>
    <m/>
    <m/>
    <m/>
    <m/>
    <m/>
    <s v="*from cad 12/2/2025"/>
    <m/>
  </r>
  <r>
    <m/>
    <m/>
    <m/>
    <m/>
    <x v="2"/>
    <m/>
    <x v="0"/>
    <m/>
    <n v="1"/>
    <n v="0"/>
    <n v="0"/>
    <x v="11"/>
    <x v="253"/>
    <s v="|Thorlabs|UBP3"/>
    <n v="1"/>
    <s v="Active"/>
    <s v="Imperial"/>
    <s v="Thorlabs"/>
    <s v="UBP3"/>
    <m/>
    <m/>
    <m/>
  </r>
  <r>
    <m/>
    <m/>
    <m/>
    <m/>
    <x v="2"/>
    <m/>
    <x v="0"/>
    <m/>
    <n v="1"/>
    <n v="0"/>
    <n v="0"/>
    <x v="11"/>
    <x v="254"/>
    <s v="|Thorlabs|UPH1"/>
    <n v="1"/>
    <s v="Active"/>
    <s v="Imperial"/>
    <s v="Thorlabs"/>
    <s v="UPH1"/>
    <m/>
    <m/>
    <m/>
  </r>
  <r>
    <m/>
    <s v="Imaging"/>
    <n v="4"/>
    <m/>
    <x v="3"/>
    <m/>
    <x v="5"/>
    <m/>
    <n v="1"/>
    <n v="4"/>
    <n v="0"/>
    <x v="11"/>
    <x v="255"/>
    <s v="Imaging|Thorlabs|UPH1.5"/>
    <n v="1"/>
    <m/>
    <m/>
    <m/>
    <m/>
    <m/>
    <s v="*from cad 12/2/2025"/>
    <m/>
  </r>
  <r>
    <m/>
    <m/>
    <m/>
    <m/>
    <x v="1"/>
    <m/>
    <x v="0"/>
    <m/>
    <n v="1"/>
    <n v="0"/>
    <n v="0"/>
    <x v="11"/>
    <x v="256"/>
    <s v="|Thorlabs|UPHA"/>
    <n v="1"/>
    <s v="Active"/>
    <m/>
    <s v="Thorlabs"/>
    <s v="UPHA"/>
    <s v="Swivel Base Adapter "/>
    <s v="https://www.thorlabs.com/thorproduct.cfm?partnumber=UPHA#ad-image-0"/>
    <m/>
  </r>
  <r>
    <m/>
    <s v="Illumination"/>
    <n v="1"/>
    <m/>
    <x v="1"/>
    <m/>
    <x v="0"/>
    <m/>
    <n v="1"/>
    <n v="0"/>
    <n v="0"/>
    <x v="11"/>
    <x v="257"/>
    <s v="Illumination|Thorlabs|VRC3CPT"/>
    <n v="1"/>
    <s v="Active"/>
    <m/>
    <s v="Thorlabs"/>
    <s v="VRC3CPT"/>
    <s v="VRC3CPT Thorlabs"/>
    <s v="*from cad 11/17/2025."/>
    <m/>
  </r>
  <r>
    <m/>
    <s v="Sample Hold"/>
    <n v="1"/>
    <m/>
    <x v="1"/>
    <m/>
    <x v="0"/>
    <m/>
    <n v="1"/>
    <n v="0"/>
    <n v="0"/>
    <x v="11"/>
    <x v="258"/>
    <s v="Sample Hold|Thorlabs|XRN-B1"/>
    <n v="1"/>
    <s v="Active"/>
    <m/>
    <s v="Thorlabs"/>
    <s v="XRN-B1"/>
    <s v="XRN-B1 Thorlabs"/>
    <s v="*from cad 11/17/2025."/>
    <m/>
  </r>
  <r>
    <m/>
    <s v="Sample Hold"/>
    <n v="2"/>
    <m/>
    <x v="4"/>
    <m/>
    <x v="0"/>
    <m/>
    <n v="1"/>
    <n v="0"/>
    <n v="0"/>
    <x v="11"/>
    <x v="259"/>
    <s v="Sample Hold|Thorlabs|XRN25P"/>
    <n v="1"/>
    <s v="Active"/>
    <m/>
    <s v="Thorlabs"/>
    <s v="XRN25P"/>
    <s v="XRN25P-left-hand-thorlabs"/>
    <s v="*from cad 11/17/2025."/>
    <m/>
  </r>
  <r>
    <m/>
    <m/>
    <m/>
    <m/>
    <x v="2"/>
    <m/>
    <x v="0"/>
    <m/>
    <n v="1"/>
    <n v="0"/>
    <n v="0"/>
    <x v="11"/>
    <x v="260"/>
    <s v="|Thorlabs|XT66-500"/>
    <n v="1"/>
    <s v="Active"/>
    <m/>
    <s v="Thorlabs"/>
    <s v="XT66-500"/>
    <m/>
    <m/>
    <m/>
  </r>
  <r>
    <m/>
    <m/>
    <m/>
    <m/>
    <x v="2"/>
    <m/>
    <x v="0"/>
    <m/>
    <n v="1"/>
    <n v="0"/>
    <n v="0"/>
    <x v="11"/>
    <x v="261"/>
    <s v="|Thorlabs|XT66P1"/>
    <n v="1"/>
    <s v="Active"/>
    <m/>
    <s v="Thorlabs"/>
    <s v="XT66P1"/>
    <m/>
    <m/>
    <m/>
  </r>
  <r>
    <m/>
    <s v="Sample Hold"/>
    <n v="1"/>
    <m/>
    <x v="1"/>
    <m/>
    <x v="0"/>
    <m/>
    <n v="1"/>
    <n v="0"/>
    <n v="0"/>
    <x v="11"/>
    <x v="262"/>
    <s v="Sample Hold|Thorlabs|Z812B"/>
    <n v="1"/>
    <s v="Obselete"/>
    <m/>
    <s v="Thorlabs"/>
    <s v="Z812B"/>
    <s v="12 mm Motorized Actuator, 3/8&quot; Barrel Fitting (0.5 m cable) "/>
    <s v="This product has been superseded by part number Z912B. https://www.thorlabs.com/thorproduct.cfm?partnumber=Z812B "/>
    <m/>
  </r>
  <r>
    <m/>
    <m/>
    <n v="2"/>
    <m/>
    <x v="4"/>
    <m/>
    <x v="0"/>
    <m/>
    <n v="1"/>
    <n v="0"/>
    <n v="0"/>
    <x v="12"/>
    <x v="263"/>
    <s v="|Ximea|CB024CG-GP-X8G3"/>
    <n v="1"/>
    <m/>
    <m/>
    <m/>
    <m/>
    <s v="High speed camera with 2.4 Mpix Color Gpixel GSPRINT4502 sensor and PCIe X8 Gen 3 interface"/>
    <s v="https://www.ximea.com/products/pci-express/xib-64-high-speed-fast-industrial-cameras/gpixel-gsprint4502-pcie-color-high-speed-camera"/>
    <m/>
  </r>
  <r>
    <m/>
    <m/>
    <n v="2"/>
    <m/>
    <x v="4"/>
    <m/>
    <x v="0"/>
    <m/>
    <n v="1"/>
    <n v="0"/>
    <n v="0"/>
    <x v="12"/>
    <x v="264"/>
    <s v="|Ximea|CB209MG-GP-X8G3"/>
    <n v="1"/>
    <m/>
    <m/>
    <m/>
    <m/>
    <m/>
    <m/>
    <m/>
  </r>
  <r>
    <m/>
    <s v="Gen Hardware"/>
    <n v="0"/>
    <n v="1"/>
    <x v="2"/>
    <m/>
    <x v="2"/>
    <m/>
    <n v="1"/>
    <n v="1"/>
    <n v="0"/>
    <x v="11"/>
    <x v="265"/>
    <s v="Gen Hardware|Thorlabs|HKTS-KIT"/>
    <n v="1"/>
    <m/>
    <m/>
    <m/>
    <m/>
    <m/>
    <m/>
    <m/>
  </r>
  <r>
    <m/>
    <s v="Gen Hardware"/>
    <n v="0"/>
    <n v="1"/>
    <x v="2"/>
    <m/>
    <x v="2"/>
    <m/>
    <n v="1"/>
    <n v="1"/>
    <n v="0"/>
    <x v="11"/>
    <x v="266"/>
    <s v="Gen Hardware|Thorlabs|TC2"/>
    <n v="1"/>
    <m/>
    <m/>
    <m/>
    <m/>
    <m/>
    <m/>
    <m/>
  </r>
  <r>
    <m/>
    <s v="Gen Hardware"/>
    <n v="0"/>
    <n v="1"/>
    <x v="2"/>
    <m/>
    <x v="2"/>
    <m/>
    <n v="1"/>
    <n v="1"/>
    <n v="0"/>
    <x v="11"/>
    <x v="267"/>
    <s v="Gen Hardware|Thorlabs|SPW301"/>
    <n v="1"/>
    <m/>
    <m/>
    <m/>
    <m/>
    <m/>
    <m/>
    <m/>
  </r>
  <r>
    <m/>
    <s v="Obselete/None"/>
    <n v="0"/>
    <n v="0"/>
    <x v="2"/>
    <m/>
    <x v="0"/>
    <m/>
    <n v="1"/>
    <n v="0"/>
    <n v="0"/>
    <x v="11"/>
    <x v="268"/>
    <s v="Obselete/None|Thorlabs|SPW801"/>
    <n v="1"/>
    <m/>
    <m/>
    <m/>
    <m/>
    <m/>
    <m/>
    <m/>
  </r>
  <r>
    <m/>
    <s v="Gen Hardware"/>
    <n v="0"/>
    <n v="1"/>
    <x v="2"/>
    <m/>
    <x v="2"/>
    <m/>
    <n v="1"/>
    <n v="1"/>
    <n v="0"/>
    <x v="11"/>
    <x v="269"/>
    <s v="Gen Hardware|Thorlabs|CA4-US"/>
    <n v="1"/>
    <m/>
    <m/>
    <m/>
    <m/>
    <m/>
    <m/>
    <m/>
  </r>
  <r>
    <m/>
    <s v="Gen Hardware"/>
    <n v="0"/>
    <n v="1"/>
    <x v="2"/>
    <m/>
    <x v="2"/>
    <m/>
    <n v="1"/>
    <n v="1"/>
    <n v="0"/>
    <x v="11"/>
    <x v="270"/>
    <s v="Gen Hardware|Thorlabs|PLW33"/>
    <n v="1"/>
    <m/>
    <m/>
    <m/>
    <m/>
    <m/>
    <m/>
    <m/>
  </r>
  <r>
    <m/>
    <s v="Gen Hardware"/>
    <n v="0"/>
    <n v="1"/>
    <x v="2"/>
    <m/>
    <x v="2"/>
    <m/>
    <n v="1"/>
    <n v="1"/>
    <n v="0"/>
    <x v="11"/>
    <x v="271"/>
    <s v="Gen Hardware|Thorlabs|VRC3"/>
    <n v="1"/>
    <m/>
    <m/>
    <m/>
    <m/>
    <m/>
    <m/>
    <m/>
  </r>
  <r>
    <m/>
    <s v="Gen Hardware"/>
    <n v="0"/>
    <n v="1"/>
    <x v="2"/>
    <m/>
    <x v="2"/>
    <m/>
    <n v="1"/>
    <n v="1"/>
    <n v="0"/>
    <x v="7"/>
    <x v="272"/>
    <s v="Gen Hardware|McMaster-Carr|1992T41"/>
    <n v="1"/>
    <m/>
    <m/>
    <m/>
    <m/>
    <s v="Bulb-Dropper Bottle,Clear, 30 ml/1 FL oz Capacity"/>
    <m/>
    <m/>
  </r>
  <r>
    <m/>
    <s v="Imaging"/>
    <n v="5"/>
    <n v="0"/>
    <x v="2"/>
    <m/>
    <x v="1"/>
    <m/>
    <n v="100"/>
    <n v="1"/>
    <n v="0"/>
    <x v="11"/>
    <x v="273"/>
    <s v="Imaging|Thorlabs|SH25LP38"/>
    <n v="1"/>
    <m/>
    <m/>
    <m/>
    <m/>
    <m/>
    <m/>
    <m/>
  </r>
  <r>
    <m/>
    <s v="Gen Hardware"/>
    <n v="0"/>
    <n v="0"/>
    <x v="2"/>
    <m/>
    <x v="0"/>
    <m/>
    <n v="50"/>
    <n v="0"/>
    <n v="0"/>
    <x v="11"/>
    <x v="274"/>
    <s v="Gen Hardware|Thorlabs|SH25LP63"/>
    <n v="1"/>
    <m/>
    <m/>
    <m/>
    <m/>
    <m/>
    <m/>
    <m/>
  </r>
  <r>
    <m/>
    <s v="Imaging"/>
    <n v="8"/>
    <m/>
    <x v="12"/>
    <m/>
    <x v="0"/>
    <m/>
    <n v="50"/>
    <n v="0"/>
    <n v="0"/>
    <x v="7"/>
    <x v="275"/>
    <s v="Imaging|McMaster-Carr|98381A469"/>
    <n v="1"/>
    <m/>
    <m/>
    <m/>
    <m/>
    <s v="Dowel Pin Alloy Steel, 1/8&quot; Diameter, 1/4&quot; Long"/>
    <m/>
    <m/>
  </r>
  <r>
    <m/>
    <s v="Integration"/>
    <n v="1"/>
    <m/>
    <x v="1"/>
    <n v="1"/>
    <x v="0"/>
    <m/>
    <n v="1"/>
    <n v="0"/>
    <n v="0"/>
    <x v="13"/>
    <x v="276"/>
    <s v="Integration|DigiKey|RMHD19003BK"/>
    <n v="1"/>
    <m/>
    <m/>
    <m/>
    <m/>
    <m/>
    <m/>
    <m/>
  </r>
  <r>
    <m/>
    <s v="Integration"/>
    <n v="1"/>
    <m/>
    <x v="1"/>
    <n v="1"/>
    <x v="0"/>
    <m/>
    <n v="1"/>
    <n v="0"/>
    <n v="0"/>
    <x v="7"/>
    <x v="277"/>
    <s v="Integration|McMaster-Carr|71145K51"/>
    <n v="1"/>
    <m/>
    <m/>
    <m/>
    <m/>
    <s v="Rack-Mount Outlet Strip, 6 Front and 6 Rear Outlets, 15 Feet Long Cord"/>
    <m/>
    <m/>
  </r>
  <r>
    <m/>
    <s v="Integration"/>
    <n v="1"/>
    <m/>
    <x v="1"/>
    <n v="1"/>
    <x v="0"/>
    <m/>
    <n v="1"/>
    <n v="0"/>
    <n v="0"/>
    <x v="13"/>
    <x v="278"/>
    <s v="Integration|DigiKey|5214-CLPSCRW1032-ND"/>
    <n v="1"/>
    <m/>
    <m/>
    <m/>
    <m/>
    <m/>
    <m/>
    <m/>
  </r>
  <r>
    <m/>
    <s v="Integration"/>
    <n v="2"/>
    <m/>
    <x v="4"/>
    <n v="2"/>
    <x v="0"/>
    <m/>
    <n v="1"/>
    <n v="0"/>
    <n v="0"/>
    <x v="7"/>
    <x v="279"/>
    <s v="Integration|McMaster-Carr|2584N223"/>
    <n v="1"/>
    <m/>
    <m/>
    <m/>
    <m/>
    <m/>
    <m/>
    <m/>
  </r>
  <r>
    <m/>
    <s v="Integration"/>
    <n v="1"/>
    <m/>
    <x v="1"/>
    <n v="1"/>
    <x v="0"/>
    <m/>
    <n v="1"/>
    <n v="0"/>
    <n v="0"/>
    <x v="7"/>
    <x v="280"/>
    <s v="Integration|McMaster-Carr|8357T61"/>
    <n v="1"/>
    <m/>
    <m/>
    <m/>
    <m/>
    <m/>
    <m/>
    <m/>
  </r>
  <r>
    <m/>
    <s v="Integration"/>
    <n v="1"/>
    <m/>
    <x v="1"/>
    <n v="1"/>
    <x v="0"/>
    <m/>
    <n v="1"/>
    <n v="0"/>
    <n v="0"/>
    <x v="7"/>
    <x v="281"/>
    <s v="Integration|McMaster-Carr|7815N11"/>
    <n v="1"/>
    <m/>
    <m/>
    <m/>
    <m/>
    <m/>
    <m/>
    <m/>
  </r>
  <r>
    <m/>
    <s v="Integration"/>
    <n v="1"/>
    <m/>
    <x v="1"/>
    <n v="1"/>
    <x v="0"/>
    <m/>
    <n v="1"/>
    <n v="0"/>
    <n v="0"/>
    <x v="13"/>
    <x v="282"/>
    <s v="Integration|DigiKey|2770-786411-01-ND"/>
    <n v="1"/>
    <m/>
    <m/>
    <m/>
    <m/>
    <m/>
    <m/>
    <m/>
  </r>
  <r>
    <m/>
    <s v="Integration"/>
    <n v="2"/>
    <m/>
    <x v="4"/>
    <n v="2"/>
    <x v="0"/>
    <m/>
    <n v="1"/>
    <n v="0"/>
    <n v="0"/>
    <x v="7"/>
    <x v="283"/>
    <s v="Integration|McMaster-Carr|1133A4"/>
    <n v="1"/>
    <m/>
    <m/>
    <m/>
    <m/>
    <m/>
    <m/>
    <m/>
  </r>
  <r>
    <m/>
    <m/>
    <m/>
    <m/>
    <x v="2"/>
    <m/>
    <x v="0"/>
    <m/>
    <n v="1"/>
    <n v="0"/>
    <n v="0"/>
    <x v="14"/>
    <x v="22"/>
    <s v="||"/>
    <n v="3"/>
    <m/>
    <m/>
    <m/>
    <m/>
    <m/>
    <m/>
    <m/>
  </r>
  <r>
    <m/>
    <m/>
    <m/>
    <m/>
    <x v="2"/>
    <m/>
    <x v="0"/>
    <m/>
    <n v="1"/>
    <n v="0"/>
    <n v="0"/>
    <x v="14"/>
    <x v="22"/>
    <s v="||"/>
    <n v="3"/>
    <m/>
    <m/>
    <m/>
    <m/>
    <m/>
    <m/>
    <m/>
  </r>
  <r>
    <m/>
    <m/>
    <m/>
    <m/>
    <x v="2"/>
    <m/>
    <x v="0"/>
    <m/>
    <n v="1"/>
    <n v="0"/>
    <n v="0"/>
    <x v="14"/>
    <x v="22"/>
    <s v="||"/>
    <n v="3"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  <r>
    <m/>
    <m/>
    <m/>
    <m/>
    <x v="2"/>
    <m/>
    <x v="10"/>
    <m/>
    <m/>
    <m/>
    <m/>
    <x v="14"/>
    <x v="22"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ordering pivot" cacheId="11" applyNumberFormats="0" applyBorderFormats="0" applyFontFormats="0" applyPatternFormats="0" applyAlignmentFormats="0" applyWidthHeightFormats="0" dataCaption="" updatedVersion="8" rowGrandTotals="0" createdVersion="6" compact="0" compactData="0">
  <location ref="A3:C303" firstHeaderRow="1" firstDataRow="1" firstDataCol="2" rowPageCount="1" colPageCount="1"/>
  <pivotFields count="22">
    <pivotField name="Part #" compact="0" outline="0" multipleItemSelectionAllowed="1" showAll="0"/>
    <pivotField name="Subassm." compact="0" outline="0" multipleItemSelectionAllowed="1" showAll="0"/>
    <pivotField name="Q. Design" compact="0" outline="0" multipleItemSelectionAllowed="1" showAll="0"/>
    <pivotField name="Q. Extra" compact="0" outline="0" multipleItemSelectionAllowed="1" showAll="0"/>
    <pivotField name="Q. Stock" compact="0" outline="0" multipleItemSelectionAllowed="1" showAll="0"/>
    <pivotField name="Q Tent." compact="0" outline="0" multipleItemSelectionAllowed="1" showAll="0"/>
    <pivotField name="Q. Buy" axis="axisPage" compact="0" outline="0" multipleItemSelectionAllowed="1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U. Price" compact="0" outline="0" multipleItemSelectionAllowed="1" showAll="0"/>
    <pivotField name="U./Pkg" compact="0" outline="0" multipleItemSelectionAllowed="1" showAll="0"/>
    <pivotField name="Pkg. Q." dataField="1" compact="0" outline="0" multipleItemSelectionAllowed="1" showAll="0"/>
    <pivotField name="Subtot." compact="0" outline="0" multipleItemSelectionAllowed="1" showAll="0"/>
    <pivotField name="Vendor" axis="axisRow" compact="0" numFmtId="49" outline="0" multipleItemSelectionAllowed="1" showAll="0" sortType="ascending">
      <items count="16">
        <item x="0"/>
        <item x="1"/>
        <item x="2"/>
        <item x="13"/>
        <item x="3"/>
        <item x="4"/>
        <item x="5"/>
        <item x="6"/>
        <item x="7"/>
        <item x="8"/>
        <item x="9"/>
        <item x="10"/>
        <item x="11"/>
        <item x="12"/>
        <item x="14"/>
        <item t="default"/>
      </items>
    </pivotField>
    <pivotField name="Part Num" axis="axisRow" compact="0" numFmtId="49" outline="0" multipleItemSelectionAllowed="1" showAll="0" sortType="ascending">
      <items count="285">
        <item x="34"/>
        <item x="283"/>
        <item x="23"/>
        <item x="272"/>
        <item x="0"/>
        <item x="279"/>
        <item x="282"/>
        <item x="24"/>
        <item x="2"/>
        <item x="3"/>
        <item x="25"/>
        <item x="278"/>
        <item x="26"/>
        <item x="277"/>
        <item x="281"/>
        <item x="280"/>
        <item x="31"/>
        <item x="32"/>
        <item x="33"/>
        <item x="275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269"/>
        <item x="263"/>
        <item x="264"/>
        <item x="70"/>
        <item x="71"/>
        <item x="72"/>
        <item x="73"/>
        <item x="74"/>
        <item x="75"/>
        <item x="76"/>
        <item x="77"/>
        <item x="4"/>
        <item x="5"/>
        <item x="6"/>
        <item x="27"/>
        <item x="28"/>
        <item x="78"/>
        <item x="79"/>
        <item x="80"/>
        <item x="81"/>
        <item x="82"/>
        <item x="83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29"/>
        <item x="102"/>
        <item x="103"/>
        <item x="265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30"/>
        <item x="140"/>
        <item x="36"/>
        <item x="37"/>
        <item x="38"/>
        <item x="39"/>
        <item x="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35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270"/>
        <item x="178"/>
        <item x="179"/>
        <item x="180"/>
        <item x="181"/>
        <item x="182"/>
        <item x="183"/>
        <item x="185"/>
        <item x="186"/>
        <item x="187"/>
        <item x="1"/>
        <item x="188"/>
        <item x="189"/>
        <item x="276"/>
        <item x="190"/>
        <item x="191"/>
        <item x="192"/>
        <item x="193"/>
        <item x="194"/>
        <item x="195"/>
        <item x="196"/>
        <item x="197"/>
        <item x="198"/>
        <item x="184"/>
        <item x="199"/>
        <item x="200"/>
        <item x="201"/>
        <item x="202"/>
        <item x="203"/>
        <item x="273"/>
        <item x="274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67"/>
        <item x="268"/>
        <item x="233"/>
        <item x="234"/>
        <item x="266"/>
        <item x="235"/>
        <item x="236"/>
        <item x="237"/>
        <item x="238"/>
        <item x="239"/>
        <item x="240"/>
        <item x="241"/>
        <item x="242"/>
        <item x="243"/>
        <item x="248"/>
        <item x="244"/>
        <item x="245"/>
        <item x="246"/>
        <item x="247"/>
        <item x="249"/>
        <item x="250"/>
        <item x="251"/>
        <item x="252"/>
        <item x="253"/>
        <item x="41"/>
        <item x="254"/>
        <item x="255"/>
        <item x="256"/>
        <item x="42"/>
        <item x="271"/>
        <item x="257"/>
        <item x="43"/>
        <item x="258"/>
        <item x="259"/>
        <item x="260"/>
        <item x="261"/>
        <item x="262"/>
        <item x="21"/>
        <item x="22"/>
        <item t="default"/>
      </items>
    </pivotField>
    <pivotField name="Part ID" compact="0" outline="0" multipleItemSelectionAllowed="1" showAll="0"/>
    <pivotField name="Dupe?" compact="0" outline="0" multipleItemSelectionAllowed="1" showAll="0"/>
    <pivotField name="Vendor Status" compact="0" outline="0" multipleItemSelectionAllowed="1" showAll="0"/>
    <pivotField name="Standard" compact="0" outline="0" multipleItemSelectionAllowed="1" showAll="0"/>
    <pivotField name="Manufactuer" compact="0" outline="0" multipleItemSelectionAllowed="1" showAll="0"/>
    <pivotField name="Manuf. Part Number" compact="0" outline="0" multipleItemSelectionAllowed="1" showAll="0"/>
    <pivotField name="Description" compact="0" outline="0" multipleItemSelectionAllowed="1" showAll="0"/>
    <pivotField name="Note" compact="0" numFmtId="49" outline="0" multipleItemSelectionAllowed="1" showAll="0"/>
    <pivotField name="Reference Name(s)" compact="0" outline="0" multipleItemSelectionAllowed="1" showAll="0"/>
  </pivotFields>
  <rowFields count="2">
    <field x="11"/>
    <field x="12"/>
  </rowFields>
  <rowItems count="300">
    <i>
      <x/>
      <x v="4"/>
    </i>
    <i t="default">
      <x/>
    </i>
    <i>
      <x v="1"/>
      <x v="195"/>
    </i>
    <i t="default">
      <x v="1"/>
    </i>
    <i>
      <x v="2"/>
      <x v="8"/>
    </i>
    <i r="1">
      <x v="9"/>
    </i>
    <i r="1">
      <x v="57"/>
    </i>
    <i r="1">
      <x v="58"/>
    </i>
    <i r="1">
      <x v="59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282"/>
    </i>
    <i r="1">
      <x v="283"/>
    </i>
    <i t="default">
      <x v="2"/>
    </i>
    <i>
      <x v="3"/>
      <x v="6"/>
    </i>
    <i r="1">
      <x v="11"/>
    </i>
    <i r="1">
      <x v="198"/>
    </i>
    <i t="default">
      <x v="3"/>
    </i>
    <i>
      <x v="4"/>
      <x v="2"/>
    </i>
    <i r="1">
      <x v="7"/>
    </i>
    <i r="1">
      <x v="10"/>
    </i>
    <i r="1">
      <x v="12"/>
    </i>
    <i t="default">
      <x v="4"/>
    </i>
    <i>
      <x v="5"/>
      <x v="60"/>
    </i>
    <i r="1">
      <x v="61"/>
    </i>
    <i t="default">
      <x v="5"/>
    </i>
    <i>
      <x v="6"/>
      <x v="100"/>
    </i>
    <i t="default">
      <x v="6"/>
    </i>
    <i>
      <x v="7"/>
      <x v="140"/>
    </i>
    <i t="default">
      <x v="7"/>
    </i>
    <i>
      <x v="8"/>
      <x v="1"/>
    </i>
    <i r="1">
      <x v="3"/>
    </i>
    <i r="1">
      <x v="5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t="default">
      <x v="8"/>
    </i>
    <i>
      <x v="9"/>
      <x/>
    </i>
    <i r="1">
      <x v="158"/>
    </i>
    <i t="default">
      <x v="9"/>
    </i>
    <i>
      <x v="10"/>
      <x v="142"/>
    </i>
    <i r="1">
      <x v="143"/>
    </i>
    <i r="1">
      <x v="144"/>
    </i>
    <i r="1">
      <x v="145"/>
    </i>
    <i r="1">
      <x v="146"/>
    </i>
    <i r="1">
      <x v="269"/>
    </i>
    <i t="default">
      <x v="10"/>
    </i>
    <i>
      <x v="11"/>
      <x v="273"/>
    </i>
    <i r="1">
      <x v="276"/>
    </i>
    <i t="default">
      <x v="11"/>
    </i>
    <i>
      <x v="12"/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1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9"/>
    </i>
    <i r="1">
      <x v="160"/>
    </i>
    <i r="1">
      <x v="161"/>
    </i>
    <i r="1">
      <x v="162"/>
    </i>
    <i r="1">
      <x v="163"/>
    </i>
    <i r="1">
      <x v="164"/>
    </i>
    <i r="1">
      <x v="165"/>
    </i>
    <i r="1">
      <x v="166"/>
    </i>
    <i r="1">
      <x v="167"/>
    </i>
    <i r="1">
      <x v="168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80"/>
    </i>
    <i r="1">
      <x v="181"/>
    </i>
    <i r="1">
      <x v="182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 r="1">
      <x v="190"/>
    </i>
    <i r="1">
      <x v="191"/>
    </i>
    <i r="1">
      <x v="192"/>
    </i>
    <i r="1">
      <x v="193"/>
    </i>
    <i r="1">
      <x v="194"/>
    </i>
    <i r="1">
      <x v="196"/>
    </i>
    <i r="1">
      <x v="197"/>
    </i>
    <i r="1">
      <x v="199"/>
    </i>
    <i r="1">
      <x v="200"/>
    </i>
    <i r="1">
      <x v="201"/>
    </i>
    <i r="1">
      <x v="202"/>
    </i>
    <i r="1">
      <x v="203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1"/>
    </i>
    <i r="1">
      <x v="212"/>
    </i>
    <i r="1">
      <x v="213"/>
    </i>
    <i r="1">
      <x v="214"/>
    </i>
    <i r="1">
      <x v="215"/>
    </i>
    <i r="1">
      <x v="216"/>
    </i>
    <i r="1">
      <x v="217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4"/>
    </i>
    <i r="1">
      <x v="225"/>
    </i>
    <i r="1">
      <x v="226"/>
    </i>
    <i r="1">
      <x v="227"/>
    </i>
    <i r="1">
      <x v="228"/>
    </i>
    <i r="1">
      <x v="229"/>
    </i>
    <i r="1">
      <x v="230"/>
    </i>
    <i r="1">
      <x v="231"/>
    </i>
    <i r="1">
      <x v="232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0"/>
    </i>
    <i r="1">
      <x v="241"/>
    </i>
    <i r="1">
      <x v="242"/>
    </i>
    <i r="1">
      <x v="243"/>
    </i>
    <i r="1">
      <x v="244"/>
    </i>
    <i r="1">
      <x v="245"/>
    </i>
    <i r="1">
      <x v="246"/>
    </i>
    <i r="1">
      <x v="247"/>
    </i>
    <i r="1">
      <x v="248"/>
    </i>
    <i r="1">
      <x v="249"/>
    </i>
    <i r="1">
      <x v="250"/>
    </i>
    <i r="1">
      <x v="251"/>
    </i>
    <i r="1">
      <x v="252"/>
    </i>
    <i r="1">
      <x v="253"/>
    </i>
    <i r="1">
      <x v="254"/>
    </i>
    <i r="1">
      <x v="255"/>
    </i>
    <i r="1">
      <x v="256"/>
    </i>
    <i r="1">
      <x v="257"/>
    </i>
    <i r="1">
      <x v="258"/>
    </i>
    <i r="1">
      <x v="259"/>
    </i>
    <i r="1">
      <x v="260"/>
    </i>
    <i r="1">
      <x v="261"/>
    </i>
    <i r="1">
      <x v="262"/>
    </i>
    <i r="1">
      <x v="263"/>
    </i>
    <i r="1">
      <x v="264"/>
    </i>
    <i r="1">
      <x v="265"/>
    </i>
    <i r="1">
      <x v="266"/>
    </i>
    <i r="1">
      <x v="267"/>
    </i>
    <i r="1">
      <x v="268"/>
    </i>
    <i r="1">
      <x v="270"/>
    </i>
    <i r="1">
      <x v="271"/>
    </i>
    <i r="1">
      <x v="272"/>
    </i>
    <i r="1">
      <x v="274"/>
    </i>
    <i r="1">
      <x v="275"/>
    </i>
    <i r="1">
      <x v="277"/>
    </i>
    <i r="1">
      <x v="278"/>
    </i>
    <i r="1">
      <x v="279"/>
    </i>
    <i r="1">
      <x v="280"/>
    </i>
    <i r="1">
      <x v="281"/>
    </i>
    <i t="default">
      <x v="12"/>
    </i>
    <i>
      <x v="13"/>
      <x v="47"/>
    </i>
    <i r="1">
      <x v="48"/>
    </i>
    <i t="default">
      <x v="13"/>
    </i>
    <i>
      <x v="14"/>
      <x v="283"/>
    </i>
    <i t="default">
      <x v="14"/>
    </i>
  </rowItems>
  <colItems count="1">
    <i/>
  </colItems>
  <pageFields count="1">
    <pageField fld="6" hier="0"/>
  </pageFields>
  <dataFields count="1">
    <dataField name="Quantity" fld="9" baseField="0"/>
  </dataFields>
  <pivotTableStyleInfo showRowHeaders="1" showColHeaders="1" showRowStripes="0" showColStripes="0" showLastColumn="1"/>
  <filters count="1">
    <filter fld="6" type="captionGreaterThan" evalOrder="-1" id="1" stringValue1="0">
      <autoFilter ref="A1">
        <filterColumn colId="0">
          <customFilters>
            <customFilter operator="greaterThan" val="0"/>
          </customFilters>
        </filterColumn>
      </autoFilter>
    </filter>
  </filters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1000000}" name="stock pivot" cacheId="11" applyNumberFormats="0" applyBorderFormats="0" applyFontFormats="0" applyPatternFormats="0" applyAlignmentFormats="0" applyWidthHeightFormats="0" dataCaption="" updatedVersion="8" rowGrandTotals="0" createdVersion="6" compact="0" compactData="0">
  <location ref="A3:C303" firstHeaderRow="1" firstDataRow="1" firstDataCol="2" rowPageCount="1" colPageCount="1"/>
  <pivotFields count="22">
    <pivotField name="Part #" compact="0" outline="0" multipleItemSelectionAllowed="1" showAll="0"/>
    <pivotField name="Subassm." compact="0" outline="0" multipleItemSelectionAllowed="1" showAll="0"/>
    <pivotField name="Q. Design" compact="0" outline="0" multipleItemSelectionAllowed="1" showAll="0"/>
    <pivotField name="Q. Extra" compact="0" outline="0" multipleItemSelectionAllowed="1" showAll="0"/>
    <pivotField name="Q. Stock" axis="axisPage" dataField="1" compact="0" outline="0" multipleItemSelectionAllowed="1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Q Tent." compact="0" outline="0" multipleItemSelectionAllowed="1" showAll="0"/>
    <pivotField name="Q. Buy" compact="0" outline="0" multipleItemSelectionAllowed="1" showAll="0"/>
    <pivotField name="U. Price" compact="0" outline="0" multipleItemSelectionAllowed="1" showAll="0"/>
    <pivotField name="U./Pkg" compact="0" outline="0" multipleItemSelectionAllowed="1" showAll="0"/>
    <pivotField name="Pkg. Q." compact="0" outline="0" multipleItemSelectionAllowed="1" showAll="0"/>
    <pivotField name="Subtot." compact="0" outline="0" multipleItemSelectionAllowed="1" showAll="0"/>
    <pivotField name="Vendor" axis="axisRow" compact="0" numFmtId="49" outline="0" multipleItemSelectionAllowed="1" showAll="0" sortType="ascending">
      <items count="16">
        <item x="0"/>
        <item x="1"/>
        <item x="2"/>
        <item x="13"/>
        <item x="3"/>
        <item x="4"/>
        <item x="5"/>
        <item x="6"/>
        <item x="7"/>
        <item x="8"/>
        <item x="9"/>
        <item x="10"/>
        <item x="11"/>
        <item x="12"/>
        <item x="14"/>
        <item t="default"/>
      </items>
    </pivotField>
    <pivotField name="Part Num" axis="axisRow" compact="0" numFmtId="49" outline="0" multipleItemSelectionAllowed="1" showAll="0" sortType="ascending">
      <items count="285">
        <item x="34"/>
        <item x="283"/>
        <item x="23"/>
        <item x="272"/>
        <item x="0"/>
        <item x="279"/>
        <item x="282"/>
        <item x="24"/>
        <item x="2"/>
        <item x="3"/>
        <item x="25"/>
        <item x="278"/>
        <item x="26"/>
        <item x="277"/>
        <item x="281"/>
        <item x="280"/>
        <item x="31"/>
        <item x="32"/>
        <item x="33"/>
        <item x="275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269"/>
        <item x="263"/>
        <item x="264"/>
        <item x="70"/>
        <item x="71"/>
        <item x="72"/>
        <item x="73"/>
        <item x="74"/>
        <item x="75"/>
        <item x="76"/>
        <item x="77"/>
        <item x="4"/>
        <item x="5"/>
        <item x="6"/>
        <item x="27"/>
        <item x="28"/>
        <item x="78"/>
        <item x="79"/>
        <item x="80"/>
        <item x="81"/>
        <item x="82"/>
        <item x="83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29"/>
        <item x="102"/>
        <item x="103"/>
        <item x="265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30"/>
        <item x="140"/>
        <item x="36"/>
        <item x="37"/>
        <item x="38"/>
        <item x="39"/>
        <item x="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35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270"/>
        <item x="178"/>
        <item x="179"/>
        <item x="180"/>
        <item x="181"/>
        <item x="182"/>
        <item x="183"/>
        <item x="185"/>
        <item x="186"/>
        <item x="187"/>
        <item x="1"/>
        <item x="188"/>
        <item x="189"/>
        <item x="276"/>
        <item x="190"/>
        <item x="191"/>
        <item x="192"/>
        <item x="193"/>
        <item x="194"/>
        <item x="195"/>
        <item x="196"/>
        <item x="197"/>
        <item x="198"/>
        <item x="184"/>
        <item x="199"/>
        <item x="200"/>
        <item x="201"/>
        <item x="202"/>
        <item x="203"/>
        <item x="273"/>
        <item x="274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67"/>
        <item x="268"/>
        <item x="233"/>
        <item x="234"/>
        <item x="266"/>
        <item x="235"/>
        <item x="236"/>
        <item x="237"/>
        <item x="238"/>
        <item x="239"/>
        <item x="240"/>
        <item x="241"/>
        <item x="242"/>
        <item x="243"/>
        <item x="248"/>
        <item x="244"/>
        <item x="245"/>
        <item x="246"/>
        <item x="247"/>
        <item x="249"/>
        <item x="250"/>
        <item x="251"/>
        <item x="252"/>
        <item x="253"/>
        <item x="41"/>
        <item x="254"/>
        <item x="255"/>
        <item x="256"/>
        <item x="42"/>
        <item x="271"/>
        <item x="257"/>
        <item x="43"/>
        <item x="258"/>
        <item x="259"/>
        <item x="260"/>
        <item x="261"/>
        <item x="262"/>
        <item x="21"/>
        <item x="22"/>
        <item t="default"/>
      </items>
    </pivotField>
    <pivotField name="Part ID" compact="0" outline="0" multipleItemSelectionAllowed="1" showAll="0"/>
    <pivotField name="Dupe?" compact="0" outline="0" multipleItemSelectionAllowed="1" showAll="0"/>
    <pivotField name="Vendor Status" compact="0" outline="0" multipleItemSelectionAllowed="1" showAll="0"/>
    <pivotField name="Standard" compact="0" outline="0" multipleItemSelectionAllowed="1" showAll="0"/>
    <pivotField name="Manufactuer" compact="0" outline="0" multipleItemSelectionAllowed="1" showAll="0"/>
    <pivotField name="Manuf. Part Number" compact="0" outline="0" multipleItemSelectionAllowed="1" showAll="0"/>
    <pivotField name="Description" compact="0" outline="0" multipleItemSelectionAllowed="1" showAll="0"/>
    <pivotField name="Note" compact="0" numFmtId="49" outline="0" multipleItemSelectionAllowed="1" showAll="0"/>
    <pivotField name="Reference Name(s)" compact="0" outline="0" multipleItemSelectionAllowed="1" showAll="0"/>
  </pivotFields>
  <rowFields count="2">
    <field x="11"/>
    <field x="12"/>
  </rowFields>
  <rowItems count="300">
    <i>
      <x/>
      <x v="4"/>
    </i>
    <i t="default">
      <x/>
    </i>
    <i>
      <x v="1"/>
      <x v="195"/>
    </i>
    <i t="default">
      <x v="1"/>
    </i>
    <i>
      <x v="2"/>
      <x v="8"/>
    </i>
    <i r="1">
      <x v="9"/>
    </i>
    <i r="1">
      <x v="57"/>
    </i>
    <i r="1">
      <x v="58"/>
    </i>
    <i r="1">
      <x v="59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282"/>
    </i>
    <i r="1">
      <x v="283"/>
    </i>
    <i t="default">
      <x v="2"/>
    </i>
    <i>
      <x v="3"/>
      <x v="6"/>
    </i>
    <i r="1">
      <x v="11"/>
    </i>
    <i r="1">
      <x v="198"/>
    </i>
    <i t="default">
      <x v="3"/>
    </i>
    <i>
      <x v="4"/>
      <x v="2"/>
    </i>
    <i r="1">
      <x v="7"/>
    </i>
    <i r="1">
      <x v="10"/>
    </i>
    <i r="1">
      <x v="12"/>
    </i>
    <i t="default">
      <x v="4"/>
    </i>
    <i>
      <x v="5"/>
      <x v="60"/>
    </i>
    <i r="1">
      <x v="61"/>
    </i>
    <i t="default">
      <x v="5"/>
    </i>
    <i>
      <x v="6"/>
      <x v="100"/>
    </i>
    <i t="default">
      <x v="6"/>
    </i>
    <i>
      <x v="7"/>
      <x v="140"/>
    </i>
    <i t="default">
      <x v="7"/>
    </i>
    <i>
      <x v="8"/>
      <x v="1"/>
    </i>
    <i r="1">
      <x v="3"/>
    </i>
    <i r="1">
      <x v="5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t="default">
      <x v="8"/>
    </i>
    <i>
      <x v="9"/>
      <x/>
    </i>
    <i r="1">
      <x v="158"/>
    </i>
    <i t="default">
      <x v="9"/>
    </i>
    <i>
      <x v="10"/>
      <x v="142"/>
    </i>
    <i r="1">
      <x v="143"/>
    </i>
    <i r="1">
      <x v="144"/>
    </i>
    <i r="1">
      <x v="145"/>
    </i>
    <i r="1">
      <x v="146"/>
    </i>
    <i r="1">
      <x v="269"/>
    </i>
    <i t="default">
      <x v="10"/>
    </i>
    <i>
      <x v="11"/>
      <x v="273"/>
    </i>
    <i r="1">
      <x v="276"/>
    </i>
    <i t="default">
      <x v="11"/>
    </i>
    <i>
      <x v="12"/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1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9"/>
    </i>
    <i r="1">
      <x v="160"/>
    </i>
    <i r="1">
      <x v="161"/>
    </i>
    <i r="1">
      <x v="162"/>
    </i>
    <i r="1">
      <x v="163"/>
    </i>
    <i r="1">
      <x v="164"/>
    </i>
    <i r="1">
      <x v="165"/>
    </i>
    <i r="1">
      <x v="166"/>
    </i>
    <i r="1">
      <x v="167"/>
    </i>
    <i r="1">
      <x v="168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80"/>
    </i>
    <i r="1">
      <x v="181"/>
    </i>
    <i r="1">
      <x v="182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 r="1">
      <x v="190"/>
    </i>
    <i r="1">
      <x v="191"/>
    </i>
    <i r="1">
      <x v="192"/>
    </i>
    <i r="1">
      <x v="193"/>
    </i>
    <i r="1">
      <x v="194"/>
    </i>
    <i r="1">
      <x v="196"/>
    </i>
    <i r="1">
      <x v="197"/>
    </i>
    <i r="1">
      <x v="199"/>
    </i>
    <i r="1">
      <x v="200"/>
    </i>
    <i r="1">
      <x v="201"/>
    </i>
    <i r="1">
      <x v="202"/>
    </i>
    <i r="1">
      <x v="203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1"/>
    </i>
    <i r="1">
      <x v="212"/>
    </i>
    <i r="1">
      <x v="213"/>
    </i>
    <i r="1">
      <x v="214"/>
    </i>
    <i r="1">
      <x v="215"/>
    </i>
    <i r="1">
      <x v="216"/>
    </i>
    <i r="1">
      <x v="217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4"/>
    </i>
    <i r="1">
      <x v="225"/>
    </i>
    <i r="1">
      <x v="226"/>
    </i>
    <i r="1">
      <x v="227"/>
    </i>
    <i r="1">
      <x v="228"/>
    </i>
    <i r="1">
      <x v="229"/>
    </i>
    <i r="1">
      <x v="230"/>
    </i>
    <i r="1">
      <x v="231"/>
    </i>
    <i r="1">
      <x v="232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0"/>
    </i>
    <i r="1">
      <x v="241"/>
    </i>
    <i r="1">
      <x v="242"/>
    </i>
    <i r="1">
      <x v="243"/>
    </i>
    <i r="1">
      <x v="244"/>
    </i>
    <i r="1">
      <x v="245"/>
    </i>
    <i r="1">
      <x v="246"/>
    </i>
    <i r="1">
      <x v="247"/>
    </i>
    <i r="1">
      <x v="248"/>
    </i>
    <i r="1">
      <x v="249"/>
    </i>
    <i r="1">
      <x v="250"/>
    </i>
    <i r="1">
      <x v="251"/>
    </i>
    <i r="1">
      <x v="252"/>
    </i>
    <i r="1">
      <x v="253"/>
    </i>
    <i r="1">
      <x v="254"/>
    </i>
    <i r="1">
      <x v="255"/>
    </i>
    <i r="1">
      <x v="256"/>
    </i>
    <i r="1">
      <x v="257"/>
    </i>
    <i r="1">
      <x v="258"/>
    </i>
    <i r="1">
      <x v="259"/>
    </i>
    <i r="1">
      <x v="260"/>
    </i>
    <i r="1">
      <x v="261"/>
    </i>
    <i r="1">
      <x v="262"/>
    </i>
    <i r="1">
      <x v="263"/>
    </i>
    <i r="1">
      <x v="264"/>
    </i>
    <i r="1">
      <x v="265"/>
    </i>
    <i r="1">
      <x v="266"/>
    </i>
    <i r="1">
      <x v="267"/>
    </i>
    <i r="1">
      <x v="268"/>
    </i>
    <i r="1">
      <x v="270"/>
    </i>
    <i r="1">
      <x v="271"/>
    </i>
    <i r="1">
      <x v="272"/>
    </i>
    <i r="1">
      <x v="274"/>
    </i>
    <i r="1">
      <x v="275"/>
    </i>
    <i r="1">
      <x v="277"/>
    </i>
    <i r="1">
      <x v="278"/>
    </i>
    <i r="1">
      <x v="279"/>
    </i>
    <i r="1">
      <x v="280"/>
    </i>
    <i r="1">
      <x v="281"/>
    </i>
    <i t="default">
      <x v="12"/>
    </i>
    <i>
      <x v="13"/>
      <x v="47"/>
    </i>
    <i r="1">
      <x v="48"/>
    </i>
    <i t="default">
      <x v="13"/>
    </i>
    <i>
      <x v="14"/>
      <x v="283"/>
    </i>
    <i t="default">
      <x v="14"/>
    </i>
  </rowItems>
  <colItems count="1">
    <i/>
  </colItems>
  <pageFields count="1">
    <pageField fld="4" hier="0"/>
  </pageFields>
  <dataFields count="1">
    <dataField name="SUM of Q. Stock" fld="4" baseField="0"/>
  </dataFields>
  <pivotTableStyleInfo showRowHeaders="1" showColHeaders="1" showRowStripes="0" showColStripes="0" showLastColumn="1"/>
  <filters count="1">
    <filter fld="4" type="captionGreaterThan" evalOrder="-1" id="1" stringValue1="0">
      <autoFilter ref="A1">
        <filterColumn colId="0">
          <customFilters>
            <customFilter operator="greaterThan" val="0"/>
          </customFilters>
        </filterColumn>
      </autoFilter>
    </filter>
  </filters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V316">
  <autoFilter ref="A1:V316" xr:uid="{00000000-0009-0000-0100-000001000000}"/>
  <tableColumns count="22">
    <tableColumn id="1" xr3:uid="{00000000-0010-0000-0000-000001000000}" name="Part #"/>
    <tableColumn id="2" xr3:uid="{00000000-0010-0000-0000-000002000000}" name="Subassm."/>
    <tableColumn id="3" xr3:uid="{00000000-0010-0000-0000-000003000000}" name="Q. Design"/>
    <tableColumn id="4" xr3:uid="{00000000-0010-0000-0000-000004000000}" name="Q. Extra"/>
    <tableColumn id="5" xr3:uid="{00000000-0010-0000-0000-000005000000}" name="Q. Stock"/>
    <tableColumn id="6" xr3:uid="{00000000-0010-0000-0000-000006000000}" name="Q Tent."/>
    <tableColumn id="7" xr3:uid="{00000000-0010-0000-0000-000007000000}" name="Q. Buy"/>
    <tableColumn id="8" xr3:uid="{00000000-0010-0000-0000-000008000000}" name="U. Price"/>
    <tableColumn id="9" xr3:uid="{00000000-0010-0000-0000-000009000000}" name="U./Pkg"/>
    <tableColumn id="10" xr3:uid="{00000000-0010-0000-0000-00000A000000}" name="Pkg. Q."/>
    <tableColumn id="11" xr3:uid="{00000000-0010-0000-0000-00000B000000}" name="Subtot."/>
    <tableColumn id="12" xr3:uid="{00000000-0010-0000-0000-00000C000000}" name="Vendor"/>
    <tableColumn id="13" xr3:uid="{00000000-0010-0000-0000-00000D000000}" name="Part Num"/>
    <tableColumn id="14" xr3:uid="{00000000-0010-0000-0000-00000E000000}" name="Part ID"/>
    <tableColumn id="15" xr3:uid="{00000000-0010-0000-0000-00000F000000}" name="Dupe?"/>
    <tableColumn id="16" xr3:uid="{00000000-0010-0000-0000-000010000000}" name="Vendor Status"/>
    <tableColumn id="17" xr3:uid="{00000000-0010-0000-0000-000011000000}" name="Standard"/>
    <tableColumn id="18" xr3:uid="{00000000-0010-0000-0000-000012000000}" name="Manufactuer"/>
    <tableColumn id="19" xr3:uid="{00000000-0010-0000-0000-000013000000}" name="Manuf. Part Number"/>
    <tableColumn id="20" xr3:uid="{00000000-0010-0000-0000-000014000000}" name="Description"/>
    <tableColumn id="21" xr3:uid="{00000000-0010-0000-0000-000015000000}" name="Note"/>
    <tableColumn id="22" xr3:uid="{00000000-0010-0000-0000-000016000000}" name="Reference Name(s)"/>
  </tableColumns>
  <tableStyleInfo name="bom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_2" displayName="Table1_2" ref="A1:V305">
  <autoFilter ref="A1:V305" xr:uid="{00000000-0009-0000-0100-000002000000}"/>
  <tableColumns count="22">
    <tableColumn id="1" xr3:uid="{00000000-0010-0000-0100-000001000000}" name="Part #"/>
    <tableColumn id="2" xr3:uid="{00000000-0010-0000-0100-000002000000}" name="Subassm."/>
    <tableColumn id="3" xr3:uid="{00000000-0010-0000-0100-000003000000}" name="Q. Design"/>
    <tableColumn id="4" xr3:uid="{00000000-0010-0000-0100-000004000000}" name="Q. Extra"/>
    <tableColumn id="5" xr3:uid="{00000000-0010-0000-0100-000005000000}" name="Q. Stock"/>
    <tableColumn id="6" xr3:uid="{00000000-0010-0000-0100-000006000000}" name="Q Tent."/>
    <tableColumn id="7" xr3:uid="{00000000-0010-0000-0100-000007000000}" name="Q. Buy"/>
    <tableColumn id="8" xr3:uid="{00000000-0010-0000-0100-000008000000}" name="U. Price"/>
    <tableColumn id="9" xr3:uid="{00000000-0010-0000-0100-000009000000}" name="U./Pkg"/>
    <tableColumn id="10" xr3:uid="{00000000-0010-0000-0100-00000A000000}" name="Pkg. Q."/>
    <tableColumn id="11" xr3:uid="{00000000-0010-0000-0100-00000B000000}" name="Subtot."/>
    <tableColumn id="12" xr3:uid="{00000000-0010-0000-0100-00000C000000}" name="Vendor"/>
    <tableColumn id="13" xr3:uid="{00000000-0010-0000-0100-00000D000000}" name="Part Num"/>
    <tableColumn id="14" xr3:uid="{00000000-0010-0000-0100-00000E000000}" name="Part ID"/>
    <tableColumn id="15" xr3:uid="{00000000-0010-0000-0100-00000F000000}" name="Dupe?"/>
    <tableColumn id="16" xr3:uid="{00000000-0010-0000-0100-000010000000}" name="Vendor Status"/>
    <tableColumn id="17" xr3:uid="{00000000-0010-0000-0100-000011000000}" name="Standard"/>
    <tableColumn id="18" xr3:uid="{00000000-0010-0000-0100-000012000000}" name="Manufactuer"/>
    <tableColumn id="19" xr3:uid="{00000000-0010-0000-0100-000013000000}" name="Manuf. Part Number"/>
    <tableColumn id="20" xr3:uid="{00000000-0010-0000-0100-000014000000}" name="Description"/>
    <tableColumn id="21" xr3:uid="{00000000-0010-0000-0100-000015000000}" name="Note"/>
    <tableColumn id="22" xr3:uid="{00000000-0010-0000-0100-000016000000}" name="Reference Name(s)"/>
  </tableColumns>
  <tableStyleInfo name="Copy of bom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thorlabs.com/thorproduct.cfm?partnumber=ACT508-750-A" TargetMode="External"/><Relationship Id="rId18" Type="http://schemas.openxmlformats.org/officeDocument/2006/relationships/hyperlink" Target="https://www.thorlabs.com/thorproduct.cfm?partnumber=CL3" TargetMode="External"/><Relationship Id="rId26" Type="http://schemas.openxmlformats.org/officeDocument/2006/relationships/hyperlink" Target="https://www.thorlabs.com/thorproduct.cfm?partnumber=LCP02" TargetMode="External"/><Relationship Id="rId39" Type="http://schemas.openxmlformats.org/officeDocument/2006/relationships/hyperlink" Target="https://www.thorlabs.com/thorproduct.cfm?partnumber=PH2" TargetMode="External"/><Relationship Id="rId21" Type="http://schemas.openxmlformats.org/officeDocument/2006/relationships/hyperlink" Target="https://www.thorlabs.com/thorproduct.cfm?partnumber=ITL200" TargetMode="External"/><Relationship Id="rId34" Type="http://schemas.openxmlformats.org/officeDocument/2006/relationships/hyperlink" Target="https://www.thorlabs.com/thorproduct.cfm?partnumber=PB1" TargetMode="External"/><Relationship Id="rId42" Type="http://schemas.openxmlformats.org/officeDocument/2006/relationships/hyperlink" Target="https://www.thorlabs.com/thorproduct.cfm?partnumber=PT101" TargetMode="External"/><Relationship Id="rId47" Type="http://schemas.openxmlformats.org/officeDocument/2006/relationships/hyperlink" Target="https://www.thorlabs.com/thorproduct.cfm?partnumber=SM2D25D" TargetMode="External"/><Relationship Id="rId50" Type="http://schemas.openxmlformats.org/officeDocument/2006/relationships/hyperlink" Target="https://www.thorlabs.com/thorproduct.cfm?partnumber=TCH002" TargetMode="External"/><Relationship Id="rId55" Type="http://schemas.openxmlformats.org/officeDocument/2006/relationships/hyperlink" Target="https://www.thorlabs.com/thorproduct.cfm?partnumber=TTL200MP" TargetMode="External"/><Relationship Id="rId7" Type="http://schemas.openxmlformats.org/officeDocument/2006/relationships/hyperlink" Target="https://www.spachoptics.com/Olympus-UPLANXAPO-20X-Objective-N5702000-p/olympus-uplxapo20x.htm" TargetMode="External"/><Relationship Id="rId2" Type="http://schemas.openxmlformats.org/officeDocument/2006/relationships/hyperlink" Target="https://www.edmundoptics.com/p/3mm-dia-x-9mm-fl-vis-0deg-coated-achromatic-lens/9607/?srsltid=AfmBOoogf28MNBkknd2WDS97veEn_9kuoA4NwilBtqQPC1DcoCY2UIlG" TargetMode="External"/><Relationship Id="rId16" Type="http://schemas.openxmlformats.org/officeDocument/2006/relationships/hyperlink" Target="https://www.thorlabs.com/newgrouppage9.cfm?objectgroup_id=3929&amp;pn=C4W" TargetMode="External"/><Relationship Id="rId29" Type="http://schemas.openxmlformats.org/officeDocument/2006/relationships/hyperlink" Target="https://www.thorlabs.com/thorproduct.cfm?partnumber=MDT693B" TargetMode="External"/><Relationship Id="rId11" Type="http://schemas.openxmlformats.org/officeDocument/2006/relationships/hyperlink" Target="https://www.thorlabs.com/thorproduct.cfm?partnumber=ACL2520U-A" TargetMode="External"/><Relationship Id="rId24" Type="http://schemas.openxmlformats.org/officeDocument/2006/relationships/hyperlink" Target="https://www.thorlabs.com/thorproduct.cfm?partnumber=KM100B" TargetMode="External"/><Relationship Id="rId32" Type="http://schemas.openxmlformats.org/officeDocument/2006/relationships/hyperlink" Target="https://www.thorlabs.com/thorproduct.cfm?partnumber=P4" TargetMode="External"/><Relationship Id="rId37" Type="http://schemas.openxmlformats.org/officeDocument/2006/relationships/hyperlink" Target="https://www.thorlabs.com/thorproduct.cfm?partnumber=PF20-03-P01" TargetMode="External"/><Relationship Id="rId40" Type="http://schemas.openxmlformats.org/officeDocument/2006/relationships/hyperlink" Target="https://www.thorlabs.com/thorproduct.cfm?partnumber=PS7M" TargetMode="External"/><Relationship Id="rId45" Type="http://schemas.openxmlformats.org/officeDocument/2006/relationships/hyperlink" Target="https://www.thorlabs.com/thorproduct.cfm?partnumber=SM2A20" TargetMode="External"/><Relationship Id="rId53" Type="http://schemas.openxmlformats.org/officeDocument/2006/relationships/hyperlink" Target="https://www.thorlabs.com/thorproduct.cfm?partnumber=TR2" TargetMode="External"/><Relationship Id="rId58" Type="http://schemas.openxmlformats.org/officeDocument/2006/relationships/hyperlink" Target="https://www.thorlabs.com/thorproduct.cfm?partnumber=Z812B" TargetMode="External"/><Relationship Id="rId5" Type="http://schemas.openxmlformats.org/officeDocument/2006/relationships/hyperlink" Target="https://microscopecentral.com/products/olympus-xlfluor-4x-340-microscope-objective" TargetMode="External"/><Relationship Id="rId19" Type="http://schemas.openxmlformats.org/officeDocument/2006/relationships/hyperlink" Target="https://www.thorlabs.com/thorproduct.cfm?partnumber=CLS-SL" TargetMode="External"/><Relationship Id="rId4" Type="http://schemas.openxmlformats.org/officeDocument/2006/relationships/hyperlink" Target="https://www.laserlineoptics.com/store/product/powell-lens/" TargetMode="External"/><Relationship Id="rId9" Type="http://schemas.openxmlformats.org/officeDocument/2006/relationships/hyperlink" Target="https://www.thorlabs.de/thorProduct.cfm?partNumber=AC127-050-A-ML" TargetMode="External"/><Relationship Id="rId14" Type="http://schemas.openxmlformats.org/officeDocument/2006/relationships/hyperlink" Target="https://www.thorlabs.com/thorproduct.cfm?partnumber=BA1" TargetMode="External"/><Relationship Id="rId22" Type="http://schemas.openxmlformats.org/officeDocument/2006/relationships/hyperlink" Target="https://www.thorlabs.com/thorproduct.cfm?partnumber=BBE1-E02" TargetMode="External"/><Relationship Id="rId27" Type="http://schemas.openxmlformats.org/officeDocument/2006/relationships/hyperlink" Target="https://www.thorlabs.com/thorproduct.cfm?partnumber=LEDD1B" TargetMode="External"/><Relationship Id="rId30" Type="http://schemas.openxmlformats.org/officeDocument/2006/relationships/hyperlink" Target="https://www.thorlabs.com/thorproduct.cfm?partnumber=MRAK25-P01" TargetMode="External"/><Relationship Id="rId35" Type="http://schemas.openxmlformats.org/officeDocument/2006/relationships/hyperlink" Target="https://www.thorlabs.com/thorproduct.cfm?partnumber=PB4" TargetMode="External"/><Relationship Id="rId43" Type="http://schemas.openxmlformats.org/officeDocument/2006/relationships/hyperlink" Target="https://www.thorlabs.com/thorproduct.cfm?partnumber=PT102" TargetMode="External"/><Relationship Id="rId48" Type="http://schemas.openxmlformats.org/officeDocument/2006/relationships/hyperlink" Target="https://www.thorlabs.com/thorproduct.cfm?partnumber=SM2L10" TargetMode="External"/><Relationship Id="rId56" Type="http://schemas.openxmlformats.org/officeDocument/2006/relationships/hyperlink" Target="https://www.thorlabs.com/thorproduct.cfm?partnumber=TTL200MP" TargetMode="External"/><Relationship Id="rId8" Type="http://schemas.openxmlformats.org/officeDocument/2006/relationships/hyperlink" Target="https://www.spachoptics.com/Olympus-XLUMPLFLN-20X-Objective-p/olympus-xlumplfln20x.htm" TargetMode="External"/><Relationship Id="rId51" Type="http://schemas.openxmlformats.org/officeDocument/2006/relationships/hyperlink" Target="https://www.thorlabs.com/thorproduct.cfm?partnumber=TDC001" TargetMode="External"/><Relationship Id="rId3" Type="http://schemas.openxmlformats.org/officeDocument/2006/relationships/hyperlink" Target="https://www.meetoptics.com/light-sources/lasers-and-coherent-systems/diode-and-semiconductor-lasers/diode-laser/s/h%C3%BCbner-photonics/p/06-01-06-MLD0515?srsltid=AfmBOop148zDsqZ-b3Dc8k8j2utRO2tyD7lQskBvkkjXQDCoUYSX_DE5" TargetMode="External"/><Relationship Id="rId12" Type="http://schemas.openxmlformats.org/officeDocument/2006/relationships/hyperlink" Target="https://www.thorlabs.com/thorproduct.cfm?partnumber=ACT508-1000-A" TargetMode="External"/><Relationship Id="rId17" Type="http://schemas.openxmlformats.org/officeDocument/2006/relationships/hyperlink" Target="https://www.thorlabs.com/thorproduct.cfm?partnumber=CCM1-PBS251" TargetMode="External"/><Relationship Id="rId25" Type="http://schemas.openxmlformats.org/officeDocument/2006/relationships/hyperlink" Target="https://www.thorlabs.com/thorproduct.cfm?partnumber=LCP01" TargetMode="External"/><Relationship Id="rId33" Type="http://schemas.openxmlformats.org/officeDocument/2006/relationships/hyperlink" Target="https://www.thorlabs.com/thorproduct.cfm?partnumber=P6" TargetMode="External"/><Relationship Id="rId38" Type="http://schemas.openxmlformats.org/officeDocument/2006/relationships/hyperlink" Target="https://www.thorlabs.com/thorproduct.cfm?partnumber=PH1" TargetMode="External"/><Relationship Id="rId46" Type="http://schemas.openxmlformats.org/officeDocument/2006/relationships/hyperlink" Target="https://www.thorlabs.com/thorproduct.cfm?partnumber=SM2CP1" TargetMode="External"/><Relationship Id="rId59" Type="http://schemas.openxmlformats.org/officeDocument/2006/relationships/hyperlink" Target="https://www.ximea.com/products/pci-express/xib-64-high-speed-fast-industrial-cameras/gpixel-gsprint4502-pcie-color-high-speed-camera" TargetMode="External"/><Relationship Id="rId20" Type="http://schemas.openxmlformats.org/officeDocument/2006/relationships/hyperlink" Target="https://www.thorlabs.com/thorproduct.cfm?partnumber=ER6-P4" TargetMode="External"/><Relationship Id="rId41" Type="http://schemas.openxmlformats.org/officeDocument/2006/relationships/hyperlink" Target="https://www.thorlabs.com/thorproduct.cfm?partnumber=PT1" TargetMode="External"/><Relationship Id="rId54" Type="http://schemas.openxmlformats.org/officeDocument/2006/relationships/hyperlink" Target="https://www.thorlabs.com/thorproduct.cfm?partnumber=TTL200-A" TargetMode="External"/><Relationship Id="rId1" Type="http://schemas.openxmlformats.org/officeDocument/2006/relationships/hyperlink" Target="https://www.edmundoptics.com/p/up150d-24-vdc-power-supply-for-scannermax-mach-dsp/44532/?srsltid=AfmBOorKXSPqFr5jPq2sLyohFGUzbHd31aSoaUabUcWtlrBIf9BXsSea" TargetMode="External"/><Relationship Id="rId6" Type="http://schemas.openxmlformats.org/officeDocument/2006/relationships/hyperlink" Target="https://microscopecentral.com/products/nikon-plan-apo-lambda-4x-microscope-objective" TargetMode="External"/><Relationship Id="rId15" Type="http://schemas.openxmlformats.org/officeDocument/2006/relationships/hyperlink" Target="https://www.thorlabs.com/thorproduct.cfm?partnumber=C330TMD-A" TargetMode="External"/><Relationship Id="rId23" Type="http://schemas.openxmlformats.org/officeDocument/2006/relationships/hyperlink" Target="https://www.thorlabs.com/thorproduct.cfm?partnumber=KCB2" TargetMode="External"/><Relationship Id="rId28" Type="http://schemas.openxmlformats.org/officeDocument/2006/relationships/hyperlink" Target="https://www.thorlabs.com/thorproduct.cfm?partnumber=LMR2" TargetMode="External"/><Relationship Id="rId36" Type="http://schemas.openxmlformats.org/officeDocument/2006/relationships/hyperlink" Target="https://www.thorlabs.com/thorproduct.cfm?partnumber=PB4VB2S" TargetMode="External"/><Relationship Id="rId49" Type="http://schemas.openxmlformats.org/officeDocument/2006/relationships/hyperlink" Target="https://www.thorlabs.com/thorproduct.cfm?partnumber=SM2L15" TargetMode="External"/><Relationship Id="rId57" Type="http://schemas.openxmlformats.org/officeDocument/2006/relationships/hyperlink" Target="https://www.thorlabs.com/thorproduct.cfm?partnumber=UPHA" TargetMode="External"/><Relationship Id="rId10" Type="http://schemas.openxmlformats.org/officeDocument/2006/relationships/hyperlink" Target="https://www.thorlabs.com/thorproduct.cfm?partnumber=AC127-075-A-ML" TargetMode="External"/><Relationship Id="rId31" Type="http://schemas.openxmlformats.org/officeDocument/2006/relationships/hyperlink" Target="https://www.thorlabs.com/thorproduct.cfm?partnumber=MT1" TargetMode="External"/><Relationship Id="rId44" Type="http://schemas.openxmlformats.org/officeDocument/2006/relationships/hyperlink" Target="https://www.thorlabs.com/thorproduct.cfm?partnumber=RS2" TargetMode="External"/><Relationship Id="rId52" Type="http://schemas.openxmlformats.org/officeDocument/2006/relationships/hyperlink" Target="https://www.thorlabs.com/thorproduct.cfm?partnumber=TR1" TargetMode="External"/><Relationship Id="rId60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thorlabs.com/thorproduct.cfm?partnumber=PT1" TargetMode="External"/><Relationship Id="rId18" Type="http://schemas.openxmlformats.org/officeDocument/2006/relationships/hyperlink" Target="https://www.spachoptics.com/Olympus-UPLANXAPO-20X-Objective-N5702000-p/olympus-uplxapo20x.htm" TargetMode="External"/><Relationship Id="rId26" Type="http://schemas.openxmlformats.org/officeDocument/2006/relationships/hyperlink" Target="https://www.thorlabs.com/thorproduct.cfm?partnumber=MRAK25-P01" TargetMode="External"/><Relationship Id="rId39" Type="http://schemas.openxmlformats.org/officeDocument/2006/relationships/hyperlink" Target="https://www.thorlabs.com/thorproduct.cfm?partnumber=PT102" TargetMode="External"/><Relationship Id="rId21" Type="http://schemas.openxmlformats.org/officeDocument/2006/relationships/hyperlink" Target="https://www.thorlabs.com/thorproduct.cfm?partnumber=ACT508-750-A" TargetMode="External"/><Relationship Id="rId34" Type="http://schemas.openxmlformats.org/officeDocument/2006/relationships/hyperlink" Target="https://www.thorlabs.com/thorproduct.cfm?partnumber=TTL200MP" TargetMode="External"/><Relationship Id="rId42" Type="http://schemas.openxmlformats.org/officeDocument/2006/relationships/hyperlink" Target="https://www.thorlabs.com/thorproduct.cfm?partnumber=CLS-SL" TargetMode="External"/><Relationship Id="rId47" Type="http://schemas.openxmlformats.org/officeDocument/2006/relationships/hyperlink" Target="https://www.thorlabs.com/thorproduct.cfm?partnumber=P4" TargetMode="External"/><Relationship Id="rId50" Type="http://schemas.openxmlformats.org/officeDocument/2006/relationships/hyperlink" Target="https://www.thorlabs.com/thorproduct.cfm?partnumber=PB4" TargetMode="External"/><Relationship Id="rId55" Type="http://schemas.openxmlformats.org/officeDocument/2006/relationships/hyperlink" Target="https://www.thorlabs.com/thorproduct.cfm?partnumber=TCH002" TargetMode="External"/><Relationship Id="rId7" Type="http://schemas.openxmlformats.org/officeDocument/2006/relationships/hyperlink" Target="https://www.thorlabs.com/thorproduct.cfm?partnumber=BA1" TargetMode="External"/><Relationship Id="rId2" Type="http://schemas.openxmlformats.org/officeDocument/2006/relationships/hyperlink" Target="https://www.meetoptics.com/light-sources/lasers-and-coherent-systems/diode-and-semiconductor-lasers/diode-laser/s/h%C3%BCbner-photonics/p/06-01-06-MLD0515?srsltid=AfmBOop148zDsqZ-b3Dc8k8j2utRO2tyD7lQskBvkkjXQDCoUYSX_DE5" TargetMode="External"/><Relationship Id="rId16" Type="http://schemas.openxmlformats.org/officeDocument/2006/relationships/hyperlink" Target="https://www.thorlabs.com/thorproduct.cfm?partnumber=TR2" TargetMode="External"/><Relationship Id="rId29" Type="http://schemas.openxmlformats.org/officeDocument/2006/relationships/hyperlink" Target="https://www.thorlabs.com/thorproduct.cfm?partnumber=SM2D25D" TargetMode="External"/><Relationship Id="rId11" Type="http://schemas.openxmlformats.org/officeDocument/2006/relationships/hyperlink" Target="https://www.thorlabs.com/thorproduct.cfm?partnumber=LCP01" TargetMode="External"/><Relationship Id="rId24" Type="http://schemas.openxmlformats.org/officeDocument/2006/relationships/hyperlink" Target="https://www.thorlabs.com/thorproduct.cfm?partnumber=ER6-P4" TargetMode="External"/><Relationship Id="rId32" Type="http://schemas.openxmlformats.org/officeDocument/2006/relationships/hyperlink" Target="https://www.thorlabs.com/thorproduct.cfm?partnumber=TTL200-A" TargetMode="External"/><Relationship Id="rId37" Type="http://schemas.openxmlformats.org/officeDocument/2006/relationships/hyperlink" Target="https://www.thorlabs.com/thorproduct.cfm?partnumber=PT101" TargetMode="External"/><Relationship Id="rId40" Type="http://schemas.openxmlformats.org/officeDocument/2006/relationships/hyperlink" Target="https://www.thorlabs.com/thorproduct.cfm?partnumber=Z812B" TargetMode="External"/><Relationship Id="rId45" Type="http://schemas.openxmlformats.org/officeDocument/2006/relationships/hyperlink" Target="https://www.thorlabs.com/thorproduct.cfm?partnumber=LMR2" TargetMode="External"/><Relationship Id="rId53" Type="http://schemas.openxmlformats.org/officeDocument/2006/relationships/hyperlink" Target="https://www.thorlabs.com/thorproduct.cfm?partnumber=RS2" TargetMode="External"/><Relationship Id="rId58" Type="http://schemas.openxmlformats.org/officeDocument/2006/relationships/hyperlink" Target="https://www.ximea.com/products/pci-express/xib-64-high-speed-fast-industrial-cameras/gpixel-gsprint4502-pcie-color-high-speed-camera" TargetMode="External"/><Relationship Id="rId5" Type="http://schemas.openxmlformats.org/officeDocument/2006/relationships/hyperlink" Target="https://www.thorlabs.de/thorProduct.cfm?partNumber=AC127-050-A-ML" TargetMode="External"/><Relationship Id="rId19" Type="http://schemas.openxmlformats.org/officeDocument/2006/relationships/hyperlink" Target="https://www.spachoptics.com/Olympus-XLUMPLFLN-20X-Objective-p/olympus-xlumplfln20x.htm" TargetMode="External"/><Relationship Id="rId4" Type="http://schemas.openxmlformats.org/officeDocument/2006/relationships/hyperlink" Target="https://microscopecentral.com/products/olympus-xlfluor-4x-340-microscope-objective" TargetMode="External"/><Relationship Id="rId9" Type="http://schemas.openxmlformats.org/officeDocument/2006/relationships/hyperlink" Target="https://www.thorlabs.com/thorproduct.cfm?partnumber=ITL200" TargetMode="External"/><Relationship Id="rId14" Type="http://schemas.openxmlformats.org/officeDocument/2006/relationships/hyperlink" Target="https://www.thorlabs.com/thorproduct.cfm?partnumber=SM2A20" TargetMode="External"/><Relationship Id="rId22" Type="http://schemas.openxmlformats.org/officeDocument/2006/relationships/hyperlink" Target="https://www.thorlabs.com/newgrouppage9.cfm?objectgroup_id=3929&amp;pn=C4W" TargetMode="External"/><Relationship Id="rId27" Type="http://schemas.openxmlformats.org/officeDocument/2006/relationships/hyperlink" Target="https://www.thorlabs.com/thorproduct.cfm?partnumber=PB4VB2S" TargetMode="External"/><Relationship Id="rId30" Type="http://schemas.openxmlformats.org/officeDocument/2006/relationships/hyperlink" Target="https://www.thorlabs.com/thorproduct.cfm?partnumber=SM2L10" TargetMode="External"/><Relationship Id="rId35" Type="http://schemas.openxmlformats.org/officeDocument/2006/relationships/hyperlink" Target="https://www.edmundoptics.com/p/3mm-dia-x-9mm-fl-vis-0deg-coated-achromatic-lens/9607/?srsltid=AfmBOoogf28MNBkknd2WDS97veEn_9kuoA4NwilBtqQPC1DcoCY2UIlG" TargetMode="External"/><Relationship Id="rId43" Type="http://schemas.openxmlformats.org/officeDocument/2006/relationships/hyperlink" Target="https://www.thorlabs.com/thorproduct.cfm?partnumber=KM100B" TargetMode="External"/><Relationship Id="rId48" Type="http://schemas.openxmlformats.org/officeDocument/2006/relationships/hyperlink" Target="https://www.thorlabs.com/thorproduct.cfm?partnumber=P6" TargetMode="External"/><Relationship Id="rId56" Type="http://schemas.openxmlformats.org/officeDocument/2006/relationships/hyperlink" Target="https://www.thorlabs.com/thorproduct.cfm?partnumber=TDC001" TargetMode="External"/><Relationship Id="rId8" Type="http://schemas.openxmlformats.org/officeDocument/2006/relationships/hyperlink" Target="https://www.thorlabs.com/thorproduct.cfm?partnumber=C330TMD-A" TargetMode="External"/><Relationship Id="rId51" Type="http://schemas.openxmlformats.org/officeDocument/2006/relationships/hyperlink" Target="https://www.thorlabs.com/thorproduct.cfm?partnumber=PH2" TargetMode="External"/><Relationship Id="rId3" Type="http://schemas.openxmlformats.org/officeDocument/2006/relationships/hyperlink" Target="https://www.laserlineoptics.com/store/product/powell-lens/" TargetMode="External"/><Relationship Id="rId12" Type="http://schemas.openxmlformats.org/officeDocument/2006/relationships/hyperlink" Target="https://www.thorlabs.com/thorproduct.cfm?partnumber=PH1" TargetMode="External"/><Relationship Id="rId17" Type="http://schemas.openxmlformats.org/officeDocument/2006/relationships/hyperlink" Target="https://microscopecentral.com/products/nikon-plan-apo-lambda-4x-microscope-objective" TargetMode="External"/><Relationship Id="rId25" Type="http://schemas.openxmlformats.org/officeDocument/2006/relationships/hyperlink" Target="https://www.thorlabs.com/thorproduct.cfm?partnumber=KCB2" TargetMode="External"/><Relationship Id="rId33" Type="http://schemas.openxmlformats.org/officeDocument/2006/relationships/hyperlink" Target="https://www.thorlabs.com/thorproduct.cfm?partnumber=TTL200MP" TargetMode="External"/><Relationship Id="rId38" Type="http://schemas.openxmlformats.org/officeDocument/2006/relationships/hyperlink" Target="https://www.thorlabs.com/thorproduct.cfm?partnumber=MT1" TargetMode="External"/><Relationship Id="rId46" Type="http://schemas.openxmlformats.org/officeDocument/2006/relationships/hyperlink" Target="https://www.thorlabs.com/thorproduct.cfm?partnumber=MDT693B" TargetMode="External"/><Relationship Id="rId59" Type="http://schemas.openxmlformats.org/officeDocument/2006/relationships/table" Target="../tables/table2.xml"/><Relationship Id="rId20" Type="http://schemas.openxmlformats.org/officeDocument/2006/relationships/hyperlink" Target="https://www.thorlabs.com/thorproduct.cfm?partnumber=ACT508-1000-A" TargetMode="External"/><Relationship Id="rId41" Type="http://schemas.openxmlformats.org/officeDocument/2006/relationships/hyperlink" Target="https://www.thorlabs.com/thorproduct.cfm?partnumber=CL3" TargetMode="External"/><Relationship Id="rId54" Type="http://schemas.openxmlformats.org/officeDocument/2006/relationships/hyperlink" Target="https://www.thorlabs.com/thorproduct.cfm?partnumber=SM2CP1" TargetMode="External"/><Relationship Id="rId1" Type="http://schemas.openxmlformats.org/officeDocument/2006/relationships/hyperlink" Target="https://www.edmundoptics.com/p/up150d-24-vdc-power-supply-for-scannermax-mach-dsp/44532/?srsltid=AfmBOorKXSPqFr5jPq2sLyohFGUzbHd31aSoaUabUcWtlrBIf9BXsSea" TargetMode="External"/><Relationship Id="rId6" Type="http://schemas.openxmlformats.org/officeDocument/2006/relationships/hyperlink" Target="https://www.thorlabs.com/thorproduct.cfm?partnumber=AC127-075-A-ML" TargetMode="External"/><Relationship Id="rId15" Type="http://schemas.openxmlformats.org/officeDocument/2006/relationships/hyperlink" Target="https://www.thorlabs.com/thorproduct.cfm?partnumber=TR1" TargetMode="External"/><Relationship Id="rId23" Type="http://schemas.openxmlformats.org/officeDocument/2006/relationships/hyperlink" Target="https://www.thorlabs.com/thorproduct.cfm?partnumber=CCM1-PBS251" TargetMode="External"/><Relationship Id="rId28" Type="http://schemas.openxmlformats.org/officeDocument/2006/relationships/hyperlink" Target="https://www.thorlabs.com/thorproduct.cfm?partnumber=PF20-03-P01" TargetMode="External"/><Relationship Id="rId36" Type="http://schemas.openxmlformats.org/officeDocument/2006/relationships/hyperlink" Target="https://www.thorlabs.com/thorproduct.cfm?partnumber=ACL2520U-A" TargetMode="External"/><Relationship Id="rId49" Type="http://schemas.openxmlformats.org/officeDocument/2006/relationships/hyperlink" Target="https://www.thorlabs.com/thorproduct.cfm?partnumber=PB1" TargetMode="External"/><Relationship Id="rId57" Type="http://schemas.openxmlformats.org/officeDocument/2006/relationships/hyperlink" Target="https://www.thorlabs.com/thorproduct.cfm?partnumber=UPHA" TargetMode="External"/><Relationship Id="rId10" Type="http://schemas.openxmlformats.org/officeDocument/2006/relationships/hyperlink" Target="https://www.thorlabs.com/thorproduct.cfm?partnumber=BBE1-E02" TargetMode="External"/><Relationship Id="rId31" Type="http://schemas.openxmlformats.org/officeDocument/2006/relationships/hyperlink" Target="https://www.thorlabs.com/thorproduct.cfm?partnumber=SM2L15" TargetMode="External"/><Relationship Id="rId44" Type="http://schemas.openxmlformats.org/officeDocument/2006/relationships/hyperlink" Target="https://www.thorlabs.com/thorproduct.cfm?partnumber=LEDD1B" TargetMode="External"/><Relationship Id="rId52" Type="http://schemas.openxmlformats.org/officeDocument/2006/relationships/hyperlink" Target="https://www.thorlabs.com/thorproduct.cfm?partnumber=PS7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P929"/>
  <sheetViews>
    <sheetView tabSelected="1"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min="1" max="1" width="8.33203125" customWidth="1"/>
    <col min="2" max="2" width="15.83203125" customWidth="1"/>
    <col min="3" max="3" width="9.83203125" customWidth="1"/>
    <col min="4" max="7" width="8.33203125" customWidth="1"/>
    <col min="8" max="8" width="9.6640625" customWidth="1"/>
    <col min="9" max="9" width="8.33203125" customWidth="1"/>
    <col min="10" max="10" width="7.6640625" customWidth="1"/>
    <col min="11" max="11" width="9.6640625" customWidth="1"/>
    <col min="12" max="12" width="14.1640625" customWidth="1"/>
    <col min="13" max="13" width="25.5" customWidth="1"/>
    <col min="14" max="15" width="9.6640625" hidden="1" customWidth="1"/>
    <col min="16" max="16" width="9.6640625" customWidth="1"/>
    <col min="17" max="17" width="12.83203125" customWidth="1"/>
    <col min="18" max="19" width="16.1640625" customWidth="1"/>
    <col min="20" max="20" width="78.6640625" customWidth="1"/>
    <col min="21" max="21" width="78.1640625" customWidth="1"/>
    <col min="22" max="22" width="27.1640625" customWidth="1"/>
  </cols>
  <sheetData>
    <row r="1" spans="1:42" ht="22.5" customHeight="1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3" t="s">
        <v>8</v>
      </c>
      <c r="J1" s="3" t="s">
        <v>9</v>
      </c>
      <c r="K1" s="2" t="s">
        <v>10</v>
      </c>
      <c r="L1" s="4" t="s">
        <v>11</v>
      </c>
      <c r="M1" s="4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6" t="s">
        <v>19</v>
      </c>
      <c r="U1" s="6" t="s">
        <v>20</v>
      </c>
      <c r="V1" s="4" t="s">
        <v>21</v>
      </c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</row>
    <row r="2" spans="1:42" ht="22.5" customHeight="1">
      <c r="A2" s="8"/>
      <c r="B2" s="9" t="s">
        <v>22</v>
      </c>
      <c r="C2" s="10">
        <v>4</v>
      </c>
      <c r="D2" s="10"/>
      <c r="E2" s="10">
        <v>4</v>
      </c>
      <c r="F2" s="10"/>
      <c r="G2" s="10">
        <f t="shared" ref="G2:G26" si="0">CEILING(MAX(C2-E2+D2-F2, 0)/I2,1)*I2</f>
        <v>0</v>
      </c>
      <c r="H2" s="9"/>
      <c r="I2" s="10">
        <v>1</v>
      </c>
      <c r="J2" s="10">
        <f t="shared" ref="J2:J24" si="1">G2/I2</f>
        <v>0</v>
      </c>
      <c r="K2" s="9">
        <f t="shared" ref="K2:K256" si="2">H2*G2</f>
        <v>0</v>
      </c>
      <c r="L2" s="11" t="s">
        <v>23</v>
      </c>
      <c r="M2" s="11" t="s">
        <v>24</v>
      </c>
      <c r="N2" s="12" t="str">
        <f t="shared" ref="N2:N256" si="3">B2&amp;"|"&amp;L2&amp;"|"&amp;M2</f>
        <v>Sample Hold|(unknown)|22x22 No2 Coverglass</v>
      </c>
      <c r="O2" s="12">
        <f t="shared" ref="O2:O256" si="4">COUNTIF($N$2:$N929, N2)</f>
        <v>1</v>
      </c>
      <c r="P2" s="12"/>
      <c r="Q2" s="12"/>
      <c r="R2" s="13"/>
      <c r="S2" s="13"/>
      <c r="T2" s="13" t="s">
        <v>25</v>
      </c>
      <c r="U2" s="11" t="s">
        <v>26</v>
      </c>
      <c r="V2" s="11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</row>
    <row r="3" spans="1:42" ht="22.5" customHeight="1">
      <c r="A3" s="8"/>
      <c r="B3" s="9" t="s">
        <v>27</v>
      </c>
      <c r="C3" s="10">
        <v>1</v>
      </c>
      <c r="D3" s="10"/>
      <c r="E3" s="10">
        <v>1</v>
      </c>
      <c r="F3" s="10"/>
      <c r="G3" s="10">
        <f t="shared" si="0"/>
        <v>0</v>
      </c>
      <c r="H3" s="9"/>
      <c r="I3" s="10">
        <v>1</v>
      </c>
      <c r="J3" s="10">
        <f t="shared" si="1"/>
        <v>0</v>
      </c>
      <c r="K3" s="9">
        <f t="shared" si="2"/>
        <v>0</v>
      </c>
      <c r="L3" s="11" t="s">
        <v>28</v>
      </c>
      <c r="M3" s="11" t="s">
        <v>29</v>
      </c>
      <c r="N3" s="12" t="str">
        <f t="shared" si="3"/>
        <v>Imaging|Chroma|Remote Mirror (2x2x1 mm3)</v>
      </c>
      <c r="O3" s="12">
        <f t="shared" si="4"/>
        <v>1</v>
      </c>
      <c r="P3" s="12"/>
      <c r="Q3" s="12"/>
      <c r="R3" s="13"/>
      <c r="S3" s="13"/>
      <c r="T3" s="13" t="s">
        <v>30</v>
      </c>
      <c r="U3" s="11"/>
      <c r="V3" s="11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</row>
    <row r="4" spans="1:42" ht="22.5" customHeight="1">
      <c r="A4" s="8"/>
      <c r="B4" s="9" t="s">
        <v>31</v>
      </c>
      <c r="C4" s="10">
        <v>1</v>
      </c>
      <c r="D4" s="10"/>
      <c r="E4" s="10">
        <v>1</v>
      </c>
      <c r="F4" s="10"/>
      <c r="G4" s="10">
        <f t="shared" si="0"/>
        <v>0</v>
      </c>
      <c r="H4" s="9"/>
      <c r="I4" s="10">
        <v>1</v>
      </c>
      <c r="J4" s="10">
        <f t="shared" si="1"/>
        <v>0</v>
      </c>
      <c r="K4" s="9">
        <f t="shared" si="2"/>
        <v>0</v>
      </c>
      <c r="L4" s="11" t="s">
        <v>32</v>
      </c>
      <c r="M4" s="11" t="s">
        <v>33</v>
      </c>
      <c r="N4" s="12" t="str">
        <f t="shared" si="3"/>
        <v>Illumination|CUSTOM|3DP-eye-mask-mount</v>
      </c>
      <c r="O4" s="12">
        <f t="shared" si="4"/>
        <v>1</v>
      </c>
      <c r="P4" s="12"/>
      <c r="Q4" s="12"/>
      <c r="R4" s="13"/>
      <c r="S4" s="13"/>
      <c r="T4" s="13" t="s">
        <v>34</v>
      </c>
      <c r="U4" s="11" t="s">
        <v>26</v>
      </c>
      <c r="V4" s="11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</row>
    <row r="5" spans="1:42" ht="22.5" customHeight="1">
      <c r="A5" s="8"/>
      <c r="B5" s="9" t="s">
        <v>22</v>
      </c>
      <c r="C5" s="10">
        <v>1</v>
      </c>
      <c r="D5" s="10"/>
      <c r="E5" s="10">
        <v>1</v>
      </c>
      <c r="F5" s="10"/>
      <c r="G5" s="10">
        <f t="shared" si="0"/>
        <v>0</v>
      </c>
      <c r="H5" s="9"/>
      <c r="I5" s="10">
        <v>1</v>
      </c>
      <c r="J5" s="10">
        <f t="shared" si="1"/>
        <v>0</v>
      </c>
      <c r="K5" s="9">
        <f t="shared" si="2"/>
        <v>0</v>
      </c>
      <c r="L5" s="11" t="s">
        <v>32</v>
      </c>
      <c r="M5" s="11" t="s">
        <v>35</v>
      </c>
      <c r="N5" s="12" t="str">
        <f t="shared" si="3"/>
        <v>Sample Hold|CUSTOM|3DP-fish-holder-base</v>
      </c>
      <c r="O5" s="12">
        <f t="shared" si="4"/>
        <v>1</v>
      </c>
      <c r="P5" s="12"/>
      <c r="Q5" s="12"/>
      <c r="R5" s="13"/>
      <c r="S5" s="13"/>
      <c r="T5" s="13" t="s">
        <v>36</v>
      </c>
      <c r="U5" s="11" t="s">
        <v>26</v>
      </c>
      <c r="V5" s="11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</row>
    <row r="6" spans="1:42" ht="22.5" customHeight="1">
      <c r="A6" s="8"/>
      <c r="B6" s="9" t="s">
        <v>22</v>
      </c>
      <c r="C6" s="10">
        <v>1</v>
      </c>
      <c r="D6" s="10"/>
      <c r="E6" s="10">
        <v>1</v>
      </c>
      <c r="F6" s="10"/>
      <c r="G6" s="10">
        <f t="shared" si="0"/>
        <v>0</v>
      </c>
      <c r="H6" s="9"/>
      <c r="I6" s="10">
        <v>1</v>
      </c>
      <c r="J6" s="10">
        <f t="shared" si="1"/>
        <v>0</v>
      </c>
      <c r="K6" s="9">
        <f t="shared" si="2"/>
        <v>0</v>
      </c>
      <c r="L6" s="11" t="s">
        <v>32</v>
      </c>
      <c r="M6" s="11" t="s">
        <v>37</v>
      </c>
      <c r="N6" s="12" t="str">
        <f t="shared" si="3"/>
        <v>Sample Hold|CUSTOM|CNC-fish-holder-bracket</v>
      </c>
      <c r="O6" s="12">
        <f t="shared" si="4"/>
        <v>1</v>
      </c>
      <c r="P6" s="12" t="s">
        <v>38</v>
      </c>
      <c r="Q6" s="12"/>
      <c r="R6" s="13"/>
      <c r="S6" s="13"/>
      <c r="T6" s="13" t="s">
        <v>39</v>
      </c>
      <c r="U6" s="11" t="s">
        <v>26</v>
      </c>
      <c r="V6" s="11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</row>
    <row r="7" spans="1:42" ht="22.5" customHeight="1">
      <c r="A7" s="8"/>
      <c r="B7" s="9" t="s">
        <v>31</v>
      </c>
      <c r="C7" s="10">
        <v>1</v>
      </c>
      <c r="D7" s="10"/>
      <c r="E7" s="10">
        <v>1</v>
      </c>
      <c r="F7" s="10"/>
      <c r="G7" s="10">
        <f t="shared" si="0"/>
        <v>0</v>
      </c>
      <c r="H7" s="9"/>
      <c r="I7" s="10">
        <v>1</v>
      </c>
      <c r="J7" s="10">
        <f t="shared" si="1"/>
        <v>0</v>
      </c>
      <c r="K7" s="9">
        <f t="shared" si="2"/>
        <v>0</v>
      </c>
      <c r="L7" s="11" t="s">
        <v>32</v>
      </c>
      <c r="M7" s="11" t="s">
        <v>40</v>
      </c>
      <c r="N7" s="12" t="str">
        <f t="shared" si="3"/>
        <v>Illumination|CUSTOM|CNC-galvo-to-60mm-adapter</v>
      </c>
      <c r="O7" s="12">
        <f t="shared" si="4"/>
        <v>1</v>
      </c>
      <c r="P7" s="12" t="s">
        <v>38</v>
      </c>
      <c r="Q7" s="12"/>
      <c r="R7" s="13"/>
      <c r="S7" s="13"/>
      <c r="T7" s="13" t="s">
        <v>41</v>
      </c>
      <c r="U7" s="11" t="s">
        <v>26</v>
      </c>
      <c r="V7" s="11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</row>
    <row r="8" spans="1:42" ht="22.5" customHeight="1">
      <c r="A8" s="8"/>
      <c r="B8" s="9" t="s">
        <v>27</v>
      </c>
      <c r="C8" s="10">
        <v>1</v>
      </c>
      <c r="D8" s="10"/>
      <c r="E8" s="10"/>
      <c r="F8" s="10">
        <v>1</v>
      </c>
      <c r="G8" s="10">
        <f t="shared" si="0"/>
        <v>0</v>
      </c>
      <c r="H8" s="9"/>
      <c r="I8" s="10">
        <v>1</v>
      </c>
      <c r="J8" s="10">
        <f t="shared" si="1"/>
        <v>0</v>
      </c>
      <c r="K8" s="9">
        <f t="shared" si="2"/>
        <v>0</v>
      </c>
      <c r="L8" s="11" t="s">
        <v>32</v>
      </c>
      <c r="M8" s="11" t="s">
        <v>42</v>
      </c>
      <c r="N8" s="12" t="str">
        <f t="shared" si="3"/>
        <v>Imaging|CUSTOM|cnc-piezo-mount-001</v>
      </c>
      <c r="O8" s="12">
        <f t="shared" si="4"/>
        <v>1</v>
      </c>
      <c r="P8" s="12"/>
      <c r="Q8" s="12"/>
      <c r="R8" s="13"/>
      <c r="S8" s="13"/>
      <c r="T8" s="13"/>
      <c r="U8" s="11" t="s">
        <v>43</v>
      </c>
      <c r="V8" s="11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</row>
    <row r="9" spans="1:42" ht="22.5" customHeight="1">
      <c r="A9" s="8"/>
      <c r="B9" s="9"/>
      <c r="C9" s="10"/>
      <c r="D9" s="10"/>
      <c r="E9" s="10"/>
      <c r="F9" s="10"/>
      <c r="G9" s="10">
        <f t="shared" si="0"/>
        <v>0</v>
      </c>
      <c r="H9" s="9"/>
      <c r="I9" s="10">
        <v>1</v>
      </c>
      <c r="J9" s="10">
        <f t="shared" si="1"/>
        <v>0</v>
      </c>
      <c r="K9" s="9">
        <f t="shared" si="2"/>
        <v>0</v>
      </c>
      <c r="L9" s="11" t="s">
        <v>32</v>
      </c>
      <c r="M9" s="11" t="s">
        <v>44</v>
      </c>
      <c r="N9" s="12" t="str">
        <f t="shared" si="3"/>
        <v>|CUSTOM|custom-001</v>
      </c>
      <c r="O9" s="12">
        <f t="shared" si="4"/>
        <v>1</v>
      </c>
      <c r="P9" s="12"/>
      <c r="Q9" s="12"/>
      <c r="R9" s="13"/>
      <c r="S9" s="13"/>
      <c r="T9" s="13" t="s">
        <v>45</v>
      </c>
      <c r="U9" s="11" t="s">
        <v>46</v>
      </c>
      <c r="V9" s="11"/>
    </row>
    <row r="10" spans="1:42" ht="22.5" customHeight="1">
      <c r="A10" s="8"/>
      <c r="B10" s="9"/>
      <c r="C10" s="10"/>
      <c r="D10" s="10"/>
      <c r="E10" s="10"/>
      <c r="F10" s="10"/>
      <c r="G10" s="10">
        <f t="shared" si="0"/>
        <v>0</v>
      </c>
      <c r="H10" s="9"/>
      <c r="I10" s="10">
        <v>1</v>
      </c>
      <c r="J10" s="10">
        <f t="shared" si="1"/>
        <v>0</v>
      </c>
      <c r="K10" s="9">
        <f t="shared" si="2"/>
        <v>0</v>
      </c>
      <c r="L10" s="11" t="s">
        <v>32</v>
      </c>
      <c r="M10" s="11" t="s">
        <v>47</v>
      </c>
      <c r="N10" s="12" t="str">
        <f t="shared" si="3"/>
        <v>|CUSTOM|custom-002</v>
      </c>
      <c r="O10" s="12">
        <f t="shared" si="4"/>
        <v>1</v>
      </c>
      <c r="P10" s="12"/>
      <c r="Q10" s="12"/>
      <c r="R10" s="13"/>
      <c r="S10" s="13"/>
      <c r="T10" s="13" t="s">
        <v>48</v>
      </c>
      <c r="U10" s="11" t="s">
        <v>46</v>
      </c>
      <c r="V10" s="11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</row>
    <row r="11" spans="1:42" ht="22.5" customHeight="1">
      <c r="A11" s="8"/>
      <c r="B11" s="9"/>
      <c r="C11" s="10"/>
      <c r="D11" s="10"/>
      <c r="E11" s="10">
        <v>1</v>
      </c>
      <c r="F11" s="10"/>
      <c r="G11" s="10">
        <f t="shared" si="0"/>
        <v>0</v>
      </c>
      <c r="H11" s="9"/>
      <c r="I11" s="10">
        <v>1</v>
      </c>
      <c r="J11" s="10">
        <f t="shared" si="1"/>
        <v>0</v>
      </c>
      <c r="K11" s="9">
        <f t="shared" si="2"/>
        <v>0</v>
      </c>
      <c r="L11" s="11" t="s">
        <v>32</v>
      </c>
      <c r="M11" s="11" t="s">
        <v>49</v>
      </c>
      <c r="N11" s="12" t="str">
        <f t="shared" si="3"/>
        <v>|CUSTOM|custom-003</v>
      </c>
      <c r="O11" s="12">
        <f t="shared" si="4"/>
        <v>1</v>
      </c>
      <c r="P11" s="12"/>
      <c r="Q11" s="12"/>
      <c r="R11" s="13"/>
      <c r="S11" s="13"/>
      <c r="T11" s="13" t="s">
        <v>50</v>
      </c>
      <c r="U11" s="11" t="s">
        <v>46</v>
      </c>
      <c r="V11" s="11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</row>
    <row r="12" spans="1:42" ht="22.5" customHeight="1">
      <c r="A12" s="8"/>
      <c r="B12" s="9"/>
      <c r="C12" s="10"/>
      <c r="D12" s="10"/>
      <c r="E12" s="10">
        <v>1</v>
      </c>
      <c r="F12" s="10"/>
      <c r="G12" s="10">
        <f t="shared" si="0"/>
        <v>0</v>
      </c>
      <c r="H12" s="9"/>
      <c r="I12" s="10">
        <v>1</v>
      </c>
      <c r="J12" s="10">
        <f t="shared" si="1"/>
        <v>0</v>
      </c>
      <c r="K12" s="9">
        <f t="shared" si="2"/>
        <v>0</v>
      </c>
      <c r="L12" s="11" t="s">
        <v>32</v>
      </c>
      <c r="M12" s="11" t="s">
        <v>51</v>
      </c>
      <c r="N12" s="12" t="str">
        <f t="shared" si="3"/>
        <v>|CUSTOM|custom-004</v>
      </c>
      <c r="O12" s="12">
        <f t="shared" si="4"/>
        <v>1</v>
      </c>
      <c r="P12" s="12"/>
      <c r="Q12" s="12"/>
      <c r="R12" s="13"/>
      <c r="S12" s="13"/>
      <c r="T12" s="13" t="s">
        <v>52</v>
      </c>
      <c r="U12" s="11" t="s">
        <v>46</v>
      </c>
      <c r="V12" s="11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</row>
    <row r="13" spans="1:42" ht="22.5" customHeight="1">
      <c r="A13" s="8"/>
      <c r="B13" s="9"/>
      <c r="C13" s="10"/>
      <c r="D13" s="10"/>
      <c r="E13" s="10">
        <v>1</v>
      </c>
      <c r="F13" s="10"/>
      <c r="G13" s="10">
        <f t="shared" si="0"/>
        <v>0</v>
      </c>
      <c r="H13" s="9"/>
      <c r="I13" s="10">
        <v>1</v>
      </c>
      <c r="J13" s="10">
        <f t="shared" si="1"/>
        <v>0</v>
      </c>
      <c r="K13" s="9">
        <f t="shared" si="2"/>
        <v>0</v>
      </c>
      <c r="L13" s="11" t="s">
        <v>32</v>
      </c>
      <c r="M13" s="11" t="s">
        <v>53</v>
      </c>
      <c r="N13" s="12" t="str">
        <f t="shared" si="3"/>
        <v>|CUSTOM|custom-005</v>
      </c>
      <c r="O13" s="12">
        <f t="shared" si="4"/>
        <v>1</v>
      </c>
      <c r="P13" s="12"/>
      <c r="Q13" s="12"/>
      <c r="R13" s="13"/>
      <c r="S13" s="13"/>
      <c r="T13" s="13" t="s">
        <v>54</v>
      </c>
      <c r="U13" s="11" t="s">
        <v>46</v>
      </c>
      <c r="V13" s="11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</row>
    <row r="14" spans="1:42" ht="22.5" customHeight="1">
      <c r="A14" s="8"/>
      <c r="B14" s="9"/>
      <c r="C14" s="10"/>
      <c r="D14" s="10"/>
      <c r="E14" s="10">
        <v>1</v>
      </c>
      <c r="F14" s="10"/>
      <c r="G14" s="10">
        <f t="shared" si="0"/>
        <v>0</v>
      </c>
      <c r="H14" s="9"/>
      <c r="I14" s="10">
        <v>1</v>
      </c>
      <c r="J14" s="10">
        <f t="shared" si="1"/>
        <v>0</v>
      </c>
      <c r="K14" s="9">
        <f t="shared" si="2"/>
        <v>0</v>
      </c>
      <c r="L14" s="11" t="s">
        <v>32</v>
      </c>
      <c r="M14" s="11" t="s">
        <v>55</v>
      </c>
      <c r="N14" s="12" t="str">
        <f t="shared" si="3"/>
        <v>|CUSTOM|custom-006</v>
      </c>
      <c r="O14" s="12">
        <f t="shared" si="4"/>
        <v>1</v>
      </c>
      <c r="P14" s="12"/>
      <c r="Q14" s="12"/>
      <c r="R14" s="13"/>
      <c r="S14" s="13"/>
      <c r="T14" s="13" t="s">
        <v>56</v>
      </c>
      <c r="U14" s="11" t="s">
        <v>46</v>
      </c>
      <c r="V14" s="11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</row>
    <row r="15" spans="1:42" ht="22.5" customHeight="1">
      <c r="A15" s="8"/>
      <c r="B15" s="9"/>
      <c r="C15" s="10"/>
      <c r="D15" s="10"/>
      <c r="E15" s="10">
        <v>1</v>
      </c>
      <c r="F15" s="10"/>
      <c r="G15" s="10">
        <f t="shared" si="0"/>
        <v>0</v>
      </c>
      <c r="H15" s="9"/>
      <c r="I15" s="10">
        <v>1</v>
      </c>
      <c r="J15" s="10">
        <f t="shared" si="1"/>
        <v>0</v>
      </c>
      <c r="K15" s="9">
        <f t="shared" si="2"/>
        <v>0</v>
      </c>
      <c r="L15" s="11" t="s">
        <v>32</v>
      </c>
      <c r="M15" s="11" t="s">
        <v>57</v>
      </c>
      <c r="N15" s="12" t="str">
        <f t="shared" si="3"/>
        <v>|CUSTOM|custom-007</v>
      </c>
      <c r="O15" s="12">
        <f t="shared" si="4"/>
        <v>1</v>
      </c>
      <c r="P15" s="12"/>
      <c r="Q15" s="12"/>
      <c r="R15" s="13"/>
      <c r="S15" s="13"/>
      <c r="T15" s="13" t="s">
        <v>41</v>
      </c>
      <c r="U15" s="11" t="s">
        <v>46</v>
      </c>
      <c r="V15" s="11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</row>
    <row r="16" spans="1:42" ht="22.5" customHeight="1">
      <c r="A16" s="8"/>
      <c r="B16" s="9"/>
      <c r="C16" s="10"/>
      <c r="D16" s="10"/>
      <c r="E16" s="10">
        <v>1</v>
      </c>
      <c r="F16" s="10"/>
      <c r="G16" s="10">
        <f t="shared" si="0"/>
        <v>0</v>
      </c>
      <c r="H16" s="9"/>
      <c r="I16" s="10">
        <v>1</v>
      </c>
      <c r="J16" s="10">
        <f t="shared" si="1"/>
        <v>0</v>
      </c>
      <c r="K16" s="9">
        <f t="shared" si="2"/>
        <v>0</v>
      </c>
      <c r="L16" s="11" t="s">
        <v>32</v>
      </c>
      <c r="M16" s="11" t="s">
        <v>58</v>
      </c>
      <c r="N16" s="12" t="str">
        <f t="shared" si="3"/>
        <v>|CUSTOM|custom-008</v>
      </c>
      <c r="O16" s="12">
        <f t="shared" si="4"/>
        <v>1</v>
      </c>
      <c r="P16" s="12"/>
      <c r="Q16" s="12"/>
      <c r="R16" s="13"/>
      <c r="S16" s="13"/>
      <c r="T16" s="13" t="s">
        <v>59</v>
      </c>
      <c r="U16" s="11" t="s">
        <v>46</v>
      </c>
      <c r="V16" s="11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</row>
    <row r="17" spans="1:42" ht="22.5" customHeight="1">
      <c r="A17" s="8"/>
      <c r="B17" s="9"/>
      <c r="C17" s="10"/>
      <c r="D17" s="10"/>
      <c r="E17" s="10">
        <v>1</v>
      </c>
      <c r="F17" s="10"/>
      <c r="G17" s="10">
        <f t="shared" si="0"/>
        <v>0</v>
      </c>
      <c r="H17" s="9"/>
      <c r="I17" s="10">
        <v>1</v>
      </c>
      <c r="J17" s="10">
        <f t="shared" si="1"/>
        <v>0</v>
      </c>
      <c r="K17" s="9">
        <f t="shared" si="2"/>
        <v>0</v>
      </c>
      <c r="L17" s="11" t="s">
        <v>32</v>
      </c>
      <c r="M17" s="11" t="s">
        <v>60</v>
      </c>
      <c r="N17" s="12" t="str">
        <f t="shared" si="3"/>
        <v>|CUSTOM|custom-009</v>
      </c>
      <c r="O17" s="12">
        <f t="shared" si="4"/>
        <v>1</v>
      </c>
      <c r="P17" s="12"/>
      <c r="Q17" s="12"/>
      <c r="R17" s="13"/>
      <c r="S17" s="13"/>
      <c r="T17" s="13" t="s">
        <v>61</v>
      </c>
      <c r="U17" s="11" t="s">
        <v>46</v>
      </c>
      <c r="V17" s="11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</row>
    <row r="18" spans="1:42" ht="22.5" customHeight="1">
      <c r="A18" s="8"/>
      <c r="B18" s="9"/>
      <c r="C18" s="10"/>
      <c r="D18" s="10"/>
      <c r="E18" s="10">
        <v>1</v>
      </c>
      <c r="F18" s="10"/>
      <c r="G18" s="10">
        <f t="shared" si="0"/>
        <v>0</v>
      </c>
      <c r="H18" s="9"/>
      <c r="I18" s="10">
        <v>1</v>
      </c>
      <c r="J18" s="10">
        <f t="shared" si="1"/>
        <v>0</v>
      </c>
      <c r="K18" s="9">
        <f t="shared" si="2"/>
        <v>0</v>
      </c>
      <c r="L18" s="11" t="s">
        <v>32</v>
      </c>
      <c r="M18" s="11" t="s">
        <v>62</v>
      </c>
      <c r="N18" s="12" t="str">
        <f t="shared" si="3"/>
        <v>|CUSTOM|custom-010</v>
      </c>
      <c r="O18" s="12">
        <f t="shared" si="4"/>
        <v>1</v>
      </c>
      <c r="P18" s="12"/>
      <c r="Q18" s="12"/>
      <c r="R18" s="13"/>
      <c r="S18" s="13"/>
      <c r="T18" s="13" t="s">
        <v>63</v>
      </c>
      <c r="U18" s="11" t="s">
        <v>46</v>
      </c>
      <c r="V18" s="11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</row>
    <row r="19" spans="1:42" ht="22.5" customHeight="1">
      <c r="A19" s="8"/>
      <c r="B19" s="9"/>
      <c r="C19" s="10"/>
      <c r="D19" s="10"/>
      <c r="E19" s="10">
        <v>1</v>
      </c>
      <c r="F19" s="10"/>
      <c r="G19" s="10">
        <f t="shared" si="0"/>
        <v>0</v>
      </c>
      <c r="H19" s="9"/>
      <c r="I19" s="10">
        <v>1</v>
      </c>
      <c r="J19" s="10">
        <f t="shared" si="1"/>
        <v>0</v>
      </c>
      <c r="K19" s="9">
        <f t="shared" si="2"/>
        <v>0</v>
      </c>
      <c r="L19" s="11" t="s">
        <v>32</v>
      </c>
      <c r="M19" s="11" t="s">
        <v>64</v>
      </c>
      <c r="N19" s="12" t="str">
        <f t="shared" si="3"/>
        <v>|CUSTOM|custom-011</v>
      </c>
      <c r="O19" s="12">
        <f t="shared" si="4"/>
        <v>1</v>
      </c>
      <c r="P19" s="12"/>
      <c r="Q19" s="12"/>
      <c r="R19" s="13"/>
      <c r="S19" s="13"/>
      <c r="T19" s="13" t="s">
        <v>65</v>
      </c>
      <c r="U19" s="11" t="s">
        <v>46</v>
      </c>
      <c r="V19" s="11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</row>
    <row r="20" spans="1:42" ht="22.5" customHeight="1">
      <c r="A20" s="8"/>
      <c r="B20" s="9"/>
      <c r="C20" s="10"/>
      <c r="D20" s="10"/>
      <c r="E20" s="10">
        <v>1</v>
      </c>
      <c r="F20" s="10"/>
      <c r="G20" s="10">
        <f t="shared" si="0"/>
        <v>0</v>
      </c>
      <c r="H20" s="9"/>
      <c r="I20" s="10">
        <v>1</v>
      </c>
      <c r="J20" s="10">
        <f t="shared" si="1"/>
        <v>0</v>
      </c>
      <c r="K20" s="9">
        <f t="shared" si="2"/>
        <v>0</v>
      </c>
      <c r="L20" s="11" t="s">
        <v>32</v>
      </c>
      <c r="M20" s="11" t="s">
        <v>66</v>
      </c>
      <c r="N20" s="12" t="str">
        <f t="shared" si="3"/>
        <v>|CUSTOM|custom-012</v>
      </c>
      <c r="O20" s="12">
        <f t="shared" si="4"/>
        <v>1</v>
      </c>
      <c r="P20" s="12"/>
      <c r="Q20" s="12"/>
      <c r="R20" s="13"/>
      <c r="S20" s="13"/>
      <c r="T20" s="13" t="s">
        <v>39</v>
      </c>
      <c r="U20" s="11" t="s">
        <v>46</v>
      </c>
      <c r="V20" s="11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</row>
    <row r="21" spans="1:42" ht="22.5" customHeight="1">
      <c r="A21" s="8"/>
      <c r="B21" s="9"/>
      <c r="C21" s="10"/>
      <c r="D21" s="10"/>
      <c r="E21" s="10">
        <v>1</v>
      </c>
      <c r="F21" s="10"/>
      <c r="G21" s="10">
        <f t="shared" si="0"/>
        <v>0</v>
      </c>
      <c r="H21" s="9"/>
      <c r="I21" s="10">
        <v>1</v>
      </c>
      <c r="J21" s="10">
        <f t="shared" si="1"/>
        <v>0</v>
      </c>
      <c r="K21" s="9">
        <f t="shared" si="2"/>
        <v>0</v>
      </c>
      <c r="L21" s="11" t="s">
        <v>32</v>
      </c>
      <c r="M21" s="11" t="s">
        <v>67</v>
      </c>
      <c r="N21" s="12" t="str">
        <f t="shared" si="3"/>
        <v>|CUSTOM|custom-013</v>
      </c>
      <c r="O21" s="12">
        <f t="shared" si="4"/>
        <v>1</v>
      </c>
      <c r="P21" s="12"/>
      <c r="Q21" s="12"/>
      <c r="R21" s="13"/>
      <c r="S21" s="13"/>
      <c r="T21" s="13" t="s">
        <v>68</v>
      </c>
      <c r="U21" s="11" t="s">
        <v>46</v>
      </c>
      <c r="V21" s="11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</row>
    <row r="22" spans="1:42" ht="22.5" customHeight="1">
      <c r="A22" s="8"/>
      <c r="B22" s="9" t="s">
        <v>31</v>
      </c>
      <c r="C22" s="10">
        <v>1</v>
      </c>
      <c r="D22" s="10"/>
      <c r="E22" s="10">
        <v>1</v>
      </c>
      <c r="F22" s="10"/>
      <c r="G22" s="10">
        <f t="shared" si="0"/>
        <v>0</v>
      </c>
      <c r="H22" s="9"/>
      <c r="I22" s="10">
        <v>1</v>
      </c>
      <c r="J22" s="10">
        <f t="shared" si="1"/>
        <v>0</v>
      </c>
      <c r="K22" s="9">
        <f t="shared" si="2"/>
        <v>0</v>
      </c>
      <c r="L22" s="11" t="s">
        <v>32</v>
      </c>
      <c r="M22" s="11" t="s">
        <v>69</v>
      </c>
      <c r="N22" s="12" t="str">
        <f t="shared" si="3"/>
        <v>Illumination|CUSTOM|Customized optical mask</v>
      </c>
      <c r="O22" s="12">
        <f t="shared" si="4"/>
        <v>1</v>
      </c>
      <c r="P22" s="12"/>
      <c r="Q22" s="12"/>
      <c r="R22" s="13"/>
      <c r="S22" s="13"/>
      <c r="T22" s="13" t="s">
        <v>70</v>
      </c>
      <c r="U22" s="11"/>
      <c r="V22" s="11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</row>
    <row r="23" spans="1:42" ht="22.5" customHeight="1">
      <c r="A23" s="8"/>
      <c r="B23" s="9" t="s">
        <v>22</v>
      </c>
      <c r="C23" s="10">
        <v>1</v>
      </c>
      <c r="D23" s="10"/>
      <c r="E23" s="10">
        <v>1</v>
      </c>
      <c r="F23" s="10"/>
      <c r="G23" s="10">
        <f t="shared" si="0"/>
        <v>0</v>
      </c>
      <c r="H23" s="9"/>
      <c r="I23" s="10">
        <v>1</v>
      </c>
      <c r="J23" s="10">
        <f t="shared" si="1"/>
        <v>0</v>
      </c>
      <c r="K23" s="9">
        <f t="shared" si="2"/>
        <v>0</v>
      </c>
      <c r="L23" s="11" t="s">
        <v>32</v>
      </c>
      <c r="M23" s="11" t="s">
        <v>71</v>
      </c>
      <c r="N23" s="12" t="str">
        <f t="shared" si="3"/>
        <v>Sample Hold|CUSTOM|Zebrafish sample chamber</v>
      </c>
      <c r="O23" s="12">
        <f t="shared" si="4"/>
        <v>1</v>
      </c>
      <c r="P23" s="12"/>
      <c r="Q23" s="12"/>
      <c r="R23" s="13"/>
      <c r="S23" s="13"/>
      <c r="T23" s="13" t="s">
        <v>72</v>
      </c>
      <c r="U23" s="11" t="s">
        <v>46</v>
      </c>
      <c r="V23" s="11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</row>
    <row r="24" spans="1:42" ht="22.5" customHeight="1">
      <c r="A24" s="8"/>
      <c r="B24" s="9"/>
      <c r="C24" s="10"/>
      <c r="D24" s="10"/>
      <c r="E24" s="10"/>
      <c r="F24" s="10"/>
      <c r="G24" s="10">
        <f t="shared" si="0"/>
        <v>0</v>
      </c>
      <c r="H24" s="9"/>
      <c r="I24" s="10">
        <v>1</v>
      </c>
      <c r="J24" s="10">
        <f t="shared" si="1"/>
        <v>0</v>
      </c>
      <c r="K24" s="9">
        <f t="shared" si="2"/>
        <v>0</v>
      </c>
      <c r="L24" s="9" t="s">
        <v>32</v>
      </c>
      <c r="M24" s="9"/>
      <c r="N24" s="12" t="str">
        <f t="shared" si="3"/>
        <v>|CUSTOM|</v>
      </c>
      <c r="O24" s="12">
        <f t="shared" si="4"/>
        <v>1</v>
      </c>
      <c r="P24" s="12"/>
      <c r="Q24" s="12"/>
      <c r="R24" s="13"/>
      <c r="S24" s="13"/>
      <c r="T24" s="13" t="s">
        <v>73</v>
      </c>
      <c r="U24" s="11"/>
      <c r="V24" s="9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</row>
    <row r="25" spans="1:42" ht="22.5" customHeight="1">
      <c r="A25" s="8"/>
      <c r="B25" s="9" t="s">
        <v>31</v>
      </c>
      <c r="C25" s="10">
        <v>1</v>
      </c>
      <c r="D25" s="10"/>
      <c r="E25" s="10">
        <v>1</v>
      </c>
      <c r="F25" s="10"/>
      <c r="G25" s="10">
        <f t="shared" si="0"/>
        <v>0</v>
      </c>
      <c r="H25" s="9"/>
      <c r="I25" s="10">
        <v>1</v>
      </c>
      <c r="J25" s="10">
        <v>1</v>
      </c>
      <c r="K25" s="9">
        <f t="shared" si="2"/>
        <v>0</v>
      </c>
      <c r="L25" s="11" t="s">
        <v>74</v>
      </c>
      <c r="M25" s="11" t="s">
        <v>75</v>
      </c>
      <c r="N25" s="12" t="str">
        <f t="shared" si="3"/>
        <v>Illumination|Edmund Optics|16-043</v>
      </c>
      <c r="O25" s="12">
        <f t="shared" si="4"/>
        <v>1</v>
      </c>
      <c r="P25" s="12"/>
      <c r="Q25" s="12"/>
      <c r="R25" s="13" t="s">
        <v>76</v>
      </c>
      <c r="S25" s="13" t="s">
        <v>77</v>
      </c>
      <c r="T25" s="13" t="s">
        <v>78</v>
      </c>
      <c r="U25" s="15" t="s">
        <v>79</v>
      </c>
      <c r="V25" s="11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</row>
    <row r="26" spans="1:42" ht="22.5" customHeight="1">
      <c r="A26" s="8"/>
      <c r="B26" s="9" t="s">
        <v>27</v>
      </c>
      <c r="C26" s="10">
        <v>1</v>
      </c>
      <c r="D26" s="10"/>
      <c r="E26" s="10">
        <v>1</v>
      </c>
      <c r="F26" s="10"/>
      <c r="G26" s="10">
        <f t="shared" si="0"/>
        <v>0</v>
      </c>
      <c r="H26" s="9"/>
      <c r="I26" s="10">
        <v>1</v>
      </c>
      <c r="J26" s="10">
        <f t="shared" ref="J26:J124" si="5">G26/I26</f>
        <v>0</v>
      </c>
      <c r="K26" s="9">
        <f t="shared" si="2"/>
        <v>0</v>
      </c>
      <c r="L26" s="11" t="s">
        <v>74</v>
      </c>
      <c r="M26" s="11" t="s">
        <v>80</v>
      </c>
      <c r="N26" s="12" t="str">
        <f t="shared" si="3"/>
        <v>Imaging|Edmund Optics|39-032</v>
      </c>
      <c r="O26" s="12">
        <f t="shared" si="4"/>
        <v>1</v>
      </c>
      <c r="P26" s="12" t="s">
        <v>38</v>
      </c>
      <c r="Q26" s="12" t="s">
        <v>81</v>
      </c>
      <c r="R26" s="13" t="s">
        <v>74</v>
      </c>
      <c r="S26" s="13" t="s">
        <v>80</v>
      </c>
      <c r="T26" s="13" t="s">
        <v>82</v>
      </c>
      <c r="U26" s="11" t="s">
        <v>43</v>
      </c>
      <c r="V26" s="11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</row>
    <row r="27" spans="1:42" ht="22.5" customHeight="1">
      <c r="A27" s="8"/>
      <c r="B27" s="9" t="s">
        <v>83</v>
      </c>
      <c r="C27" s="10"/>
      <c r="D27" s="10"/>
      <c r="E27" s="10"/>
      <c r="F27" s="10"/>
      <c r="G27" s="10">
        <v>0</v>
      </c>
      <c r="H27" s="9"/>
      <c r="I27" s="10">
        <v>1</v>
      </c>
      <c r="J27" s="10">
        <f t="shared" si="5"/>
        <v>0</v>
      </c>
      <c r="K27" s="9">
        <f t="shared" si="2"/>
        <v>0</v>
      </c>
      <c r="L27" s="11" t="s">
        <v>74</v>
      </c>
      <c r="M27" s="11" t="s">
        <v>84</v>
      </c>
      <c r="N27" s="12" t="str">
        <f t="shared" si="3"/>
        <v>Obselete/None|Edmund Optics|49-272</v>
      </c>
      <c r="O27" s="12">
        <f t="shared" si="4"/>
        <v>1</v>
      </c>
      <c r="P27" s="12"/>
      <c r="Q27" s="12"/>
      <c r="R27" s="13"/>
      <c r="S27" s="13"/>
      <c r="T27" s="13" t="s">
        <v>85</v>
      </c>
      <c r="U27" s="15" t="s">
        <v>86</v>
      </c>
      <c r="V27" s="11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</row>
    <row r="28" spans="1:42" ht="22.5" customHeight="1">
      <c r="A28" s="8"/>
      <c r="B28" s="9" t="s">
        <v>87</v>
      </c>
      <c r="C28" s="10"/>
      <c r="D28" s="10"/>
      <c r="E28" s="10"/>
      <c r="F28" s="10"/>
      <c r="G28" s="10">
        <f t="shared" ref="G28:G282" si="6">CEILING(MAX(C28-E28+D28-F28, 0)/I28,1)*I28</f>
        <v>0</v>
      </c>
      <c r="H28" s="9"/>
      <c r="I28" s="10">
        <v>1</v>
      </c>
      <c r="J28" s="10">
        <f t="shared" si="5"/>
        <v>0</v>
      </c>
      <c r="K28" s="9">
        <f t="shared" si="2"/>
        <v>0</v>
      </c>
      <c r="L28" s="9" t="s">
        <v>74</v>
      </c>
      <c r="M28" s="9" t="s">
        <v>88</v>
      </c>
      <c r="N28" s="12" t="str">
        <f t="shared" si="3"/>
        <v>Inspection Scope|Edmund Optics|58-373</v>
      </c>
      <c r="O28" s="12">
        <f t="shared" si="4"/>
        <v>1</v>
      </c>
      <c r="P28" s="12"/>
      <c r="Q28" s="12"/>
      <c r="R28" s="13"/>
      <c r="S28" s="13"/>
      <c r="T28" s="12" t="s">
        <v>89</v>
      </c>
      <c r="U28" s="11" t="s">
        <v>90</v>
      </c>
      <c r="V28" s="11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</row>
    <row r="29" spans="1:42" ht="22.5" customHeight="1">
      <c r="A29" s="8"/>
      <c r="B29" s="9" t="s">
        <v>31</v>
      </c>
      <c r="C29" s="10">
        <v>1</v>
      </c>
      <c r="D29" s="10"/>
      <c r="E29" s="10">
        <v>1</v>
      </c>
      <c r="F29" s="10"/>
      <c r="G29" s="10">
        <f t="shared" si="6"/>
        <v>0</v>
      </c>
      <c r="H29" s="9"/>
      <c r="I29" s="10">
        <v>1</v>
      </c>
      <c r="J29" s="10">
        <f t="shared" si="5"/>
        <v>0</v>
      </c>
      <c r="K29" s="9">
        <f t="shared" si="2"/>
        <v>0</v>
      </c>
      <c r="L29" s="11" t="s">
        <v>91</v>
      </c>
      <c r="M29" s="11" t="s">
        <v>92</v>
      </c>
      <c r="N29" s="12" t="str">
        <f t="shared" si="3"/>
        <v>Illumination|HÜBNER|Cobalt HS-03</v>
      </c>
      <c r="O29" s="12">
        <f t="shared" si="4"/>
        <v>1</v>
      </c>
      <c r="P29" s="12" t="s">
        <v>38</v>
      </c>
      <c r="Q29" s="12"/>
      <c r="R29" s="13"/>
      <c r="S29" s="13"/>
      <c r="T29" s="13" t="s">
        <v>93</v>
      </c>
      <c r="U29" s="11" t="s">
        <v>26</v>
      </c>
      <c r="V29" s="11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</row>
    <row r="30" spans="1:42" ht="22.5" customHeight="1">
      <c r="A30" s="8"/>
      <c r="B30" s="9" t="s">
        <v>31</v>
      </c>
      <c r="C30" s="10">
        <v>1</v>
      </c>
      <c r="D30" s="10"/>
      <c r="E30" s="10">
        <v>1</v>
      </c>
      <c r="F30" s="10"/>
      <c r="G30" s="10">
        <f t="shared" si="6"/>
        <v>0</v>
      </c>
      <c r="H30" s="9"/>
      <c r="I30" s="10">
        <v>1</v>
      </c>
      <c r="J30" s="10">
        <f t="shared" si="5"/>
        <v>0</v>
      </c>
      <c r="K30" s="9">
        <f t="shared" si="2"/>
        <v>0</v>
      </c>
      <c r="L30" s="11" t="s">
        <v>91</v>
      </c>
      <c r="M30" s="11" t="s">
        <v>94</v>
      </c>
      <c r="N30" s="12" t="str">
        <f t="shared" si="3"/>
        <v>Illumination|HÜBNER|Cobolt 06-MLD 515nm</v>
      </c>
      <c r="O30" s="12">
        <f t="shared" si="4"/>
        <v>1</v>
      </c>
      <c r="P30" s="12"/>
      <c r="Q30" s="12"/>
      <c r="R30" s="13"/>
      <c r="S30" s="13"/>
      <c r="T30" s="13" t="s">
        <v>95</v>
      </c>
      <c r="U30" s="16" t="s">
        <v>96</v>
      </c>
      <c r="V30" s="11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</row>
    <row r="31" spans="1:42" ht="22.5" customHeight="1">
      <c r="A31" s="8"/>
      <c r="B31" s="9" t="s">
        <v>27</v>
      </c>
      <c r="C31" s="10">
        <v>1</v>
      </c>
      <c r="D31" s="10"/>
      <c r="E31" s="10">
        <v>1</v>
      </c>
      <c r="F31" s="10"/>
      <c r="G31" s="10">
        <f t="shared" si="6"/>
        <v>0</v>
      </c>
      <c r="H31" s="9"/>
      <c r="I31" s="10">
        <v>1</v>
      </c>
      <c r="J31" s="10">
        <f t="shared" si="5"/>
        <v>0</v>
      </c>
      <c r="K31" s="9">
        <f t="shared" si="2"/>
        <v>0</v>
      </c>
      <c r="L31" s="11" t="s">
        <v>97</v>
      </c>
      <c r="M31" s="11" t="s">
        <v>98</v>
      </c>
      <c r="N31" s="12" t="str">
        <f t="shared" si="3"/>
        <v>Imaging|Idex|FL-004389</v>
      </c>
      <c r="O31" s="12">
        <f t="shared" si="4"/>
        <v>1</v>
      </c>
      <c r="P31" s="12"/>
      <c r="Q31" s="12"/>
      <c r="R31" s="13" t="s">
        <v>99</v>
      </c>
      <c r="S31" s="13" t="s">
        <v>100</v>
      </c>
      <c r="T31" s="13" t="s">
        <v>101</v>
      </c>
      <c r="U31" s="11"/>
      <c r="V31" s="11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</row>
    <row r="32" spans="1:42" ht="22.5" customHeight="1">
      <c r="A32" s="8"/>
      <c r="B32" s="9" t="s">
        <v>31</v>
      </c>
      <c r="C32" s="10">
        <v>1</v>
      </c>
      <c r="D32" s="10"/>
      <c r="E32" s="10">
        <v>1</v>
      </c>
      <c r="F32" s="10"/>
      <c r="G32" s="10">
        <f t="shared" si="6"/>
        <v>0</v>
      </c>
      <c r="H32" s="9"/>
      <c r="I32" s="10">
        <v>1</v>
      </c>
      <c r="J32" s="10">
        <f t="shared" si="5"/>
        <v>0</v>
      </c>
      <c r="K32" s="9">
        <f t="shared" si="2"/>
        <v>0</v>
      </c>
      <c r="L32" s="11" t="s">
        <v>102</v>
      </c>
      <c r="M32" s="11" t="s">
        <v>103</v>
      </c>
      <c r="N32" s="12" t="str">
        <f t="shared" si="3"/>
        <v>Illumination|Laserline Optics|LOCP-8.9R05-1.4</v>
      </c>
      <c r="O32" s="12">
        <f t="shared" si="4"/>
        <v>1</v>
      </c>
      <c r="P32" s="12"/>
      <c r="Q32" s="12"/>
      <c r="R32" s="13"/>
      <c r="S32" s="13"/>
      <c r="T32" s="13" t="s">
        <v>104</v>
      </c>
      <c r="U32" s="16" t="s">
        <v>105</v>
      </c>
      <c r="V32" s="11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</row>
    <row r="33" spans="1:42" ht="22.5" customHeight="1">
      <c r="A33" s="8"/>
      <c r="B33" s="9" t="s">
        <v>27</v>
      </c>
      <c r="C33" s="10">
        <v>2</v>
      </c>
      <c r="D33" s="10"/>
      <c r="E33" s="10"/>
      <c r="F33" s="10"/>
      <c r="G33" s="10">
        <f t="shared" si="6"/>
        <v>100</v>
      </c>
      <c r="H33" s="9"/>
      <c r="I33" s="10">
        <v>100</v>
      </c>
      <c r="J33" s="10">
        <f t="shared" si="5"/>
        <v>1</v>
      </c>
      <c r="K33" s="9">
        <f t="shared" si="2"/>
        <v>0</v>
      </c>
      <c r="L33" s="11" t="s">
        <v>106</v>
      </c>
      <c r="M33" s="11" t="s">
        <v>107</v>
      </c>
      <c r="N33" s="12" t="str">
        <f t="shared" si="3"/>
        <v>Imaging|McMaster-Carr|91292A108</v>
      </c>
      <c r="O33" s="12">
        <f t="shared" si="4"/>
        <v>1</v>
      </c>
      <c r="P33" s="12"/>
      <c r="Q33" s="12"/>
      <c r="R33" s="13"/>
      <c r="S33" s="13"/>
      <c r="T33" s="13" t="s">
        <v>108</v>
      </c>
      <c r="U33" s="11" t="s">
        <v>43</v>
      </c>
      <c r="V33" s="11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</row>
    <row r="34" spans="1:42" ht="22.5" customHeight="1">
      <c r="A34" s="8"/>
      <c r="B34" s="9" t="s">
        <v>31</v>
      </c>
      <c r="C34" s="10">
        <v>3</v>
      </c>
      <c r="D34" s="10">
        <v>104</v>
      </c>
      <c r="E34" s="10">
        <v>0</v>
      </c>
      <c r="F34" s="10">
        <v>100</v>
      </c>
      <c r="G34" s="10">
        <f t="shared" si="6"/>
        <v>100</v>
      </c>
      <c r="H34" s="9">
        <v>0.06</v>
      </c>
      <c r="I34" s="10">
        <v>100</v>
      </c>
      <c r="J34" s="10">
        <f t="shared" si="5"/>
        <v>1</v>
      </c>
      <c r="K34" s="9">
        <f t="shared" si="2"/>
        <v>6</v>
      </c>
      <c r="L34" s="11" t="s">
        <v>106</v>
      </c>
      <c r="M34" s="11" t="s">
        <v>109</v>
      </c>
      <c r="N34" s="12" t="str">
        <f t="shared" si="3"/>
        <v>Illumination|McMaster-Carr|91292A113</v>
      </c>
      <c r="O34" s="12">
        <f t="shared" si="4"/>
        <v>1</v>
      </c>
      <c r="P34" s="12"/>
      <c r="Q34" s="12"/>
      <c r="R34" s="13"/>
      <c r="S34" s="13"/>
      <c r="T34" s="13" t="s">
        <v>110</v>
      </c>
      <c r="U34" s="11" t="s">
        <v>111</v>
      </c>
      <c r="V34" s="11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</row>
    <row r="35" spans="1:42" ht="22.5" customHeight="1">
      <c r="A35" s="8"/>
      <c r="B35" s="9" t="s">
        <v>27</v>
      </c>
      <c r="C35" s="10">
        <v>8</v>
      </c>
      <c r="D35" s="10"/>
      <c r="E35" s="10"/>
      <c r="F35" s="10"/>
      <c r="G35" s="10">
        <f t="shared" si="6"/>
        <v>100</v>
      </c>
      <c r="H35" s="9"/>
      <c r="I35" s="10">
        <v>100</v>
      </c>
      <c r="J35" s="10">
        <f t="shared" si="5"/>
        <v>1</v>
      </c>
      <c r="K35" s="9">
        <f t="shared" si="2"/>
        <v>0</v>
      </c>
      <c r="L35" s="11" t="s">
        <v>106</v>
      </c>
      <c r="M35" s="11" t="s">
        <v>112</v>
      </c>
      <c r="N35" s="12" t="str">
        <f t="shared" si="3"/>
        <v>Imaging|McMaster-Carr|92196A144</v>
      </c>
      <c r="O35" s="12">
        <f t="shared" si="4"/>
        <v>1</v>
      </c>
      <c r="P35" s="12"/>
      <c r="Q35" s="12"/>
      <c r="R35" s="13"/>
      <c r="S35" s="13"/>
      <c r="T35" s="13" t="s">
        <v>113</v>
      </c>
      <c r="U35" s="11" t="s">
        <v>43</v>
      </c>
      <c r="V35" s="11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</row>
    <row r="36" spans="1:42" ht="22.5" customHeight="1">
      <c r="A36" s="8"/>
      <c r="B36" s="9" t="s">
        <v>31</v>
      </c>
      <c r="C36" s="10">
        <v>1</v>
      </c>
      <c r="D36" s="10"/>
      <c r="E36" s="10">
        <v>1</v>
      </c>
      <c r="F36" s="10"/>
      <c r="G36" s="10">
        <f t="shared" si="6"/>
        <v>0</v>
      </c>
      <c r="H36" s="9"/>
      <c r="I36" s="10">
        <v>1</v>
      </c>
      <c r="J36" s="10">
        <f t="shared" si="5"/>
        <v>0</v>
      </c>
      <c r="K36" s="9">
        <f t="shared" si="2"/>
        <v>0</v>
      </c>
      <c r="L36" s="11" t="s">
        <v>114</v>
      </c>
      <c r="M36" s="11" t="s">
        <v>115</v>
      </c>
      <c r="N36" s="12" t="str">
        <f t="shared" si="3"/>
        <v>Illumination|Microscope Central|1-UB950-2</v>
      </c>
      <c r="O36" s="12">
        <f t="shared" si="4"/>
        <v>1</v>
      </c>
      <c r="P36" s="12"/>
      <c r="Q36" s="12"/>
      <c r="R36" s="13" t="s">
        <v>116</v>
      </c>
      <c r="S36" s="13" t="s">
        <v>117</v>
      </c>
      <c r="T36" s="13" t="s">
        <v>118</v>
      </c>
      <c r="U36" s="15" t="s">
        <v>119</v>
      </c>
      <c r="V36" s="11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</row>
    <row r="37" spans="1:42" ht="22.5" customHeight="1">
      <c r="A37" s="8"/>
      <c r="B37" s="9" t="s">
        <v>27</v>
      </c>
      <c r="C37" s="10"/>
      <c r="D37" s="10"/>
      <c r="E37" s="10">
        <v>2</v>
      </c>
      <c r="F37" s="10"/>
      <c r="G37" s="10">
        <f t="shared" si="6"/>
        <v>0</v>
      </c>
      <c r="H37" s="9"/>
      <c r="I37" s="10">
        <v>1</v>
      </c>
      <c r="J37" s="10">
        <f t="shared" si="5"/>
        <v>0</v>
      </c>
      <c r="K37" s="9">
        <f t="shared" si="2"/>
        <v>0</v>
      </c>
      <c r="L37" s="11" t="s">
        <v>114</v>
      </c>
      <c r="M37" s="11" t="s">
        <v>120</v>
      </c>
      <c r="N37" s="12" t="str">
        <f t="shared" si="3"/>
        <v>Imaging|Microscope Central|MRD00045</v>
      </c>
      <c r="O37" s="12">
        <f t="shared" si="4"/>
        <v>1</v>
      </c>
      <c r="P37" s="12"/>
      <c r="Q37" s="12"/>
      <c r="R37" s="13"/>
      <c r="S37" s="13"/>
      <c r="T37" s="13" t="s">
        <v>121</v>
      </c>
      <c r="U37" s="15" t="s">
        <v>122</v>
      </c>
      <c r="V37" s="11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</row>
    <row r="38" spans="1:42" ht="22.5" customHeight="1">
      <c r="A38" s="8"/>
      <c r="B38" s="9" t="s">
        <v>27</v>
      </c>
      <c r="C38" s="10">
        <v>0</v>
      </c>
      <c r="D38" s="10">
        <v>6</v>
      </c>
      <c r="E38" s="10">
        <v>6</v>
      </c>
      <c r="F38" s="10">
        <v>0</v>
      </c>
      <c r="G38" s="10">
        <f t="shared" si="6"/>
        <v>0</v>
      </c>
      <c r="H38" s="9"/>
      <c r="I38" s="10">
        <v>6</v>
      </c>
      <c r="J38" s="10">
        <f t="shared" si="5"/>
        <v>0</v>
      </c>
      <c r="K38" s="9">
        <f t="shared" si="2"/>
        <v>0</v>
      </c>
      <c r="L38" s="11" t="s">
        <v>123</v>
      </c>
      <c r="M38" s="11" t="s">
        <v>124</v>
      </c>
      <c r="N38" s="12" t="str">
        <f t="shared" si="3"/>
        <v>Imaging|Newport|LT10-SP05-PK</v>
      </c>
      <c r="O38" s="12">
        <f t="shared" si="4"/>
        <v>1</v>
      </c>
      <c r="P38" s="12"/>
      <c r="Q38" s="12"/>
      <c r="R38" s="13"/>
      <c r="S38" s="13"/>
      <c r="T38" s="13"/>
      <c r="U38" s="11"/>
      <c r="V38" s="11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</row>
    <row r="39" spans="1:42" ht="22.5" customHeight="1">
      <c r="A39" s="8"/>
      <c r="B39" s="9" t="s">
        <v>27</v>
      </c>
      <c r="C39" s="10">
        <v>5</v>
      </c>
      <c r="D39" s="10">
        <v>1</v>
      </c>
      <c r="E39" s="10">
        <v>6</v>
      </c>
      <c r="F39" s="10">
        <v>0</v>
      </c>
      <c r="G39" s="10">
        <f t="shared" si="6"/>
        <v>0</v>
      </c>
      <c r="H39" s="9"/>
      <c r="I39" s="10">
        <v>6</v>
      </c>
      <c r="J39" s="10">
        <f t="shared" si="5"/>
        <v>0</v>
      </c>
      <c r="K39" s="9">
        <f t="shared" si="2"/>
        <v>0</v>
      </c>
      <c r="L39" s="9" t="s">
        <v>123</v>
      </c>
      <c r="M39" s="9" t="s">
        <v>125</v>
      </c>
      <c r="N39" s="12" t="str">
        <f t="shared" si="3"/>
        <v>Imaging|Newport|LT20-SP1-PK</v>
      </c>
      <c r="O39" s="12">
        <f t="shared" si="4"/>
        <v>1</v>
      </c>
      <c r="P39" s="12"/>
      <c r="Q39" s="12"/>
      <c r="R39" s="13"/>
      <c r="S39" s="13"/>
      <c r="T39" s="13"/>
      <c r="U39" s="11"/>
      <c r="V39" s="11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</row>
    <row r="40" spans="1:42" ht="22.5" customHeight="1">
      <c r="A40" s="8"/>
      <c r="B40" s="9" t="s">
        <v>27</v>
      </c>
      <c r="C40" s="10">
        <v>2</v>
      </c>
      <c r="D40" s="10">
        <v>4</v>
      </c>
      <c r="E40" s="10">
        <v>6</v>
      </c>
      <c r="F40" s="10">
        <v>0</v>
      </c>
      <c r="G40" s="10">
        <f t="shared" si="6"/>
        <v>0</v>
      </c>
      <c r="H40" s="9"/>
      <c r="I40" s="10">
        <v>6</v>
      </c>
      <c r="J40" s="10">
        <f t="shared" si="5"/>
        <v>0</v>
      </c>
      <c r="K40" s="9">
        <f t="shared" si="2"/>
        <v>0</v>
      </c>
      <c r="L40" s="9" t="s">
        <v>123</v>
      </c>
      <c r="M40" s="9" t="s">
        <v>126</v>
      </c>
      <c r="N40" s="12" t="str">
        <f t="shared" si="3"/>
        <v>Imaging|Newport|LT20-SP10-PK</v>
      </c>
      <c r="O40" s="12">
        <f t="shared" si="4"/>
        <v>1</v>
      </c>
      <c r="P40" s="12"/>
      <c r="Q40" s="12"/>
      <c r="R40" s="13"/>
      <c r="S40" s="13"/>
      <c r="T40" s="13"/>
      <c r="U40" s="11"/>
      <c r="V40" s="11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</row>
    <row r="41" spans="1:42" ht="22.5" customHeight="1">
      <c r="A41" s="8"/>
      <c r="B41" s="9" t="s">
        <v>27</v>
      </c>
      <c r="C41" s="10">
        <v>5</v>
      </c>
      <c r="D41" s="10">
        <v>1</v>
      </c>
      <c r="E41" s="10">
        <v>6</v>
      </c>
      <c r="F41" s="10">
        <v>0</v>
      </c>
      <c r="G41" s="10">
        <f t="shared" si="6"/>
        <v>0</v>
      </c>
      <c r="H41" s="9"/>
      <c r="I41" s="10">
        <v>6</v>
      </c>
      <c r="J41" s="10">
        <f t="shared" si="5"/>
        <v>0</v>
      </c>
      <c r="K41" s="9">
        <f t="shared" si="2"/>
        <v>0</v>
      </c>
      <c r="L41" s="9" t="s">
        <v>123</v>
      </c>
      <c r="M41" s="9" t="s">
        <v>127</v>
      </c>
      <c r="N41" s="12" t="str">
        <f t="shared" si="3"/>
        <v>Imaging|Newport|LT20-SP2-PK</v>
      </c>
      <c r="O41" s="12">
        <f t="shared" si="4"/>
        <v>1</v>
      </c>
      <c r="P41" s="12"/>
      <c r="Q41" s="12"/>
      <c r="R41" s="13"/>
      <c r="S41" s="13"/>
      <c r="T41" s="13"/>
      <c r="U41" s="11"/>
      <c r="V41" s="11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</row>
    <row r="42" spans="1:42" ht="22.5" customHeight="1">
      <c r="A42" s="8"/>
      <c r="B42" s="9" t="s">
        <v>27</v>
      </c>
      <c r="C42" s="10">
        <v>0</v>
      </c>
      <c r="D42" s="10">
        <v>6</v>
      </c>
      <c r="E42" s="10">
        <v>6</v>
      </c>
      <c r="F42" s="10">
        <v>0</v>
      </c>
      <c r="G42" s="10">
        <f t="shared" si="6"/>
        <v>0</v>
      </c>
      <c r="H42" s="9"/>
      <c r="I42" s="10">
        <v>6</v>
      </c>
      <c r="J42" s="10">
        <f t="shared" si="5"/>
        <v>0</v>
      </c>
      <c r="K42" s="9">
        <f t="shared" si="2"/>
        <v>0</v>
      </c>
      <c r="L42" s="11" t="s">
        <v>123</v>
      </c>
      <c r="M42" s="11" t="s">
        <v>128</v>
      </c>
      <c r="N42" s="12" t="str">
        <f t="shared" si="3"/>
        <v>Imaging|Newport|LT20-SP4-PK</v>
      </c>
      <c r="O42" s="12">
        <f t="shared" si="4"/>
        <v>1</v>
      </c>
      <c r="P42" s="12"/>
      <c r="Q42" s="12"/>
      <c r="R42" s="13"/>
      <c r="S42" s="13"/>
      <c r="T42" s="13"/>
      <c r="U42" s="11"/>
      <c r="V42" s="11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</row>
    <row r="43" spans="1:42" ht="22.5" customHeight="1">
      <c r="A43" s="8"/>
      <c r="B43" s="9" t="s">
        <v>27</v>
      </c>
      <c r="C43" s="10">
        <v>1</v>
      </c>
      <c r="D43" s="10"/>
      <c r="E43" s="10"/>
      <c r="F43" s="10">
        <v>1</v>
      </c>
      <c r="G43" s="10">
        <f t="shared" si="6"/>
        <v>0</v>
      </c>
      <c r="H43" s="9"/>
      <c r="I43" s="10">
        <v>1</v>
      </c>
      <c r="J43" s="10">
        <f t="shared" si="5"/>
        <v>0</v>
      </c>
      <c r="K43" s="9">
        <f t="shared" si="2"/>
        <v>0</v>
      </c>
      <c r="L43" s="11" t="s">
        <v>123</v>
      </c>
      <c r="M43" s="11" t="s">
        <v>129</v>
      </c>
      <c r="N43" s="12" t="str">
        <f t="shared" si="3"/>
        <v>Imaging|Newport|UGP-1</v>
      </c>
      <c r="O43" s="12">
        <f t="shared" si="4"/>
        <v>1</v>
      </c>
      <c r="P43" s="12"/>
      <c r="Q43" s="12"/>
      <c r="R43" s="13"/>
      <c r="S43" s="13"/>
      <c r="T43" s="13"/>
      <c r="U43" s="11" t="s">
        <v>43</v>
      </c>
      <c r="V43" s="11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</row>
    <row r="44" spans="1:42" ht="22.5" customHeight="1">
      <c r="A44" s="8"/>
      <c r="B44" s="9" t="s">
        <v>27</v>
      </c>
      <c r="C44" s="10"/>
      <c r="D44" s="10"/>
      <c r="E44" s="10">
        <v>1</v>
      </c>
      <c r="F44" s="10"/>
      <c r="G44" s="10">
        <f t="shared" si="6"/>
        <v>0</v>
      </c>
      <c r="H44" s="9"/>
      <c r="I44" s="10">
        <v>1</v>
      </c>
      <c r="J44" s="10">
        <f t="shared" si="5"/>
        <v>0</v>
      </c>
      <c r="K44" s="9">
        <f t="shared" si="2"/>
        <v>0</v>
      </c>
      <c r="L44" s="17" t="s">
        <v>130</v>
      </c>
      <c r="M44" s="11" t="s">
        <v>131</v>
      </c>
      <c r="N44" s="12" t="str">
        <f t="shared" si="3"/>
        <v>Imaging|Spach Optics|UPLANXAPO20X</v>
      </c>
      <c r="O44" s="12">
        <f t="shared" si="4"/>
        <v>1</v>
      </c>
      <c r="P44" s="12" t="s">
        <v>38</v>
      </c>
      <c r="Q44" s="12"/>
      <c r="R44" s="13" t="s">
        <v>132</v>
      </c>
      <c r="S44" s="13"/>
      <c r="T44" s="13" t="s">
        <v>133</v>
      </c>
      <c r="U44" s="16" t="s">
        <v>134</v>
      </c>
      <c r="V44" s="11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</row>
    <row r="45" spans="1:42" ht="22.5" customHeight="1">
      <c r="A45" s="8"/>
      <c r="B45" s="9" t="s">
        <v>27</v>
      </c>
      <c r="C45" s="10"/>
      <c r="D45" s="10"/>
      <c r="E45" s="10"/>
      <c r="F45" s="10"/>
      <c r="G45" s="10">
        <f t="shared" si="6"/>
        <v>0</v>
      </c>
      <c r="H45" s="9"/>
      <c r="I45" s="10">
        <v>1</v>
      </c>
      <c r="J45" s="10">
        <f t="shared" si="5"/>
        <v>0</v>
      </c>
      <c r="K45" s="9">
        <f t="shared" si="2"/>
        <v>0</v>
      </c>
      <c r="L45" s="11" t="s">
        <v>130</v>
      </c>
      <c r="M45" s="11" t="s">
        <v>135</v>
      </c>
      <c r="N45" s="12" t="str">
        <f t="shared" si="3"/>
        <v>Imaging|Spach Optics|XLUMPLANFL20X</v>
      </c>
      <c r="O45" s="12">
        <f t="shared" si="4"/>
        <v>1</v>
      </c>
      <c r="P45" s="12"/>
      <c r="Q45" s="12"/>
      <c r="R45" s="13"/>
      <c r="S45" s="13"/>
      <c r="T45" s="13" t="s">
        <v>136</v>
      </c>
      <c r="U45" s="15" t="s">
        <v>137</v>
      </c>
      <c r="V45" s="11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</row>
    <row r="46" spans="1:42" ht="22.5" customHeight="1">
      <c r="A46" s="8"/>
      <c r="B46" s="9" t="s">
        <v>31</v>
      </c>
      <c r="C46" s="10">
        <v>1</v>
      </c>
      <c r="D46" s="10"/>
      <c r="E46" s="10">
        <v>1</v>
      </c>
      <c r="F46" s="10"/>
      <c r="G46" s="10">
        <f t="shared" si="6"/>
        <v>0</v>
      </c>
      <c r="H46" s="9"/>
      <c r="I46" s="10">
        <v>1</v>
      </c>
      <c r="J46" s="10">
        <f t="shared" si="5"/>
        <v>0</v>
      </c>
      <c r="K46" s="9">
        <f t="shared" si="2"/>
        <v>0</v>
      </c>
      <c r="L46" s="11" t="s">
        <v>138</v>
      </c>
      <c r="M46" s="11" t="s">
        <v>139</v>
      </c>
      <c r="N46" s="12" t="str">
        <f t="shared" si="3"/>
        <v>Illumination|Thorlabs|AC127-050-A-ML</v>
      </c>
      <c r="O46" s="12">
        <f t="shared" si="4"/>
        <v>1</v>
      </c>
      <c r="P46" s="12"/>
      <c r="Q46" s="12"/>
      <c r="R46" s="13" t="s">
        <v>138</v>
      </c>
      <c r="S46" s="13" t="s">
        <v>139</v>
      </c>
      <c r="T46" s="13" t="s">
        <v>140</v>
      </c>
      <c r="U46" s="16" t="s">
        <v>141</v>
      </c>
      <c r="V46" s="11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</row>
    <row r="47" spans="1:42" ht="22.5" customHeight="1">
      <c r="A47" s="8"/>
      <c r="B47" s="9" t="s">
        <v>31</v>
      </c>
      <c r="C47" s="10">
        <v>1</v>
      </c>
      <c r="D47" s="10"/>
      <c r="E47" s="10">
        <v>1</v>
      </c>
      <c r="F47" s="10"/>
      <c r="G47" s="10">
        <f t="shared" si="6"/>
        <v>0</v>
      </c>
      <c r="H47" s="9"/>
      <c r="I47" s="10">
        <v>1</v>
      </c>
      <c r="J47" s="10">
        <f t="shared" si="5"/>
        <v>0</v>
      </c>
      <c r="K47" s="9">
        <f t="shared" si="2"/>
        <v>0</v>
      </c>
      <c r="L47" s="11" t="s">
        <v>138</v>
      </c>
      <c r="M47" s="11" t="s">
        <v>142</v>
      </c>
      <c r="N47" s="12" t="str">
        <f t="shared" si="3"/>
        <v>Illumination|Thorlabs|AC127-075-A-ML</v>
      </c>
      <c r="O47" s="12">
        <f t="shared" si="4"/>
        <v>1</v>
      </c>
      <c r="P47" s="12"/>
      <c r="Q47" s="12"/>
      <c r="R47" s="13" t="s">
        <v>138</v>
      </c>
      <c r="S47" s="13" t="s">
        <v>142</v>
      </c>
      <c r="T47" s="13" t="s">
        <v>143</v>
      </c>
      <c r="U47" s="16" t="s">
        <v>144</v>
      </c>
      <c r="V47" s="11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</row>
    <row r="48" spans="1:42" ht="22.5" customHeight="1">
      <c r="A48" s="8"/>
      <c r="B48" s="9" t="s">
        <v>31</v>
      </c>
      <c r="C48" s="10">
        <v>1</v>
      </c>
      <c r="D48" s="10"/>
      <c r="E48" s="10">
        <v>1</v>
      </c>
      <c r="F48" s="10"/>
      <c r="G48" s="10">
        <f t="shared" si="6"/>
        <v>0</v>
      </c>
      <c r="H48" s="9"/>
      <c r="I48" s="10">
        <v>1</v>
      </c>
      <c r="J48" s="10">
        <f t="shared" si="5"/>
        <v>0</v>
      </c>
      <c r="K48" s="9">
        <f t="shared" si="2"/>
        <v>0</v>
      </c>
      <c r="L48" s="11" t="s">
        <v>138</v>
      </c>
      <c r="M48" s="11" t="s">
        <v>145</v>
      </c>
      <c r="N48" s="12" t="str">
        <f t="shared" si="3"/>
        <v>Illumination|Thorlabs|AC254-100-A-ML</v>
      </c>
      <c r="O48" s="12">
        <f t="shared" si="4"/>
        <v>1</v>
      </c>
      <c r="P48" s="12" t="s">
        <v>38</v>
      </c>
      <c r="Q48" s="12"/>
      <c r="R48" s="13" t="s">
        <v>138</v>
      </c>
      <c r="S48" s="13" t="s">
        <v>145</v>
      </c>
      <c r="T48" s="13" t="s">
        <v>146</v>
      </c>
      <c r="U48" s="11" t="s">
        <v>26</v>
      </c>
      <c r="V48" s="11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</row>
    <row r="49" spans="1:42" ht="22.5" customHeight="1">
      <c r="A49" s="8"/>
      <c r="B49" s="9" t="s">
        <v>83</v>
      </c>
      <c r="C49" s="10"/>
      <c r="D49" s="10"/>
      <c r="E49" s="10"/>
      <c r="F49" s="10"/>
      <c r="G49" s="10">
        <f t="shared" si="6"/>
        <v>0</v>
      </c>
      <c r="H49" s="9"/>
      <c r="I49" s="10">
        <v>1</v>
      </c>
      <c r="J49" s="10">
        <f t="shared" si="5"/>
        <v>0</v>
      </c>
      <c r="K49" s="9">
        <f t="shared" si="2"/>
        <v>0</v>
      </c>
      <c r="L49" s="11" t="s">
        <v>138</v>
      </c>
      <c r="M49" s="11" t="s">
        <v>147</v>
      </c>
      <c r="N49" s="12" t="str">
        <f t="shared" si="3"/>
        <v>Obselete/None|Thorlabs|AC254-200-A-ML</v>
      </c>
      <c r="O49" s="12">
        <f t="shared" si="4"/>
        <v>1</v>
      </c>
      <c r="P49" s="12" t="s">
        <v>38</v>
      </c>
      <c r="Q49" s="12"/>
      <c r="R49" s="13" t="s">
        <v>138</v>
      </c>
      <c r="S49" s="13" t="s">
        <v>147</v>
      </c>
      <c r="T49" s="12"/>
      <c r="U49" s="11"/>
      <c r="V49" s="9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</row>
    <row r="50" spans="1:42" ht="22.5" customHeight="1">
      <c r="A50" s="8"/>
      <c r="B50" s="9" t="s">
        <v>83</v>
      </c>
      <c r="C50" s="10"/>
      <c r="D50" s="10"/>
      <c r="E50" s="10"/>
      <c r="F50" s="10"/>
      <c r="G50" s="10">
        <f t="shared" si="6"/>
        <v>0</v>
      </c>
      <c r="H50" s="9"/>
      <c r="I50" s="10">
        <v>1</v>
      </c>
      <c r="J50" s="10">
        <f t="shared" si="5"/>
        <v>0</v>
      </c>
      <c r="K50" s="9">
        <f t="shared" si="2"/>
        <v>0</v>
      </c>
      <c r="L50" s="11" t="s">
        <v>138</v>
      </c>
      <c r="M50" s="11" t="s">
        <v>148</v>
      </c>
      <c r="N50" s="12" t="str">
        <f t="shared" si="3"/>
        <v>Obselete/None|Thorlabs|ACL2520U-A</v>
      </c>
      <c r="O50" s="12">
        <f t="shared" si="4"/>
        <v>1</v>
      </c>
      <c r="P50" s="12"/>
      <c r="Q50" s="12"/>
      <c r="R50" s="13" t="s">
        <v>138</v>
      </c>
      <c r="S50" s="11" t="s">
        <v>148</v>
      </c>
      <c r="T50" s="13" t="s">
        <v>149</v>
      </c>
      <c r="U50" s="16" t="s">
        <v>150</v>
      </c>
      <c r="V50" s="11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</row>
    <row r="51" spans="1:42" ht="22.5" customHeight="1">
      <c r="A51" s="8"/>
      <c r="B51" s="9" t="s">
        <v>27</v>
      </c>
      <c r="C51" s="10">
        <v>1</v>
      </c>
      <c r="D51" s="10"/>
      <c r="E51" s="10">
        <v>1</v>
      </c>
      <c r="F51" s="10"/>
      <c r="G51" s="10">
        <f t="shared" si="6"/>
        <v>0</v>
      </c>
      <c r="H51" s="9"/>
      <c r="I51" s="10">
        <v>1</v>
      </c>
      <c r="J51" s="10">
        <f t="shared" si="5"/>
        <v>0</v>
      </c>
      <c r="K51" s="9">
        <f t="shared" si="2"/>
        <v>0</v>
      </c>
      <c r="L51" s="11" t="s">
        <v>138</v>
      </c>
      <c r="M51" s="11" t="s">
        <v>148</v>
      </c>
      <c r="N51" s="12" t="str">
        <f t="shared" si="3"/>
        <v>Imaging|Thorlabs|ACL2520U-A</v>
      </c>
      <c r="O51" s="12">
        <f t="shared" si="4"/>
        <v>1</v>
      </c>
      <c r="P51" s="12"/>
      <c r="Q51" s="12"/>
      <c r="R51" s="13"/>
      <c r="S51" s="13"/>
      <c r="T51" s="13"/>
      <c r="U51" s="11" t="s">
        <v>151</v>
      </c>
      <c r="V51" s="11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</row>
    <row r="52" spans="1:42" ht="22.5" customHeight="1">
      <c r="A52" s="8"/>
      <c r="B52" s="9" t="s">
        <v>27</v>
      </c>
      <c r="C52" s="10">
        <v>3</v>
      </c>
      <c r="D52" s="10"/>
      <c r="E52" s="10">
        <v>3</v>
      </c>
      <c r="F52" s="10">
        <v>0</v>
      </c>
      <c r="G52" s="10">
        <f t="shared" si="6"/>
        <v>0</v>
      </c>
      <c r="H52" s="9"/>
      <c r="I52" s="10">
        <v>1</v>
      </c>
      <c r="J52" s="10">
        <f t="shared" si="5"/>
        <v>0</v>
      </c>
      <c r="K52" s="9">
        <f t="shared" si="2"/>
        <v>0</v>
      </c>
      <c r="L52" s="11" t="s">
        <v>138</v>
      </c>
      <c r="M52" s="11" t="s">
        <v>152</v>
      </c>
      <c r="N52" s="12" t="str">
        <f t="shared" si="3"/>
        <v>Imaging|Thorlabs|ACT508-1000-A / ACT508-1000-A-ML</v>
      </c>
      <c r="O52" s="12">
        <f t="shared" si="4"/>
        <v>1</v>
      </c>
      <c r="P52" s="12" t="s">
        <v>38</v>
      </c>
      <c r="Q52" s="12"/>
      <c r="R52" s="13" t="s">
        <v>138</v>
      </c>
      <c r="S52" s="13" t="s">
        <v>152</v>
      </c>
      <c r="T52" s="13" t="s">
        <v>153</v>
      </c>
      <c r="U52" s="15" t="s">
        <v>154</v>
      </c>
      <c r="V52" s="11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</row>
    <row r="53" spans="1:42" ht="22.5" customHeight="1">
      <c r="A53" s="8"/>
      <c r="B53" s="9" t="s">
        <v>27</v>
      </c>
      <c r="C53" s="10">
        <v>8</v>
      </c>
      <c r="D53" s="10"/>
      <c r="E53" s="10">
        <v>8</v>
      </c>
      <c r="F53" s="10">
        <v>0</v>
      </c>
      <c r="G53" s="10">
        <f t="shared" si="6"/>
        <v>0</v>
      </c>
      <c r="H53" s="9"/>
      <c r="I53" s="10">
        <v>1</v>
      </c>
      <c r="J53" s="10">
        <f t="shared" si="5"/>
        <v>0</v>
      </c>
      <c r="K53" s="9">
        <f t="shared" si="2"/>
        <v>0</v>
      </c>
      <c r="L53" s="9" t="s">
        <v>138</v>
      </c>
      <c r="M53" s="9" t="s">
        <v>155</v>
      </c>
      <c r="N53" s="12" t="str">
        <f t="shared" si="3"/>
        <v>Imaging|Thorlabs|ACT508-750-A / ACT508-750-A-ML</v>
      </c>
      <c r="O53" s="12">
        <f t="shared" si="4"/>
        <v>1</v>
      </c>
      <c r="P53" s="12" t="s">
        <v>38</v>
      </c>
      <c r="Q53" s="12"/>
      <c r="R53" s="12" t="s">
        <v>138</v>
      </c>
      <c r="S53" s="12" t="s">
        <v>155</v>
      </c>
      <c r="T53" s="13" t="s">
        <v>156</v>
      </c>
      <c r="U53" s="18" t="s">
        <v>157</v>
      </c>
      <c r="V53" s="11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</row>
    <row r="54" spans="1:42" ht="22.5" customHeight="1">
      <c r="A54" s="8"/>
      <c r="B54" s="9" t="s">
        <v>27</v>
      </c>
      <c r="C54" s="10">
        <v>1</v>
      </c>
      <c r="D54" s="10"/>
      <c r="E54" s="10">
        <v>0</v>
      </c>
      <c r="F54" s="10"/>
      <c r="G54" s="10">
        <f t="shared" si="6"/>
        <v>1</v>
      </c>
      <c r="H54" s="9"/>
      <c r="I54" s="10">
        <v>1</v>
      </c>
      <c r="J54" s="10">
        <f t="shared" si="5"/>
        <v>1</v>
      </c>
      <c r="K54" s="9">
        <f t="shared" si="2"/>
        <v>0</v>
      </c>
      <c r="L54" s="11" t="s">
        <v>138</v>
      </c>
      <c r="M54" s="11" t="s">
        <v>158</v>
      </c>
      <c r="N54" s="12" t="str">
        <f t="shared" si="3"/>
        <v>Imaging|Thorlabs|AD11F</v>
      </c>
      <c r="O54" s="12">
        <f t="shared" si="4"/>
        <v>1</v>
      </c>
      <c r="P54" s="12"/>
      <c r="Q54" s="12"/>
      <c r="R54" s="13"/>
      <c r="S54" s="13"/>
      <c r="T54" s="13"/>
      <c r="U54" s="11" t="s">
        <v>43</v>
      </c>
      <c r="V54" s="11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</row>
    <row r="55" spans="1:42" ht="22.5" customHeight="1">
      <c r="A55" s="8"/>
      <c r="B55" s="9" t="s">
        <v>27</v>
      </c>
      <c r="C55" s="10">
        <v>1</v>
      </c>
      <c r="D55" s="10"/>
      <c r="E55" s="10">
        <v>1</v>
      </c>
      <c r="F55" s="10"/>
      <c r="G55" s="10">
        <f t="shared" si="6"/>
        <v>0</v>
      </c>
      <c r="H55" s="9"/>
      <c r="I55" s="10">
        <v>1</v>
      </c>
      <c r="J55" s="10">
        <f t="shared" si="5"/>
        <v>0</v>
      </c>
      <c r="K55" s="9">
        <f t="shared" si="2"/>
        <v>0</v>
      </c>
      <c r="L55" s="11" t="s">
        <v>138</v>
      </c>
      <c r="M55" s="11" t="s">
        <v>159</v>
      </c>
      <c r="N55" s="12" t="str">
        <f t="shared" si="3"/>
        <v>Imaging|Thorlabs|AQWP10M-580</v>
      </c>
      <c r="O55" s="12">
        <f t="shared" si="4"/>
        <v>1</v>
      </c>
      <c r="P55" s="12" t="s">
        <v>38</v>
      </c>
      <c r="Q55" s="12"/>
      <c r="R55" s="13" t="s">
        <v>138</v>
      </c>
      <c r="S55" s="13" t="s">
        <v>159</v>
      </c>
      <c r="T55" s="12"/>
      <c r="U55" s="11"/>
      <c r="V55" s="9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</row>
    <row r="56" spans="1:42" ht="22.5" customHeight="1">
      <c r="A56" s="8"/>
      <c r="B56" s="9" t="s">
        <v>27</v>
      </c>
      <c r="C56" s="10">
        <v>1</v>
      </c>
      <c r="D56" s="10"/>
      <c r="E56" s="10">
        <v>0</v>
      </c>
      <c r="F56" s="10"/>
      <c r="G56" s="10">
        <f t="shared" si="6"/>
        <v>1</v>
      </c>
      <c r="H56" s="9"/>
      <c r="I56" s="10">
        <v>1</v>
      </c>
      <c r="J56" s="10">
        <f t="shared" si="5"/>
        <v>1</v>
      </c>
      <c r="K56" s="9">
        <f t="shared" si="2"/>
        <v>0</v>
      </c>
      <c r="L56" s="11" t="s">
        <v>138</v>
      </c>
      <c r="M56" s="11" t="s">
        <v>160</v>
      </c>
      <c r="N56" s="12" t="str">
        <f t="shared" si="3"/>
        <v>Imaging|Thorlabs|B1C</v>
      </c>
      <c r="O56" s="12">
        <f t="shared" si="4"/>
        <v>1</v>
      </c>
      <c r="P56" s="12"/>
      <c r="Q56" s="12"/>
      <c r="R56" s="13"/>
      <c r="S56" s="13"/>
      <c r="T56" s="13"/>
      <c r="U56" s="11" t="s">
        <v>43</v>
      </c>
      <c r="V56" s="11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</row>
    <row r="57" spans="1:42" ht="22.5" customHeight="1">
      <c r="A57" s="8"/>
      <c r="B57" s="9" t="s">
        <v>83</v>
      </c>
      <c r="C57" s="10"/>
      <c r="D57" s="10"/>
      <c r="E57" s="10"/>
      <c r="F57" s="10"/>
      <c r="G57" s="10">
        <f t="shared" si="6"/>
        <v>0</v>
      </c>
      <c r="H57" s="9"/>
      <c r="I57" s="10">
        <v>1</v>
      </c>
      <c r="J57" s="10">
        <f t="shared" si="5"/>
        <v>0</v>
      </c>
      <c r="K57" s="9">
        <f t="shared" si="2"/>
        <v>0</v>
      </c>
      <c r="L57" s="11" t="s">
        <v>138</v>
      </c>
      <c r="M57" s="11" t="s">
        <v>161</v>
      </c>
      <c r="N57" s="12" t="str">
        <f t="shared" si="3"/>
        <v>Obselete/None|Thorlabs|B3036FX</v>
      </c>
      <c r="O57" s="12">
        <f t="shared" si="4"/>
        <v>1</v>
      </c>
      <c r="P57" s="12" t="s">
        <v>38</v>
      </c>
      <c r="Q57" s="12"/>
      <c r="R57" s="13" t="s">
        <v>138</v>
      </c>
      <c r="S57" s="13" t="s">
        <v>161</v>
      </c>
      <c r="T57" s="12"/>
      <c r="U57" s="11"/>
      <c r="V57" s="9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</row>
    <row r="58" spans="1:42" ht="22.5" customHeight="1">
      <c r="A58" s="8"/>
      <c r="B58" s="9" t="s">
        <v>83</v>
      </c>
      <c r="C58" s="10"/>
      <c r="D58" s="10"/>
      <c r="E58" s="10"/>
      <c r="F58" s="10"/>
      <c r="G58" s="10">
        <f t="shared" si="6"/>
        <v>0</v>
      </c>
      <c r="H58" s="9"/>
      <c r="I58" s="10">
        <v>1</v>
      </c>
      <c r="J58" s="10">
        <f t="shared" si="5"/>
        <v>0</v>
      </c>
      <c r="K58" s="9">
        <f t="shared" si="2"/>
        <v>0</v>
      </c>
      <c r="L58" s="11" t="s">
        <v>138</v>
      </c>
      <c r="M58" s="11" t="s">
        <v>162</v>
      </c>
      <c r="N58" s="12" t="str">
        <f t="shared" si="3"/>
        <v>Obselete/None|Thorlabs|B3648G</v>
      </c>
      <c r="O58" s="12">
        <f t="shared" si="4"/>
        <v>1</v>
      </c>
      <c r="P58" s="12" t="s">
        <v>38</v>
      </c>
      <c r="Q58" s="12"/>
      <c r="R58" s="13" t="s">
        <v>138</v>
      </c>
      <c r="S58" s="13" t="s">
        <v>162</v>
      </c>
      <c r="T58" s="12"/>
      <c r="U58" s="11"/>
      <c r="V58" s="9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</row>
    <row r="59" spans="1:42" ht="22.5" customHeight="1">
      <c r="A59" s="8"/>
      <c r="B59" s="9" t="s">
        <v>31</v>
      </c>
      <c r="C59" s="10">
        <v>2</v>
      </c>
      <c r="D59" s="10"/>
      <c r="E59" s="10">
        <v>2</v>
      </c>
      <c r="F59" s="10"/>
      <c r="G59" s="10">
        <f t="shared" si="6"/>
        <v>0</v>
      </c>
      <c r="H59" s="9"/>
      <c r="I59" s="10">
        <v>1</v>
      </c>
      <c r="J59" s="10">
        <f t="shared" si="5"/>
        <v>0</v>
      </c>
      <c r="K59" s="9">
        <f t="shared" si="2"/>
        <v>0</v>
      </c>
      <c r="L59" s="11" t="s">
        <v>138</v>
      </c>
      <c r="M59" s="11" t="s">
        <v>163</v>
      </c>
      <c r="N59" s="12" t="str">
        <f t="shared" si="3"/>
        <v>Illumination|Thorlabs|BA1</v>
      </c>
      <c r="O59" s="12">
        <f t="shared" si="4"/>
        <v>1</v>
      </c>
      <c r="P59" s="12"/>
      <c r="Q59" s="12"/>
      <c r="R59" s="13" t="s">
        <v>138</v>
      </c>
      <c r="S59" s="13" t="s">
        <v>163</v>
      </c>
      <c r="T59" s="13" t="s">
        <v>164</v>
      </c>
      <c r="U59" s="16" t="s">
        <v>165</v>
      </c>
      <c r="V59" s="11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</row>
    <row r="60" spans="1:42" ht="22.5" customHeight="1">
      <c r="A60" s="8"/>
      <c r="B60" s="9" t="s">
        <v>27</v>
      </c>
      <c r="C60" s="10">
        <v>1</v>
      </c>
      <c r="D60" s="10"/>
      <c r="E60" s="10">
        <v>0</v>
      </c>
      <c r="F60" s="10"/>
      <c r="G60" s="10">
        <f t="shared" si="6"/>
        <v>1</v>
      </c>
      <c r="H60" s="9"/>
      <c r="I60" s="10">
        <v>1</v>
      </c>
      <c r="J60" s="10">
        <f t="shared" si="5"/>
        <v>1</v>
      </c>
      <c r="K60" s="9">
        <f t="shared" si="2"/>
        <v>0</v>
      </c>
      <c r="L60" s="11" t="s">
        <v>138</v>
      </c>
      <c r="M60" s="11" t="s">
        <v>163</v>
      </c>
      <c r="N60" s="12" t="str">
        <f t="shared" si="3"/>
        <v>Imaging|Thorlabs|BA1</v>
      </c>
      <c r="O60" s="12">
        <f t="shared" si="4"/>
        <v>1</v>
      </c>
      <c r="P60" s="12"/>
      <c r="Q60" s="12"/>
      <c r="R60" s="13"/>
      <c r="S60" s="13"/>
      <c r="T60" s="13"/>
      <c r="U60" s="11" t="s">
        <v>43</v>
      </c>
      <c r="V60" s="11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</row>
    <row r="61" spans="1:42" ht="22.5" customHeight="1">
      <c r="A61" s="8"/>
      <c r="B61" s="9" t="s">
        <v>22</v>
      </c>
      <c r="C61" s="10">
        <v>1</v>
      </c>
      <c r="D61" s="10"/>
      <c r="E61" s="10">
        <v>1</v>
      </c>
      <c r="F61" s="10"/>
      <c r="G61" s="10">
        <f t="shared" si="6"/>
        <v>0</v>
      </c>
      <c r="H61" s="9"/>
      <c r="I61" s="10">
        <v>1</v>
      </c>
      <c r="J61" s="10">
        <f t="shared" si="5"/>
        <v>0</v>
      </c>
      <c r="K61" s="9">
        <f t="shared" si="2"/>
        <v>0</v>
      </c>
      <c r="L61" s="11" t="s">
        <v>138</v>
      </c>
      <c r="M61" s="11" t="s">
        <v>166</v>
      </c>
      <c r="N61" s="12" t="str">
        <f t="shared" si="3"/>
        <v>Sample Hold|Thorlabs|BA1L</v>
      </c>
      <c r="O61" s="12">
        <f t="shared" si="4"/>
        <v>1</v>
      </c>
      <c r="P61" s="12" t="s">
        <v>38</v>
      </c>
      <c r="Q61" s="12"/>
      <c r="R61" s="13" t="s">
        <v>138</v>
      </c>
      <c r="S61" s="13" t="s">
        <v>166</v>
      </c>
      <c r="T61" s="13" t="s">
        <v>167</v>
      </c>
      <c r="U61" s="11" t="s">
        <v>26</v>
      </c>
      <c r="V61" s="11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</row>
    <row r="62" spans="1:42" ht="22.5" customHeight="1">
      <c r="A62" s="8"/>
      <c r="B62" s="9" t="s">
        <v>22</v>
      </c>
      <c r="C62" s="10">
        <v>2</v>
      </c>
      <c r="D62" s="10"/>
      <c r="E62" s="10">
        <v>2</v>
      </c>
      <c r="F62" s="10"/>
      <c r="G62" s="10">
        <f t="shared" si="6"/>
        <v>0</v>
      </c>
      <c r="H62" s="9"/>
      <c r="I62" s="10">
        <v>1</v>
      </c>
      <c r="J62" s="10">
        <f t="shared" si="5"/>
        <v>0</v>
      </c>
      <c r="K62" s="9">
        <f t="shared" si="2"/>
        <v>0</v>
      </c>
      <c r="L62" s="11" t="s">
        <v>138</v>
      </c>
      <c r="M62" s="11" t="s">
        <v>168</v>
      </c>
      <c r="N62" s="12" t="str">
        <f t="shared" si="3"/>
        <v>Sample Hold|Thorlabs|BA1S</v>
      </c>
      <c r="O62" s="12">
        <f t="shared" si="4"/>
        <v>1</v>
      </c>
      <c r="P62" s="12" t="s">
        <v>38</v>
      </c>
      <c r="Q62" s="12"/>
      <c r="R62" s="13" t="s">
        <v>138</v>
      </c>
      <c r="S62" s="13" t="s">
        <v>168</v>
      </c>
      <c r="T62" s="13" t="s">
        <v>169</v>
      </c>
      <c r="U62" s="11" t="s">
        <v>26</v>
      </c>
      <c r="V62" s="11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</row>
    <row r="63" spans="1:42" ht="22.5" customHeight="1">
      <c r="A63" s="8"/>
      <c r="B63" s="9" t="s">
        <v>27</v>
      </c>
      <c r="C63" s="10">
        <v>1</v>
      </c>
      <c r="D63" s="10"/>
      <c r="E63" s="10">
        <v>1</v>
      </c>
      <c r="F63" s="10"/>
      <c r="G63" s="10">
        <f t="shared" si="6"/>
        <v>0</v>
      </c>
      <c r="H63" s="9"/>
      <c r="I63" s="10">
        <v>1</v>
      </c>
      <c r="J63" s="10">
        <f t="shared" si="5"/>
        <v>0</v>
      </c>
      <c r="K63" s="9">
        <f t="shared" si="2"/>
        <v>0</v>
      </c>
      <c r="L63" s="11" t="s">
        <v>138</v>
      </c>
      <c r="M63" s="11" t="s">
        <v>168</v>
      </c>
      <c r="N63" s="12" t="str">
        <f t="shared" si="3"/>
        <v>Imaging|Thorlabs|BA1S</v>
      </c>
      <c r="O63" s="12">
        <f t="shared" si="4"/>
        <v>1</v>
      </c>
      <c r="P63" s="12"/>
      <c r="Q63" s="12"/>
      <c r="R63" s="13"/>
      <c r="S63" s="13"/>
      <c r="T63" s="13"/>
      <c r="U63" s="11" t="s">
        <v>43</v>
      </c>
      <c r="V63" s="11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</row>
    <row r="64" spans="1:42" ht="22.5" customHeight="1">
      <c r="A64" s="8"/>
      <c r="B64" s="9" t="s">
        <v>31</v>
      </c>
      <c r="C64" s="10">
        <v>1</v>
      </c>
      <c r="D64" s="10"/>
      <c r="E64" s="10">
        <v>1</v>
      </c>
      <c r="F64" s="10"/>
      <c r="G64" s="10">
        <f t="shared" si="6"/>
        <v>0</v>
      </c>
      <c r="H64" s="9"/>
      <c r="I64" s="10">
        <v>1</v>
      </c>
      <c r="J64" s="10">
        <f t="shared" si="5"/>
        <v>0</v>
      </c>
      <c r="K64" s="9">
        <f t="shared" si="2"/>
        <v>0</v>
      </c>
      <c r="L64" s="11" t="s">
        <v>138</v>
      </c>
      <c r="M64" s="11" t="s">
        <v>170</v>
      </c>
      <c r="N64" s="12" t="str">
        <f t="shared" si="3"/>
        <v>Illumination|Thorlabs|BA2</v>
      </c>
      <c r="O64" s="12">
        <f t="shared" si="4"/>
        <v>1</v>
      </c>
      <c r="P64" s="12" t="s">
        <v>38</v>
      </c>
      <c r="Q64" s="12"/>
      <c r="R64" s="13" t="s">
        <v>138</v>
      </c>
      <c r="S64" s="13" t="s">
        <v>170</v>
      </c>
      <c r="T64" s="13" t="s">
        <v>171</v>
      </c>
      <c r="U64" s="11" t="s">
        <v>26</v>
      </c>
      <c r="V64" s="11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</row>
    <row r="65" spans="1:42" ht="22.5" customHeight="1">
      <c r="A65" s="8"/>
      <c r="B65" s="9" t="s">
        <v>27</v>
      </c>
      <c r="C65" s="10">
        <v>10</v>
      </c>
      <c r="D65" s="10"/>
      <c r="E65" s="10">
        <v>0</v>
      </c>
      <c r="F65" s="10"/>
      <c r="G65" s="10">
        <f t="shared" si="6"/>
        <v>10</v>
      </c>
      <c r="H65" s="9"/>
      <c r="I65" s="10">
        <v>1</v>
      </c>
      <c r="J65" s="10">
        <f t="shared" si="5"/>
        <v>10</v>
      </c>
      <c r="K65" s="9">
        <f t="shared" si="2"/>
        <v>0</v>
      </c>
      <c r="L65" s="11" t="s">
        <v>138</v>
      </c>
      <c r="M65" s="11" t="s">
        <v>170</v>
      </c>
      <c r="N65" s="12" t="str">
        <f t="shared" si="3"/>
        <v>Imaging|Thorlabs|BA2</v>
      </c>
      <c r="O65" s="12">
        <f t="shared" si="4"/>
        <v>1</v>
      </c>
      <c r="P65" s="12"/>
      <c r="Q65" s="12"/>
      <c r="R65" s="13"/>
      <c r="S65" s="13"/>
      <c r="T65" s="13"/>
      <c r="U65" s="11" t="s">
        <v>43</v>
      </c>
      <c r="V65" s="11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</row>
    <row r="66" spans="1:42" ht="22.5" customHeight="1">
      <c r="A66" s="8"/>
      <c r="B66" s="9" t="s">
        <v>27</v>
      </c>
      <c r="C66" s="10">
        <v>2</v>
      </c>
      <c r="D66" s="10"/>
      <c r="E66" s="10">
        <v>0</v>
      </c>
      <c r="F66" s="10"/>
      <c r="G66" s="10">
        <f t="shared" si="6"/>
        <v>2</v>
      </c>
      <c r="H66" s="9"/>
      <c r="I66" s="10">
        <v>1</v>
      </c>
      <c r="J66" s="10">
        <f t="shared" si="5"/>
        <v>2</v>
      </c>
      <c r="K66" s="9">
        <f t="shared" si="2"/>
        <v>0</v>
      </c>
      <c r="L66" s="11" t="s">
        <v>138</v>
      </c>
      <c r="M66" s="11" t="s">
        <v>172</v>
      </c>
      <c r="N66" s="12" t="str">
        <f t="shared" si="3"/>
        <v>Imaging|Thorlabs|BA2F</v>
      </c>
      <c r="O66" s="12">
        <f t="shared" si="4"/>
        <v>1</v>
      </c>
      <c r="P66" s="12"/>
      <c r="Q66" s="12"/>
      <c r="R66" s="13"/>
      <c r="S66" s="13"/>
      <c r="T66" s="13"/>
      <c r="U66" s="11" t="s">
        <v>43</v>
      </c>
      <c r="V66" s="11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</row>
    <row r="67" spans="1:42" ht="22.5" customHeight="1">
      <c r="A67" s="8"/>
      <c r="B67" s="9" t="s">
        <v>31</v>
      </c>
      <c r="C67" s="10">
        <v>1</v>
      </c>
      <c r="D67" s="10"/>
      <c r="E67" s="10">
        <v>1</v>
      </c>
      <c r="F67" s="10"/>
      <c r="G67" s="10">
        <f t="shared" si="6"/>
        <v>0</v>
      </c>
      <c r="H67" s="9"/>
      <c r="I67" s="10">
        <v>1</v>
      </c>
      <c r="J67" s="10">
        <f t="shared" si="5"/>
        <v>0</v>
      </c>
      <c r="K67" s="9">
        <f t="shared" si="2"/>
        <v>0</v>
      </c>
      <c r="L67" s="11" t="s">
        <v>138</v>
      </c>
      <c r="M67" s="11" t="s">
        <v>173</v>
      </c>
      <c r="N67" s="12" t="str">
        <f t="shared" si="3"/>
        <v>Illumination|Thorlabs|BA2L</v>
      </c>
      <c r="O67" s="12">
        <f t="shared" si="4"/>
        <v>1</v>
      </c>
      <c r="P67" s="12" t="s">
        <v>38</v>
      </c>
      <c r="Q67" s="12"/>
      <c r="R67" s="13" t="s">
        <v>138</v>
      </c>
      <c r="S67" s="13" t="s">
        <v>173</v>
      </c>
      <c r="T67" s="13" t="s">
        <v>174</v>
      </c>
      <c r="U67" s="11" t="s">
        <v>26</v>
      </c>
      <c r="V67" s="11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</row>
    <row r="68" spans="1:42" ht="22.5" customHeight="1">
      <c r="A68" s="8"/>
      <c r="B68" s="9" t="s">
        <v>83</v>
      </c>
      <c r="C68" s="10"/>
      <c r="D68" s="10"/>
      <c r="E68" s="10">
        <v>0</v>
      </c>
      <c r="F68" s="10"/>
      <c r="G68" s="10">
        <f t="shared" si="6"/>
        <v>0</v>
      </c>
      <c r="H68" s="9"/>
      <c r="I68" s="10">
        <v>1</v>
      </c>
      <c r="J68" s="10">
        <f t="shared" si="5"/>
        <v>0</v>
      </c>
      <c r="K68" s="9">
        <f t="shared" si="2"/>
        <v>0</v>
      </c>
      <c r="L68" s="11" t="s">
        <v>138</v>
      </c>
      <c r="M68" s="11" t="s">
        <v>175</v>
      </c>
      <c r="N68" s="12" t="str">
        <f t="shared" si="3"/>
        <v>Obselete/None|Thorlabs|BA4</v>
      </c>
      <c r="O68" s="12">
        <f t="shared" si="4"/>
        <v>1</v>
      </c>
      <c r="P68" s="12" t="s">
        <v>38</v>
      </c>
      <c r="Q68" s="12"/>
      <c r="R68" s="13" t="s">
        <v>138</v>
      </c>
      <c r="S68" s="13" t="s">
        <v>175</v>
      </c>
      <c r="T68" s="12"/>
      <c r="U68" s="11"/>
      <c r="V68" s="9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</row>
    <row r="69" spans="1:42" ht="22.5" customHeight="1">
      <c r="A69" s="8"/>
      <c r="B69" s="9" t="s">
        <v>31</v>
      </c>
      <c r="C69" s="10">
        <v>2</v>
      </c>
      <c r="D69" s="10"/>
      <c r="E69" s="10">
        <v>2</v>
      </c>
      <c r="F69" s="10"/>
      <c r="G69" s="10">
        <f t="shared" si="6"/>
        <v>0</v>
      </c>
      <c r="H69" s="9"/>
      <c r="I69" s="10">
        <v>1</v>
      </c>
      <c r="J69" s="10">
        <f t="shared" si="5"/>
        <v>0</v>
      </c>
      <c r="K69" s="9">
        <f t="shared" si="2"/>
        <v>0</v>
      </c>
      <c r="L69" s="11" t="s">
        <v>138</v>
      </c>
      <c r="M69" s="11" t="s">
        <v>176</v>
      </c>
      <c r="N69" s="12" t="str">
        <f t="shared" si="3"/>
        <v>Illumination|Thorlabs|BB05-E02</v>
      </c>
      <c r="O69" s="12">
        <f t="shared" si="4"/>
        <v>1</v>
      </c>
      <c r="P69" s="12" t="s">
        <v>38</v>
      </c>
      <c r="Q69" s="12"/>
      <c r="R69" s="13" t="s">
        <v>138</v>
      </c>
      <c r="S69" s="13" t="s">
        <v>176</v>
      </c>
      <c r="T69" s="13" t="s">
        <v>177</v>
      </c>
      <c r="U69" s="11" t="s">
        <v>26</v>
      </c>
      <c r="V69" s="11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</row>
    <row r="70" spans="1:42" ht="22.5" customHeight="1">
      <c r="A70" s="8"/>
      <c r="B70" s="9" t="s">
        <v>31</v>
      </c>
      <c r="C70" s="10">
        <v>1</v>
      </c>
      <c r="D70" s="10"/>
      <c r="E70" s="10">
        <v>1</v>
      </c>
      <c r="F70" s="10"/>
      <c r="G70" s="10">
        <f t="shared" si="6"/>
        <v>0</v>
      </c>
      <c r="H70" s="9"/>
      <c r="I70" s="10">
        <v>1</v>
      </c>
      <c r="J70" s="10">
        <f t="shared" si="5"/>
        <v>0</v>
      </c>
      <c r="K70" s="9">
        <f t="shared" si="2"/>
        <v>0</v>
      </c>
      <c r="L70" s="11" t="s">
        <v>138</v>
      </c>
      <c r="M70" s="11" t="s">
        <v>178</v>
      </c>
      <c r="N70" s="12" t="str">
        <f t="shared" si="3"/>
        <v xml:space="preserve">Illumination|Thorlabs|BB1-E02 </v>
      </c>
      <c r="O70" s="12">
        <f t="shared" si="4"/>
        <v>1</v>
      </c>
      <c r="P70" s="12" t="s">
        <v>38</v>
      </c>
      <c r="Q70" s="12"/>
      <c r="R70" s="13" t="s">
        <v>138</v>
      </c>
      <c r="S70" s="13" t="s">
        <v>178</v>
      </c>
      <c r="T70" s="13" t="s">
        <v>179</v>
      </c>
      <c r="U70" s="11" t="s">
        <v>26</v>
      </c>
      <c r="V70" s="11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</row>
    <row r="71" spans="1:42" ht="22.5" customHeight="1">
      <c r="A71" s="8"/>
      <c r="B71" s="9" t="s">
        <v>31</v>
      </c>
      <c r="C71" s="10">
        <v>2</v>
      </c>
      <c r="D71" s="10"/>
      <c r="E71" s="10">
        <v>2</v>
      </c>
      <c r="F71" s="10"/>
      <c r="G71" s="10">
        <f t="shared" si="6"/>
        <v>0</v>
      </c>
      <c r="H71" s="9"/>
      <c r="I71" s="10">
        <v>1</v>
      </c>
      <c r="J71" s="10">
        <f t="shared" si="5"/>
        <v>0</v>
      </c>
      <c r="K71" s="9">
        <f t="shared" si="2"/>
        <v>0</v>
      </c>
      <c r="L71" s="11" t="s">
        <v>138</v>
      </c>
      <c r="M71" s="11" t="s">
        <v>180</v>
      </c>
      <c r="N71" s="12" t="str">
        <f t="shared" si="3"/>
        <v>Illumination|Thorlabs|BBE1-E02</v>
      </c>
      <c r="O71" s="12">
        <f t="shared" si="4"/>
        <v>1</v>
      </c>
      <c r="P71" s="12" t="s">
        <v>38</v>
      </c>
      <c r="Q71" s="12"/>
      <c r="R71" s="13" t="s">
        <v>138</v>
      </c>
      <c r="S71" s="13" t="s">
        <v>180</v>
      </c>
      <c r="T71" s="13" t="s">
        <v>181</v>
      </c>
      <c r="U71" s="11" t="s">
        <v>26</v>
      </c>
      <c r="V71" s="11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</row>
    <row r="72" spans="1:42" ht="22.5" customHeight="1">
      <c r="A72" s="8"/>
      <c r="B72" s="9" t="s">
        <v>27</v>
      </c>
      <c r="C72" s="10">
        <v>2</v>
      </c>
      <c r="D72" s="10"/>
      <c r="E72" s="10">
        <v>1</v>
      </c>
      <c r="F72" s="10"/>
      <c r="G72" s="10">
        <f t="shared" si="6"/>
        <v>1</v>
      </c>
      <c r="H72" s="9"/>
      <c r="I72" s="10">
        <v>1</v>
      </c>
      <c r="J72" s="10">
        <f t="shared" si="5"/>
        <v>1</v>
      </c>
      <c r="K72" s="9">
        <f t="shared" si="2"/>
        <v>0</v>
      </c>
      <c r="L72" s="11" t="s">
        <v>138</v>
      </c>
      <c r="M72" s="11" t="s">
        <v>182</v>
      </c>
      <c r="N72" s="12" t="str">
        <f t="shared" si="3"/>
        <v>Imaging|Thorlabs|BBE2-E02</v>
      </c>
      <c r="O72" s="12">
        <f t="shared" si="4"/>
        <v>1</v>
      </c>
      <c r="P72" s="12"/>
      <c r="Q72" s="12"/>
      <c r="R72" s="13"/>
      <c r="S72" s="13"/>
      <c r="T72" s="13"/>
      <c r="U72" s="11" t="s">
        <v>43</v>
      </c>
      <c r="V72" s="11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</row>
    <row r="73" spans="1:42" ht="22.5" customHeight="1">
      <c r="A73" s="8"/>
      <c r="B73" s="9" t="s">
        <v>83</v>
      </c>
      <c r="C73" s="10"/>
      <c r="D73" s="10"/>
      <c r="E73" s="10"/>
      <c r="F73" s="10"/>
      <c r="G73" s="10">
        <f t="shared" si="6"/>
        <v>0</v>
      </c>
      <c r="H73" s="9"/>
      <c r="I73" s="10">
        <v>1</v>
      </c>
      <c r="J73" s="10">
        <f t="shared" si="5"/>
        <v>0</v>
      </c>
      <c r="K73" s="9">
        <f t="shared" si="2"/>
        <v>0</v>
      </c>
      <c r="L73" s="11" t="s">
        <v>138</v>
      </c>
      <c r="M73" s="11" t="s">
        <v>183</v>
      </c>
      <c r="N73" s="12" t="str">
        <f t="shared" si="3"/>
        <v>Obselete/None|Thorlabs|C1519</v>
      </c>
      <c r="O73" s="12">
        <f t="shared" si="4"/>
        <v>1</v>
      </c>
      <c r="P73" s="12" t="s">
        <v>38</v>
      </c>
      <c r="Q73" s="12"/>
      <c r="R73" s="13" t="s">
        <v>138</v>
      </c>
      <c r="S73" s="13" t="s">
        <v>183</v>
      </c>
      <c r="T73" s="12"/>
      <c r="U73" s="11"/>
      <c r="V73" s="9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</row>
    <row r="74" spans="1:42" ht="22.5" customHeight="1">
      <c r="A74" s="8"/>
      <c r="B74" s="9" t="s">
        <v>31</v>
      </c>
      <c r="C74" s="10">
        <v>1</v>
      </c>
      <c r="D74" s="10"/>
      <c r="E74" s="10">
        <v>1</v>
      </c>
      <c r="F74" s="10"/>
      <c r="G74" s="10">
        <f t="shared" si="6"/>
        <v>0</v>
      </c>
      <c r="H74" s="9"/>
      <c r="I74" s="10">
        <v>1</v>
      </c>
      <c r="J74" s="10">
        <f t="shared" si="5"/>
        <v>0</v>
      </c>
      <c r="K74" s="9">
        <f t="shared" si="2"/>
        <v>0</v>
      </c>
      <c r="L74" s="11" t="s">
        <v>138</v>
      </c>
      <c r="M74" s="11" t="s">
        <v>184</v>
      </c>
      <c r="N74" s="12" t="str">
        <f t="shared" si="3"/>
        <v>Illumination|Thorlabs|C330TMD-A</v>
      </c>
      <c r="O74" s="12">
        <f t="shared" si="4"/>
        <v>1</v>
      </c>
      <c r="P74" s="12" t="s">
        <v>38</v>
      </c>
      <c r="Q74" s="12"/>
      <c r="R74" s="13" t="s">
        <v>138</v>
      </c>
      <c r="S74" s="13" t="s">
        <v>184</v>
      </c>
      <c r="T74" s="13" t="s">
        <v>185</v>
      </c>
      <c r="U74" s="16" t="s">
        <v>186</v>
      </c>
      <c r="V74" s="11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</row>
    <row r="75" spans="1:42" ht="22.5" customHeight="1">
      <c r="A75" s="8"/>
      <c r="B75" s="9" t="s">
        <v>27</v>
      </c>
      <c r="C75" s="10">
        <v>1</v>
      </c>
      <c r="D75" s="10"/>
      <c r="E75" s="10">
        <v>1</v>
      </c>
      <c r="F75" s="10"/>
      <c r="G75" s="10">
        <f t="shared" si="6"/>
        <v>0</v>
      </c>
      <c r="H75" s="9"/>
      <c r="I75" s="10">
        <v>1</v>
      </c>
      <c r="J75" s="10">
        <f t="shared" si="5"/>
        <v>0</v>
      </c>
      <c r="K75" s="9">
        <f t="shared" si="2"/>
        <v>0</v>
      </c>
      <c r="L75" s="11" t="s">
        <v>138</v>
      </c>
      <c r="M75" s="11" t="s">
        <v>187</v>
      </c>
      <c r="N75" s="12" t="str">
        <f t="shared" si="3"/>
        <v>Imaging|Thorlabs|C4W</v>
      </c>
      <c r="O75" s="12">
        <f t="shared" si="4"/>
        <v>1</v>
      </c>
      <c r="P75" s="12" t="s">
        <v>38</v>
      </c>
      <c r="Q75" s="12"/>
      <c r="R75" s="13" t="s">
        <v>138</v>
      </c>
      <c r="S75" s="13" t="s">
        <v>187</v>
      </c>
      <c r="T75" s="12" t="s">
        <v>188</v>
      </c>
      <c r="U75" s="18" t="s">
        <v>189</v>
      </c>
      <c r="V75" s="9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</row>
    <row r="76" spans="1:42" ht="22.5" customHeight="1">
      <c r="A76" s="8"/>
      <c r="B76" s="9"/>
      <c r="C76" s="10"/>
      <c r="D76" s="10"/>
      <c r="E76" s="10"/>
      <c r="F76" s="10"/>
      <c r="G76" s="10">
        <f t="shared" si="6"/>
        <v>0</v>
      </c>
      <c r="H76" s="9"/>
      <c r="I76" s="10">
        <v>1</v>
      </c>
      <c r="J76" s="10">
        <f t="shared" si="5"/>
        <v>0</v>
      </c>
      <c r="K76" s="9">
        <f t="shared" si="2"/>
        <v>0</v>
      </c>
      <c r="L76" s="11" t="s">
        <v>138</v>
      </c>
      <c r="M76" s="11" t="s">
        <v>190</v>
      </c>
      <c r="N76" s="12" t="str">
        <f t="shared" si="3"/>
        <v>|Thorlabs|CCM1-4ER</v>
      </c>
      <c r="O76" s="12">
        <f t="shared" si="4"/>
        <v>1</v>
      </c>
      <c r="P76" s="12" t="s">
        <v>38</v>
      </c>
      <c r="Q76" s="12"/>
      <c r="R76" s="13" t="s">
        <v>138</v>
      </c>
      <c r="S76" s="13" t="s">
        <v>190</v>
      </c>
      <c r="T76" s="12"/>
      <c r="U76" s="11"/>
      <c r="V76" s="9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</row>
    <row r="77" spans="1:42" ht="22.5" customHeight="1">
      <c r="A77" s="8"/>
      <c r="B77" s="9"/>
      <c r="C77" s="10"/>
      <c r="D77" s="10"/>
      <c r="E77" s="10"/>
      <c r="F77" s="10"/>
      <c r="G77" s="10">
        <f t="shared" si="6"/>
        <v>0</v>
      </c>
      <c r="H77" s="9"/>
      <c r="I77" s="10">
        <v>1</v>
      </c>
      <c r="J77" s="10">
        <f t="shared" si="5"/>
        <v>0</v>
      </c>
      <c r="K77" s="9">
        <f t="shared" si="2"/>
        <v>0</v>
      </c>
      <c r="L77" s="11" t="s">
        <v>138</v>
      </c>
      <c r="M77" s="11" t="s">
        <v>191</v>
      </c>
      <c r="N77" s="12" t="str">
        <f t="shared" si="3"/>
        <v>|Thorlabs|CCM1-P01</v>
      </c>
      <c r="O77" s="12">
        <f t="shared" si="4"/>
        <v>1</v>
      </c>
      <c r="P77" s="12" t="s">
        <v>38</v>
      </c>
      <c r="Q77" s="12"/>
      <c r="R77" s="13" t="s">
        <v>138</v>
      </c>
      <c r="S77" s="13" t="s">
        <v>191</v>
      </c>
      <c r="T77" s="12"/>
      <c r="U77" s="11"/>
      <c r="V77" s="9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</row>
    <row r="78" spans="1:42" ht="22.5" customHeight="1">
      <c r="A78" s="8"/>
      <c r="B78" s="9" t="s">
        <v>27</v>
      </c>
      <c r="C78" s="10">
        <v>1</v>
      </c>
      <c r="D78" s="10"/>
      <c r="E78" s="10">
        <v>1</v>
      </c>
      <c r="F78" s="10"/>
      <c r="G78" s="10">
        <f t="shared" si="6"/>
        <v>0</v>
      </c>
      <c r="H78" s="9"/>
      <c r="I78" s="10">
        <v>1</v>
      </c>
      <c r="J78" s="10">
        <f t="shared" si="5"/>
        <v>0</v>
      </c>
      <c r="K78" s="9">
        <f t="shared" si="2"/>
        <v>0</v>
      </c>
      <c r="L78" s="11" t="s">
        <v>138</v>
      </c>
      <c r="M78" s="11" t="s">
        <v>192</v>
      </c>
      <c r="N78" s="12" t="str">
        <f t="shared" si="3"/>
        <v>Imaging|Thorlabs|CCM1-PBS251</v>
      </c>
      <c r="O78" s="12">
        <f t="shared" si="4"/>
        <v>1</v>
      </c>
      <c r="P78" s="12"/>
      <c r="Q78" s="12"/>
      <c r="R78" s="13" t="s">
        <v>138</v>
      </c>
      <c r="S78" s="13" t="s">
        <v>192</v>
      </c>
      <c r="T78" s="13" t="s">
        <v>193</v>
      </c>
      <c r="U78" s="16" t="s">
        <v>194</v>
      </c>
      <c r="V78" s="11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</row>
    <row r="79" spans="1:42" ht="22.5" customHeight="1">
      <c r="A79" s="8"/>
      <c r="B79" s="9" t="s">
        <v>27</v>
      </c>
      <c r="C79" s="10">
        <v>2</v>
      </c>
      <c r="D79" s="10"/>
      <c r="E79" s="10">
        <v>0</v>
      </c>
      <c r="F79" s="10"/>
      <c r="G79" s="10">
        <f t="shared" si="6"/>
        <v>2</v>
      </c>
      <c r="H79" s="9"/>
      <c r="I79" s="10">
        <v>1</v>
      </c>
      <c r="J79" s="10">
        <f t="shared" si="5"/>
        <v>2</v>
      </c>
      <c r="K79" s="9">
        <f t="shared" si="2"/>
        <v>0</v>
      </c>
      <c r="L79" s="11" t="s">
        <v>138</v>
      </c>
      <c r="M79" s="11" t="s">
        <v>195</v>
      </c>
      <c r="N79" s="12" t="str">
        <f t="shared" si="3"/>
        <v>Imaging|Thorlabs|CF125</v>
      </c>
      <c r="O79" s="12">
        <f t="shared" si="4"/>
        <v>1</v>
      </c>
      <c r="P79" s="12"/>
      <c r="Q79" s="12"/>
      <c r="R79" s="13"/>
      <c r="S79" s="13"/>
      <c r="T79" s="13"/>
      <c r="U79" s="11" t="s">
        <v>43</v>
      </c>
      <c r="V79" s="11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</row>
    <row r="80" spans="1:42" ht="22.5" customHeight="1">
      <c r="A80" s="8"/>
      <c r="B80" s="9" t="s">
        <v>31</v>
      </c>
      <c r="C80" s="10">
        <v>9</v>
      </c>
      <c r="D80" s="10"/>
      <c r="E80" s="10">
        <v>9</v>
      </c>
      <c r="F80" s="10"/>
      <c r="G80" s="10">
        <f t="shared" si="6"/>
        <v>0</v>
      </c>
      <c r="H80" s="9"/>
      <c r="I80" s="10">
        <v>5</v>
      </c>
      <c r="J80" s="10">
        <f t="shared" si="5"/>
        <v>0</v>
      </c>
      <c r="K80" s="9">
        <f t="shared" si="2"/>
        <v>0</v>
      </c>
      <c r="L80" s="11" t="s">
        <v>138</v>
      </c>
      <c r="M80" s="11" t="s">
        <v>196</v>
      </c>
      <c r="N80" s="12" t="str">
        <f t="shared" si="3"/>
        <v>Illumination|Thorlabs|CF125-P5</v>
      </c>
      <c r="O80" s="12">
        <f t="shared" si="4"/>
        <v>1</v>
      </c>
      <c r="P80" s="12"/>
      <c r="Q80" s="12"/>
      <c r="R80" s="13"/>
      <c r="S80" s="13"/>
      <c r="T80" s="13"/>
      <c r="U80" s="11"/>
      <c r="V80" s="11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</row>
    <row r="81" spans="1:42" ht="22.5" customHeight="1">
      <c r="A81" s="8"/>
      <c r="B81" s="9"/>
      <c r="C81" s="10"/>
      <c r="D81" s="10"/>
      <c r="E81" s="10">
        <v>6</v>
      </c>
      <c r="F81" s="10"/>
      <c r="G81" s="10">
        <f t="shared" si="6"/>
        <v>0</v>
      </c>
      <c r="H81" s="9"/>
      <c r="I81" s="10">
        <v>1</v>
      </c>
      <c r="J81" s="10">
        <f t="shared" si="5"/>
        <v>0</v>
      </c>
      <c r="K81" s="9">
        <f t="shared" si="2"/>
        <v>0</v>
      </c>
      <c r="L81" s="11" t="s">
        <v>138</v>
      </c>
      <c r="M81" s="11" t="s">
        <v>197</v>
      </c>
      <c r="N81" s="12" t="str">
        <f t="shared" si="3"/>
        <v>|Thorlabs|CL3</v>
      </c>
      <c r="O81" s="12">
        <f t="shared" si="4"/>
        <v>1</v>
      </c>
      <c r="P81" s="12" t="s">
        <v>38</v>
      </c>
      <c r="Q81" s="12"/>
      <c r="R81" s="13" t="s">
        <v>138</v>
      </c>
      <c r="S81" s="13" t="s">
        <v>197</v>
      </c>
      <c r="T81" s="13" t="s">
        <v>198</v>
      </c>
      <c r="U81" s="15" t="s">
        <v>199</v>
      </c>
      <c r="V81" s="11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</row>
    <row r="82" spans="1:42" ht="22.5" customHeight="1">
      <c r="A82" s="8"/>
      <c r="B82" s="9"/>
      <c r="C82" s="10">
        <v>1</v>
      </c>
      <c r="D82" s="10"/>
      <c r="E82" s="10">
        <v>1</v>
      </c>
      <c r="F82" s="10"/>
      <c r="G82" s="10">
        <f t="shared" si="6"/>
        <v>0</v>
      </c>
      <c r="H82" s="9"/>
      <c r="I82" s="10">
        <v>1</v>
      </c>
      <c r="J82" s="10">
        <f t="shared" si="5"/>
        <v>0</v>
      </c>
      <c r="K82" s="9">
        <f t="shared" si="2"/>
        <v>0</v>
      </c>
      <c r="L82" s="11" t="s">
        <v>138</v>
      </c>
      <c r="M82" s="11" t="s">
        <v>200</v>
      </c>
      <c r="N82" s="12" t="str">
        <f t="shared" si="3"/>
        <v>|Thorlabs|CLS-SL</v>
      </c>
      <c r="O82" s="12">
        <f t="shared" si="4"/>
        <v>1</v>
      </c>
      <c r="P82" s="12" t="s">
        <v>38</v>
      </c>
      <c r="Q82" s="12"/>
      <c r="R82" s="13" t="s">
        <v>138</v>
      </c>
      <c r="S82" s="13" t="s">
        <v>200</v>
      </c>
      <c r="T82" s="13" t="s">
        <v>201</v>
      </c>
      <c r="U82" s="15" t="s">
        <v>202</v>
      </c>
      <c r="V82" s="11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</row>
    <row r="83" spans="1:42" ht="22.5" customHeight="1">
      <c r="A83" s="8"/>
      <c r="B83" s="9"/>
      <c r="C83" s="10"/>
      <c r="D83" s="10"/>
      <c r="E83" s="10"/>
      <c r="F83" s="10"/>
      <c r="G83" s="10">
        <f t="shared" si="6"/>
        <v>0</v>
      </c>
      <c r="H83" s="9"/>
      <c r="I83" s="10">
        <v>1</v>
      </c>
      <c r="J83" s="10">
        <f t="shared" si="5"/>
        <v>0</v>
      </c>
      <c r="K83" s="9">
        <f t="shared" si="2"/>
        <v>0</v>
      </c>
      <c r="L83" s="11" t="s">
        <v>138</v>
      </c>
      <c r="M83" s="11" t="s">
        <v>203</v>
      </c>
      <c r="N83" s="12" t="str">
        <f t="shared" si="3"/>
        <v>|Thorlabs|CM1-DCH/M</v>
      </c>
      <c r="O83" s="12">
        <f t="shared" si="4"/>
        <v>1</v>
      </c>
      <c r="P83" s="12" t="s">
        <v>38</v>
      </c>
      <c r="Q83" s="12" t="s">
        <v>204</v>
      </c>
      <c r="R83" s="13" t="s">
        <v>138</v>
      </c>
      <c r="S83" s="13" t="s">
        <v>203</v>
      </c>
      <c r="T83" s="12"/>
      <c r="U83" s="11"/>
      <c r="V83" s="9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</row>
    <row r="84" spans="1:42" ht="22.5" customHeight="1">
      <c r="A84" s="8"/>
      <c r="B84" s="9"/>
      <c r="C84" s="10"/>
      <c r="D84" s="10"/>
      <c r="E84" s="10"/>
      <c r="F84" s="10"/>
      <c r="G84" s="10">
        <f t="shared" si="6"/>
        <v>0</v>
      </c>
      <c r="H84" s="9"/>
      <c r="I84" s="10">
        <v>1</v>
      </c>
      <c r="J84" s="10">
        <f t="shared" si="5"/>
        <v>0</v>
      </c>
      <c r="K84" s="9">
        <f t="shared" si="2"/>
        <v>0</v>
      </c>
      <c r="L84" s="9" t="s">
        <v>138</v>
      </c>
      <c r="M84" s="11" t="s">
        <v>205</v>
      </c>
      <c r="N84" s="12" t="str">
        <f t="shared" si="3"/>
        <v>|Thorlabs|CP02T/M</v>
      </c>
      <c r="O84" s="12">
        <f t="shared" si="4"/>
        <v>1</v>
      </c>
      <c r="P84" s="12"/>
      <c r="Q84" s="12"/>
      <c r="R84" s="12" t="s">
        <v>138</v>
      </c>
      <c r="S84" s="13" t="s">
        <v>205</v>
      </c>
      <c r="T84" s="12" t="s">
        <v>206</v>
      </c>
      <c r="U84" s="11"/>
      <c r="V84" s="9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</row>
    <row r="85" spans="1:42" ht="22.5" customHeight="1">
      <c r="A85" s="8"/>
      <c r="B85" s="9" t="s">
        <v>31</v>
      </c>
      <c r="C85" s="10">
        <v>1</v>
      </c>
      <c r="D85" s="10"/>
      <c r="E85" s="10">
        <v>1</v>
      </c>
      <c r="F85" s="10"/>
      <c r="G85" s="10">
        <f t="shared" si="6"/>
        <v>0</v>
      </c>
      <c r="H85" s="9"/>
      <c r="I85" s="10">
        <v>1</v>
      </c>
      <c r="J85" s="10">
        <f t="shared" si="5"/>
        <v>0</v>
      </c>
      <c r="K85" s="9">
        <f t="shared" si="2"/>
        <v>0</v>
      </c>
      <c r="L85" s="11" t="s">
        <v>138</v>
      </c>
      <c r="M85" s="11" t="s">
        <v>207</v>
      </c>
      <c r="N85" s="12" t="str">
        <f t="shared" si="3"/>
        <v>Illumination|Thorlabs|CP08FP</v>
      </c>
      <c r="O85" s="12">
        <f t="shared" si="4"/>
        <v>1</v>
      </c>
      <c r="P85" s="12" t="s">
        <v>38</v>
      </c>
      <c r="Q85" s="12"/>
      <c r="R85" s="13" t="s">
        <v>138</v>
      </c>
      <c r="S85" s="13" t="s">
        <v>207</v>
      </c>
      <c r="T85" s="13" t="s">
        <v>208</v>
      </c>
      <c r="U85" s="11" t="s">
        <v>26</v>
      </c>
      <c r="V85" s="11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</row>
    <row r="86" spans="1:42" ht="22.5" customHeight="1">
      <c r="A86" s="8"/>
      <c r="B86" s="9" t="s">
        <v>31</v>
      </c>
      <c r="C86" s="10">
        <v>1</v>
      </c>
      <c r="D86" s="10"/>
      <c r="E86" s="10">
        <v>1</v>
      </c>
      <c r="F86" s="10"/>
      <c r="G86" s="10">
        <f t="shared" si="6"/>
        <v>0</v>
      </c>
      <c r="H86" s="9"/>
      <c r="I86" s="10">
        <v>1</v>
      </c>
      <c r="J86" s="10">
        <f t="shared" si="5"/>
        <v>0</v>
      </c>
      <c r="K86" s="9">
        <f t="shared" si="2"/>
        <v>0</v>
      </c>
      <c r="L86" s="11" t="s">
        <v>138</v>
      </c>
      <c r="M86" s="11" t="s">
        <v>209</v>
      </c>
      <c r="N86" s="12" t="str">
        <f t="shared" si="3"/>
        <v>Illumination|Thorlabs|CP20D</v>
      </c>
      <c r="O86" s="12">
        <f t="shared" si="4"/>
        <v>1</v>
      </c>
      <c r="P86" s="12" t="s">
        <v>38</v>
      </c>
      <c r="Q86" s="12"/>
      <c r="R86" s="13" t="s">
        <v>138</v>
      </c>
      <c r="S86" s="13" t="s">
        <v>209</v>
      </c>
      <c r="T86" s="13" t="s">
        <v>210</v>
      </c>
      <c r="U86" s="11" t="s">
        <v>26</v>
      </c>
      <c r="V86" s="11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</row>
    <row r="87" spans="1:42" ht="22.5" customHeight="1">
      <c r="A87" s="8"/>
      <c r="B87" s="9" t="s">
        <v>31</v>
      </c>
      <c r="C87" s="10">
        <v>1</v>
      </c>
      <c r="D87" s="10"/>
      <c r="E87" s="10">
        <v>1</v>
      </c>
      <c r="F87" s="10"/>
      <c r="G87" s="10">
        <f t="shared" si="6"/>
        <v>0</v>
      </c>
      <c r="H87" s="9"/>
      <c r="I87" s="10">
        <v>1</v>
      </c>
      <c r="J87" s="10">
        <f t="shared" si="5"/>
        <v>0</v>
      </c>
      <c r="K87" s="9">
        <f t="shared" si="2"/>
        <v>0</v>
      </c>
      <c r="L87" s="11" t="s">
        <v>138</v>
      </c>
      <c r="M87" s="11" t="s">
        <v>211</v>
      </c>
      <c r="N87" s="12" t="str">
        <f t="shared" si="3"/>
        <v>Illumination|Thorlabs|CP32</v>
      </c>
      <c r="O87" s="12">
        <f t="shared" si="4"/>
        <v>1</v>
      </c>
      <c r="P87" s="12" t="s">
        <v>38</v>
      </c>
      <c r="Q87" s="12"/>
      <c r="R87" s="13" t="s">
        <v>138</v>
      </c>
      <c r="S87" s="13" t="s">
        <v>211</v>
      </c>
      <c r="T87" s="13" t="s">
        <v>212</v>
      </c>
      <c r="U87" s="11" t="s">
        <v>26</v>
      </c>
      <c r="V87" s="11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</row>
    <row r="88" spans="1:42" ht="22.5" customHeight="1">
      <c r="A88" s="8"/>
      <c r="B88" s="9" t="s">
        <v>31</v>
      </c>
      <c r="C88" s="10">
        <v>1</v>
      </c>
      <c r="D88" s="10"/>
      <c r="E88" s="10">
        <v>1</v>
      </c>
      <c r="F88" s="10"/>
      <c r="G88" s="10">
        <f t="shared" si="6"/>
        <v>0</v>
      </c>
      <c r="H88" s="9"/>
      <c r="I88" s="10">
        <v>1</v>
      </c>
      <c r="J88" s="10">
        <f t="shared" si="5"/>
        <v>0</v>
      </c>
      <c r="K88" s="9">
        <f t="shared" si="2"/>
        <v>0</v>
      </c>
      <c r="L88" s="11" t="s">
        <v>138</v>
      </c>
      <c r="M88" s="11" t="s">
        <v>213</v>
      </c>
      <c r="N88" s="12" t="str">
        <f t="shared" si="3"/>
        <v>Illumination|Thorlabs|CPA1</v>
      </c>
      <c r="O88" s="12">
        <f t="shared" si="4"/>
        <v>1</v>
      </c>
      <c r="P88" s="12" t="s">
        <v>38</v>
      </c>
      <c r="Q88" s="12"/>
      <c r="R88" s="13" t="s">
        <v>138</v>
      </c>
      <c r="S88" s="13" t="s">
        <v>213</v>
      </c>
      <c r="T88" s="13" t="s">
        <v>214</v>
      </c>
      <c r="U88" s="11" t="s">
        <v>26</v>
      </c>
      <c r="V88" s="11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</row>
    <row r="89" spans="1:42" ht="22.5" customHeight="1">
      <c r="A89" s="8"/>
      <c r="B89" s="9" t="s">
        <v>31</v>
      </c>
      <c r="C89" s="10">
        <v>1</v>
      </c>
      <c r="D89" s="10"/>
      <c r="E89" s="10">
        <v>1</v>
      </c>
      <c r="F89" s="10"/>
      <c r="G89" s="10">
        <f t="shared" si="6"/>
        <v>0</v>
      </c>
      <c r="H89" s="9"/>
      <c r="I89" s="10">
        <v>1</v>
      </c>
      <c r="J89" s="10">
        <f t="shared" si="5"/>
        <v>0</v>
      </c>
      <c r="K89" s="9">
        <f t="shared" si="2"/>
        <v>0</v>
      </c>
      <c r="L89" s="9" t="s">
        <v>138</v>
      </c>
      <c r="M89" s="9" t="s">
        <v>215</v>
      </c>
      <c r="N89" s="12" t="str">
        <f t="shared" si="3"/>
        <v>Illumination|Thorlabs|CRM05</v>
      </c>
      <c r="O89" s="12">
        <f t="shared" si="4"/>
        <v>1</v>
      </c>
      <c r="P89" s="12"/>
      <c r="Q89" s="12"/>
      <c r="R89" s="12" t="s">
        <v>138</v>
      </c>
      <c r="S89" s="12" t="s">
        <v>215</v>
      </c>
      <c r="T89" s="12" t="s">
        <v>216</v>
      </c>
      <c r="U89" s="11"/>
      <c r="V89" s="11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</row>
    <row r="90" spans="1:42" ht="22.5" customHeight="1">
      <c r="A90" s="8"/>
      <c r="B90" s="9" t="s">
        <v>31</v>
      </c>
      <c r="C90" s="10">
        <v>1</v>
      </c>
      <c r="D90" s="10"/>
      <c r="E90" s="10">
        <v>1</v>
      </c>
      <c r="F90" s="10"/>
      <c r="G90" s="10">
        <f t="shared" si="6"/>
        <v>0</v>
      </c>
      <c r="H90" s="9"/>
      <c r="I90" s="10">
        <v>1</v>
      </c>
      <c r="J90" s="10">
        <f t="shared" si="5"/>
        <v>0</v>
      </c>
      <c r="K90" s="9">
        <f t="shared" si="2"/>
        <v>0</v>
      </c>
      <c r="L90" s="11" t="s">
        <v>138</v>
      </c>
      <c r="M90" s="11" t="s">
        <v>217</v>
      </c>
      <c r="N90" s="12" t="str">
        <f t="shared" si="3"/>
        <v>Illumination|Thorlabs|CXY1A</v>
      </c>
      <c r="O90" s="12">
        <f t="shared" si="4"/>
        <v>1</v>
      </c>
      <c r="P90" s="12" t="s">
        <v>38</v>
      </c>
      <c r="Q90" s="12"/>
      <c r="R90" s="13" t="s">
        <v>138</v>
      </c>
      <c r="S90" s="13" t="s">
        <v>217</v>
      </c>
      <c r="T90" s="13" t="s">
        <v>218</v>
      </c>
      <c r="U90" s="11" t="s">
        <v>219</v>
      </c>
      <c r="V90" s="11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</row>
    <row r="91" spans="1:42" ht="22.5" customHeight="1">
      <c r="A91" s="8"/>
      <c r="B91" s="9" t="s">
        <v>31</v>
      </c>
      <c r="C91" s="10">
        <v>1</v>
      </c>
      <c r="D91" s="10"/>
      <c r="E91" s="10">
        <v>1</v>
      </c>
      <c r="F91" s="10"/>
      <c r="G91" s="10">
        <f t="shared" si="6"/>
        <v>0</v>
      </c>
      <c r="H91" s="9"/>
      <c r="I91" s="10">
        <v>1</v>
      </c>
      <c r="J91" s="10">
        <f t="shared" si="5"/>
        <v>0</v>
      </c>
      <c r="K91" s="9">
        <f t="shared" si="2"/>
        <v>0</v>
      </c>
      <c r="L91" s="11" t="s">
        <v>138</v>
      </c>
      <c r="M91" s="11" t="s">
        <v>220</v>
      </c>
      <c r="N91" s="12" t="str">
        <f t="shared" si="3"/>
        <v>Illumination|Thorlabs|CXY2 / CXY2A</v>
      </c>
      <c r="O91" s="12">
        <f t="shared" si="4"/>
        <v>1</v>
      </c>
      <c r="P91" s="12"/>
      <c r="Q91" s="12"/>
      <c r="R91" s="13" t="s">
        <v>138</v>
      </c>
      <c r="S91" s="13" t="s">
        <v>220</v>
      </c>
      <c r="T91" s="13" t="s">
        <v>221</v>
      </c>
      <c r="U91" s="11" t="s">
        <v>222</v>
      </c>
      <c r="V91" s="11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</row>
    <row r="92" spans="1:42" ht="22.5" customHeight="1">
      <c r="A92" s="8"/>
      <c r="B92" s="9" t="s">
        <v>31</v>
      </c>
      <c r="C92" s="10">
        <v>1</v>
      </c>
      <c r="D92" s="10"/>
      <c r="E92" s="10">
        <v>1</v>
      </c>
      <c r="F92" s="10"/>
      <c r="G92" s="10">
        <f t="shared" si="6"/>
        <v>0</v>
      </c>
      <c r="H92" s="9"/>
      <c r="I92" s="10">
        <v>1</v>
      </c>
      <c r="J92" s="10">
        <f t="shared" si="5"/>
        <v>0</v>
      </c>
      <c r="K92" s="9">
        <f t="shared" si="2"/>
        <v>0</v>
      </c>
      <c r="L92" s="11" t="s">
        <v>138</v>
      </c>
      <c r="M92" s="11" t="s">
        <v>223</v>
      </c>
      <c r="N92" s="12" t="str">
        <f t="shared" si="3"/>
        <v>Illumination|Thorlabs|E09RMS</v>
      </c>
      <c r="O92" s="12">
        <f t="shared" si="4"/>
        <v>1</v>
      </c>
      <c r="P92" s="12" t="s">
        <v>38</v>
      </c>
      <c r="Q92" s="12"/>
      <c r="R92" s="13" t="s">
        <v>138</v>
      </c>
      <c r="S92" s="13" t="s">
        <v>223</v>
      </c>
      <c r="T92" s="13" t="s">
        <v>224</v>
      </c>
      <c r="U92" s="11" t="s">
        <v>26</v>
      </c>
      <c r="V92" s="11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</row>
    <row r="93" spans="1:42" ht="22.5" customHeight="1">
      <c r="A93" s="8"/>
      <c r="B93" s="9" t="s">
        <v>31</v>
      </c>
      <c r="C93" s="10">
        <v>4</v>
      </c>
      <c r="D93" s="10"/>
      <c r="E93" s="10">
        <v>4</v>
      </c>
      <c r="F93" s="10"/>
      <c r="G93" s="10">
        <f t="shared" si="6"/>
        <v>0</v>
      </c>
      <c r="H93" s="9"/>
      <c r="I93" s="10">
        <v>1</v>
      </c>
      <c r="J93" s="10">
        <f t="shared" si="5"/>
        <v>0</v>
      </c>
      <c r="K93" s="9">
        <f t="shared" si="2"/>
        <v>0</v>
      </c>
      <c r="L93" s="11" t="s">
        <v>138</v>
      </c>
      <c r="M93" s="11" t="s">
        <v>225</v>
      </c>
      <c r="N93" s="12" t="str">
        <f t="shared" si="3"/>
        <v>Illumination|Thorlabs|ER025</v>
      </c>
      <c r="O93" s="12">
        <f t="shared" si="4"/>
        <v>1</v>
      </c>
      <c r="P93" s="12"/>
      <c r="Q93" s="12"/>
      <c r="R93" s="13"/>
      <c r="S93" s="13"/>
      <c r="T93" s="13"/>
      <c r="U93" s="11"/>
      <c r="V93" s="11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</row>
    <row r="94" spans="1:42" ht="22.5" customHeight="1">
      <c r="A94" s="8"/>
      <c r="B94" s="9" t="s">
        <v>27</v>
      </c>
      <c r="C94" s="10">
        <v>4</v>
      </c>
      <c r="D94" s="10"/>
      <c r="E94" s="10">
        <v>0</v>
      </c>
      <c r="F94" s="10"/>
      <c r="G94" s="10">
        <f t="shared" si="6"/>
        <v>4</v>
      </c>
      <c r="H94" s="9"/>
      <c r="I94" s="10">
        <v>4</v>
      </c>
      <c r="J94" s="10">
        <f t="shared" si="5"/>
        <v>1</v>
      </c>
      <c r="K94" s="9">
        <f t="shared" si="2"/>
        <v>0</v>
      </c>
      <c r="L94" s="11" t="s">
        <v>138</v>
      </c>
      <c r="M94" s="11" t="s">
        <v>226</v>
      </c>
      <c r="N94" s="12" t="str">
        <f t="shared" si="3"/>
        <v>Imaging|Thorlabs|ER05-P4</v>
      </c>
      <c r="O94" s="12">
        <f t="shared" si="4"/>
        <v>1</v>
      </c>
      <c r="P94" s="12"/>
      <c r="Q94" s="12"/>
      <c r="R94" s="13"/>
      <c r="S94" s="13"/>
      <c r="T94" s="13"/>
      <c r="U94" s="11" t="s">
        <v>43</v>
      </c>
      <c r="V94" s="11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</row>
    <row r="95" spans="1:42" ht="22.5" customHeight="1">
      <c r="A95" s="8"/>
      <c r="B95" s="9" t="s">
        <v>31</v>
      </c>
      <c r="C95" s="10">
        <v>0</v>
      </c>
      <c r="D95" s="10"/>
      <c r="E95" s="10">
        <v>0</v>
      </c>
      <c r="F95" s="10"/>
      <c r="G95" s="10">
        <f t="shared" si="6"/>
        <v>0</v>
      </c>
      <c r="H95" s="9"/>
      <c r="I95" s="10">
        <v>4</v>
      </c>
      <c r="J95" s="10">
        <f t="shared" si="5"/>
        <v>0</v>
      </c>
      <c r="K95" s="9">
        <f t="shared" si="2"/>
        <v>0</v>
      </c>
      <c r="L95" s="11" t="s">
        <v>138</v>
      </c>
      <c r="M95" s="11" t="s">
        <v>227</v>
      </c>
      <c r="N95" s="12" t="str">
        <f t="shared" si="3"/>
        <v xml:space="preserve">Illumination|Thorlabs|ER05-P4 </v>
      </c>
      <c r="O95" s="12">
        <f t="shared" si="4"/>
        <v>1</v>
      </c>
      <c r="P95" s="12" t="s">
        <v>38</v>
      </c>
      <c r="Q95" s="12"/>
      <c r="R95" s="13" t="s">
        <v>138</v>
      </c>
      <c r="S95" s="13" t="s">
        <v>227</v>
      </c>
      <c r="T95" s="13" t="s">
        <v>228</v>
      </c>
      <c r="U95" s="11" t="s">
        <v>26</v>
      </c>
      <c r="V95" s="11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</row>
    <row r="96" spans="1:42" ht="22.5" customHeight="1">
      <c r="A96" s="8"/>
      <c r="B96" s="9" t="s">
        <v>31</v>
      </c>
      <c r="C96" s="10">
        <v>8</v>
      </c>
      <c r="D96" s="10"/>
      <c r="E96" s="10">
        <v>8</v>
      </c>
      <c r="F96" s="10"/>
      <c r="G96" s="10">
        <f t="shared" si="6"/>
        <v>0</v>
      </c>
      <c r="H96" s="9"/>
      <c r="I96" s="10">
        <v>4</v>
      </c>
      <c r="J96" s="10">
        <f t="shared" si="5"/>
        <v>0</v>
      </c>
      <c r="K96" s="9">
        <f t="shared" si="2"/>
        <v>0</v>
      </c>
      <c r="L96" s="11" t="s">
        <v>138</v>
      </c>
      <c r="M96" s="11" t="s">
        <v>229</v>
      </c>
      <c r="N96" s="12" t="str">
        <f t="shared" si="3"/>
        <v>Illumination|Thorlabs|ER1-P4</v>
      </c>
      <c r="O96" s="12">
        <f t="shared" si="4"/>
        <v>1</v>
      </c>
      <c r="P96" s="12" t="s">
        <v>38</v>
      </c>
      <c r="Q96" s="12"/>
      <c r="R96" s="13" t="s">
        <v>138</v>
      </c>
      <c r="S96" s="13" t="s">
        <v>229</v>
      </c>
      <c r="T96" s="13" t="s">
        <v>230</v>
      </c>
      <c r="U96" s="11" t="s">
        <v>26</v>
      </c>
      <c r="V96" s="11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</row>
    <row r="97" spans="1:42" ht="22.5" customHeight="1">
      <c r="A97" s="8"/>
      <c r="B97" s="9" t="s">
        <v>27</v>
      </c>
      <c r="C97" s="10">
        <v>1</v>
      </c>
      <c r="D97" s="10"/>
      <c r="E97" s="10">
        <v>0</v>
      </c>
      <c r="F97" s="10"/>
      <c r="G97" s="10">
        <f t="shared" si="6"/>
        <v>1</v>
      </c>
      <c r="H97" s="9"/>
      <c r="I97" s="10">
        <v>1</v>
      </c>
      <c r="J97" s="10">
        <f t="shared" si="5"/>
        <v>1</v>
      </c>
      <c r="K97" s="9">
        <f t="shared" si="2"/>
        <v>0</v>
      </c>
      <c r="L97" s="11" t="s">
        <v>138</v>
      </c>
      <c r="M97" s="11" t="s">
        <v>231</v>
      </c>
      <c r="N97" s="12" t="str">
        <f t="shared" si="3"/>
        <v>Imaging|Thorlabs|ER1.5</v>
      </c>
      <c r="O97" s="12">
        <f t="shared" si="4"/>
        <v>1</v>
      </c>
      <c r="P97" s="12"/>
      <c r="Q97" s="12"/>
      <c r="R97" s="13"/>
      <c r="S97" s="13"/>
      <c r="T97" s="13"/>
      <c r="U97" s="11" t="s">
        <v>43</v>
      </c>
      <c r="V97" s="11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</row>
    <row r="98" spans="1:42" ht="22.5" customHeight="1">
      <c r="A98" s="8"/>
      <c r="B98" s="9" t="s">
        <v>31</v>
      </c>
      <c r="C98" s="10">
        <v>4</v>
      </c>
      <c r="D98" s="10"/>
      <c r="E98" s="10">
        <v>4</v>
      </c>
      <c r="F98" s="10"/>
      <c r="G98" s="10">
        <f t="shared" si="6"/>
        <v>0</v>
      </c>
      <c r="H98" s="9"/>
      <c r="I98" s="10">
        <v>4</v>
      </c>
      <c r="J98" s="10">
        <f t="shared" si="5"/>
        <v>0</v>
      </c>
      <c r="K98" s="9">
        <f t="shared" si="2"/>
        <v>0</v>
      </c>
      <c r="L98" s="11" t="s">
        <v>138</v>
      </c>
      <c r="M98" s="11" t="s">
        <v>232</v>
      </c>
      <c r="N98" s="12" t="str">
        <f t="shared" si="3"/>
        <v>Illumination|Thorlabs|ER1.5-P4</v>
      </c>
      <c r="O98" s="12">
        <f t="shared" si="4"/>
        <v>1</v>
      </c>
      <c r="P98" s="12" t="s">
        <v>38</v>
      </c>
      <c r="Q98" s="12"/>
      <c r="R98" s="13" t="s">
        <v>138</v>
      </c>
      <c r="S98" s="13" t="s">
        <v>232</v>
      </c>
      <c r="T98" s="13" t="s">
        <v>233</v>
      </c>
      <c r="U98" s="11" t="s">
        <v>26</v>
      </c>
      <c r="V98" s="11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</row>
    <row r="99" spans="1:42" ht="22.5" customHeight="1">
      <c r="A99" s="8"/>
      <c r="B99" s="9" t="s">
        <v>31</v>
      </c>
      <c r="C99" s="10">
        <v>4</v>
      </c>
      <c r="D99" s="10"/>
      <c r="E99" s="10">
        <v>4</v>
      </c>
      <c r="F99" s="10"/>
      <c r="G99" s="10">
        <f t="shared" si="6"/>
        <v>0</v>
      </c>
      <c r="H99" s="9"/>
      <c r="I99" s="10">
        <v>1</v>
      </c>
      <c r="J99" s="10">
        <f t="shared" si="5"/>
        <v>0</v>
      </c>
      <c r="K99" s="9">
        <f t="shared" si="2"/>
        <v>0</v>
      </c>
      <c r="L99" s="11" t="s">
        <v>138</v>
      </c>
      <c r="M99" s="11" t="s">
        <v>234</v>
      </c>
      <c r="N99" s="12" t="str">
        <f t="shared" si="3"/>
        <v>Illumination|Thorlabs|ER10</v>
      </c>
      <c r="O99" s="12">
        <f t="shared" si="4"/>
        <v>1</v>
      </c>
      <c r="P99" s="12" t="s">
        <v>38</v>
      </c>
      <c r="Q99" s="12"/>
      <c r="R99" s="13" t="s">
        <v>138</v>
      </c>
      <c r="S99" s="13" t="s">
        <v>234</v>
      </c>
      <c r="T99" s="13" t="s">
        <v>235</v>
      </c>
      <c r="U99" s="11" t="s">
        <v>26</v>
      </c>
      <c r="V99" s="11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</row>
    <row r="100" spans="1:42" ht="22.5" customHeight="1">
      <c r="A100" s="8"/>
      <c r="B100" s="9" t="s">
        <v>27</v>
      </c>
      <c r="C100" s="10">
        <v>4</v>
      </c>
      <c r="D100" s="10"/>
      <c r="E100" s="10">
        <v>0</v>
      </c>
      <c r="F100" s="10"/>
      <c r="G100" s="10">
        <f t="shared" si="6"/>
        <v>4</v>
      </c>
      <c r="H100" s="9"/>
      <c r="I100" s="10">
        <v>1</v>
      </c>
      <c r="J100" s="10">
        <f t="shared" si="5"/>
        <v>4</v>
      </c>
      <c r="K100" s="9">
        <f t="shared" si="2"/>
        <v>0</v>
      </c>
      <c r="L100" s="11" t="s">
        <v>138</v>
      </c>
      <c r="M100" s="11" t="s">
        <v>234</v>
      </c>
      <c r="N100" s="12" t="str">
        <f t="shared" si="3"/>
        <v>Imaging|Thorlabs|ER10</v>
      </c>
      <c r="O100" s="12">
        <f t="shared" si="4"/>
        <v>1</v>
      </c>
      <c r="P100" s="12"/>
      <c r="Q100" s="12"/>
      <c r="R100" s="13"/>
      <c r="S100" s="13"/>
      <c r="T100" s="13"/>
      <c r="U100" s="11" t="s">
        <v>43</v>
      </c>
      <c r="V100" s="11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</row>
    <row r="101" spans="1:42" ht="22.5" customHeight="1">
      <c r="A101" s="8"/>
      <c r="B101" s="9" t="s">
        <v>83</v>
      </c>
      <c r="C101" s="10">
        <v>0</v>
      </c>
      <c r="D101" s="10"/>
      <c r="E101" s="10">
        <v>0</v>
      </c>
      <c r="F101" s="10"/>
      <c r="G101" s="10">
        <f t="shared" si="6"/>
        <v>0</v>
      </c>
      <c r="H101" s="9"/>
      <c r="I101" s="10">
        <v>1</v>
      </c>
      <c r="J101" s="10">
        <f t="shared" si="5"/>
        <v>0</v>
      </c>
      <c r="K101" s="9">
        <f t="shared" si="2"/>
        <v>0</v>
      </c>
      <c r="L101" s="11" t="s">
        <v>138</v>
      </c>
      <c r="M101" s="11" t="s">
        <v>236</v>
      </c>
      <c r="N101" s="12" t="str">
        <f t="shared" si="3"/>
        <v>Obselete/None|Thorlabs|ER18</v>
      </c>
      <c r="O101" s="12">
        <f t="shared" si="4"/>
        <v>1</v>
      </c>
      <c r="P101" s="12"/>
      <c r="Q101" s="12"/>
      <c r="R101" s="13"/>
      <c r="S101" s="13"/>
      <c r="T101" s="13"/>
      <c r="U101" s="11" t="s">
        <v>43</v>
      </c>
      <c r="V101" s="11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</row>
    <row r="102" spans="1:42" ht="22.5" customHeight="1">
      <c r="A102" s="8"/>
      <c r="B102" s="9" t="s">
        <v>27</v>
      </c>
      <c r="C102" s="10">
        <v>4</v>
      </c>
      <c r="D102" s="10"/>
      <c r="E102" s="10">
        <v>0</v>
      </c>
      <c r="F102" s="10"/>
      <c r="G102" s="10">
        <f t="shared" si="6"/>
        <v>4</v>
      </c>
      <c r="H102" s="9"/>
      <c r="I102" s="10">
        <v>1</v>
      </c>
      <c r="J102" s="10">
        <f t="shared" si="5"/>
        <v>4</v>
      </c>
      <c r="K102" s="9">
        <f t="shared" si="2"/>
        <v>0</v>
      </c>
      <c r="L102" s="11" t="s">
        <v>138</v>
      </c>
      <c r="M102" s="11" t="s">
        <v>237</v>
      </c>
      <c r="N102" s="12" t="str">
        <f t="shared" si="3"/>
        <v>Imaging|Thorlabs|ER2</v>
      </c>
      <c r="O102" s="12">
        <f t="shared" si="4"/>
        <v>1</v>
      </c>
      <c r="P102" s="12"/>
      <c r="Q102" s="12"/>
      <c r="R102" s="13"/>
      <c r="S102" s="13"/>
      <c r="T102" s="13"/>
      <c r="U102" s="11" t="s">
        <v>43</v>
      </c>
      <c r="V102" s="11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</row>
    <row r="103" spans="1:42" ht="22.5" customHeight="1">
      <c r="A103" s="8"/>
      <c r="B103" s="9" t="s">
        <v>31</v>
      </c>
      <c r="C103" s="10">
        <v>4</v>
      </c>
      <c r="D103" s="10"/>
      <c r="E103" s="10">
        <v>8</v>
      </c>
      <c r="F103" s="10"/>
      <c r="G103" s="10">
        <f t="shared" si="6"/>
        <v>0</v>
      </c>
      <c r="H103" s="9"/>
      <c r="I103" s="10">
        <v>4</v>
      </c>
      <c r="J103" s="10">
        <f t="shared" si="5"/>
        <v>0</v>
      </c>
      <c r="K103" s="9">
        <f t="shared" si="2"/>
        <v>0</v>
      </c>
      <c r="L103" s="11" t="s">
        <v>138</v>
      </c>
      <c r="M103" s="11" t="s">
        <v>238</v>
      </c>
      <c r="N103" s="12" t="str">
        <f t="shared" si="3"/>
        <v>Illumination|Thorlabs|ER2-P4</v>
      </c>
      <c r="O103" s="12">
        <f t="shared" si="4"/>
        <v>1</v>
      </c>
      <c r="P103" s="12" t="s">
        <v>38</v>
      </c>
      <c r="Q103" s="12"/>
      <c r="R103" s="13" t="s">
        <v>138</v>
      </c>
      <c r="S103" s="13" t="s">
        <v>238</v>
      </c>
      <c r="T103" s="13" t="s">
        <v>239</v>
      </c>
      <c r="U103" s="11" t="s">
        <v>26</v>
      </c>
      <c r="V103" s="11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</row>
    <row r="104" spans="1:42" ht="22.5" customHeight="1">
      <c r="A104" s="8"/>
      <c r="B104" s="9" t="s">
        <v>27</v>
      </c>
      <c r="C104" s="10">
        <v>4</v>
      </c>
      <c r="D104" s="10"/>
      <c r="E104" s="10">
        <v>0</v>
      </c>
      <c r="F104" s="10"/>
      <c r="G104" s="10">
        <f t="shared" si="6"/>
        <v>4</v>
      </c>
      <c r="H104" s="9"/>
      <c r="I104" s="10">
        <v>1</v>
      </c>
      <c r="J104" s="10">
        <f t="shared" si="5"/>
        <v>4</v>
      </c>
      <c r="K104" s="9">
        <f t="shared" si="2"/>
        <v>0</v>
      </c>
      <c r="L104" s="11" t="s">
        <v>138</v>
      </c>
      <c r="M104" s="11" t="s">
        <v>240</v>
      </c>
      <c r="N104" s="12" t="str">
        <f t="shared" si="3"/>
        <v>Imaging|Thorlabs|ER24</v>
      </c>
      <c r="O104" s="12">
        <f t="shared" si="4"/>
        <v>1</v>
      </c>
      <c r="P104" s="12"/>
      <c r="Q104" s="12"/>
      <c r="R104" s="13"/>
      <c r="S104" s="13"/>
      <c r="T104" s="13"/>
      <c r="U104" s="11" t="s">
        <v>43</v>
      </c>
      <c r="V104" s="11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</row>
    <row r="105" spans="1:42" ht="22.5" customHeight="1">
      <c r="A105" s="8"/>
      <c r="B105" s="9" t="s">
        <v>31</v>
      </c>
      <c r="C105" s="10">
        <v>12</v>
      </c>
      <c r="D105" s="10"/>
      <c r="E105" s="10">
        <v>12</v>
      </c>
      <c r="F105" s="10"/>
      <c r="G105" s="10">
        <f t="shared" si="6"/>
        <v>0</v>
      </c>
      <c r="H105" s="9"/>
      <c r="I105" s="10">
        <v>4</v>
      </c>
      <c r="J105" s="10">
        <f t="shared" si="5"/>
        <v>0</v>
      </c>
      <c r="K105" s="9">
        <f t="shared" si="2"/>
        <v>0</v>
      </c>
      <c r="L105" s="11" t="s">
        <v>138</v>
      </c>
      <c r="M105" s="11" t="s">
        <v>241</v>
      </c>
      <c r="N105" s="12" t="str">
        <f t="shared" si="3"/>
        <v>Illumination|Thorlabs|ER3-P4</v>
      </c>
      <c r="O105" s="12">
        <f t="shared" si="4"/>
        <v>1</v>
      </c>
      <c r="P105" s="12" t="s">
        <v>38</v>
      </c>
      <c r="Q105" s="12"/>
      <c r="R105" s="13" t="s">
        <v>138</v>
      </c>
      <c r="S105" s="13" t="s">
        <v>241</v>
      </c>
      <c r="T105" s="13" t="s">
        <v>242</v>
      </c>
      <c r="U105" s="11" t="s">
        <v>26</v>
      </c>
      <c r="V105" s="11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</row>
    <row r="106" spans="1:42" ht="22.5" customHeight="1">
      <c r="A106" s="8"/>
      <c r="B106" s="9" t="s">
        <v>27</v>
      </c>
      <c r="C106" s="10">
        <v>12</v>
      </c>
      <c r="D106" s="10"/>
      <c r="E106" s="10">
        <v>0</v>
      </c>
      <c r="F106" s="10"/>
      <c r="G106" s="10">
        <f t="shared" si="6"/>
        <v>12</v>
      </c>
      <c r="H106" s="9"/>
      <c r="I106" s="10">
        <v>4</v>
      </c>
      <c r="J106" s="10">
        <f t="shared" si="5"/>
        <v>3</v>
      </c>
      <c r="K106" s="9">
        <f t="shared" si="2"/>
        <v>0</v>
      </c>
      <c r="L106" s="11" t="s">
        <v>138</v>
      </c>
      <c r="M106" s="11" t="s">
        <v>241</v>
      </c>
      <c r="N106" s="12" t="str">
        <f t="shared" si="3"/>
        <v>Imaging|Thorlabs|ER3-P4</v>
      </c>
      <c r="O106" s="12">
        <f t="shared" si="4"/>
        <v>1</v>
      </c>
      <c r="P106" s="12"/>
      <c r="Q106" s="12"/>
      <c r="R106" s="13"/>
      <c r="S106" s="13"/>
      <c r="T106" s="13"/>
      <c r="U106" s="11" t="s">
        <v>43</v>
      </c>
      <c r="V106" s="11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</row>
    <row r="107" spans="1:42" ht="22.5" customHeight="1">
      <c r="A107" s="8"/>
      <c r="B107" s="9" t="s">
        <v>31</v>
      </c>
      <c r="C107" s="10">
        <v>8</v>
      </c>
      <c r="D107" s="10"/>
      <c r="E107" s="10">
        <v>8</v>
      </c>
      <c r="F107" s="10"/>
      <c r="G107" s="10">
        <f t="shared" si="6"/>
        <v>0</v>
      </c>
      <c r="H107" s="9"/>
      <c r="I107" s="10">
        <v>4</v>
      </c>
      <c r="J107" s="10">
        <f t="shared" si="5"/>
        <v>0</v>
      </c>
      <c r="K107" s="9">
        <f t="shared" si="2"/>
        <v>0</v>
      </c>
      <c r="L107" s="11" t="s">
        <v>138</v>
      </c>
      <c r="M107" s="11" t="s">
        <v>243</v>
      </c>
      <c r="N107" s="12" t="str">
        <f t="shared" si="3"/>
        <v>Illumination|Thorlabs|ER4-P4</v>
      </c>
      <c r="O107" s="12">
        <f t="shared" si="4"/>
        <v>1</v>
      </c>
      <c r="P107" s="12"/>
      <c r="Q107" s="12"/>
      <c r="R107" s="13" t="s">
        <v>138</v>
      </c>
      <c r="S107" s="13" t="s">
        <v>243</v>
      </c>
      <c r="T107" s="13" t="s">
        <v>244</v>
      </c>
      <c r="U107" s="11" t="s">
        <v>245</v>
      </c>
      <c r="V107" s="11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</row>
    <row r="108" spans="1:42" ht="22.5" customHeight="1">
      <c r="A108" s="8"/>
      <c r="B108" s="9" t="s">
        <v>27</v>
      </c>
      <c r="C108" s="10">
        <v>3</v>
      </c>
      <c r="D108" s="10"/>
      <c r="E108" s="10">
        <v>4</v>
      </c>
      <c r="F108" s="10"/>
      <c r="G108" s="10">
        <f t="shared" si="6"/>
        <v>0</v>
      </c>
      <c r="H108" s="9"/>
      <c r="I108" s="10">
        <v>4</v>
      </c>
      <c r="J108" s="10">
        <f t="shared" si="5"/>
        <v>0</v>
      </c>
      <c r="K108" s="9">
        <f t="shared" si="2"/>
        <v>0</v>
      </c>
      <c r="L108" s="11" t="s">
        <v>138</v>
      </c>
      <c r="M108" s="11" t="s">
        <v>246</v>
      </c>
      <c r="N108" s="12" t="str">
        <f t="shared" si="3"/>
        <v>Imaging|Thorlabs|ER6-P4</v>
      </c>
      <c r="O108" s="12">
        <f t="shared" si="4"/>
        <v>1</v>
      </c>
      <c r="P108" s="12" t="s">
        <v>38</v>
      </c>
      <c r="Q108" s="12"/>
      <c r="R108" s="13" t="s">
        <v>138</v>
      </c>
      <c r="S108" s="13" t="s">
        <v>246</v>
      </c>
      <c r="T108" s="13" t="s">
        <v>247</v>
      </c>
      <c r="U108" s="15" t="s">
        <v>248</v>
      </c>
      <c r="V108" s="11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</row>
    <row r="109" spans="1:42" ht="22.5" customHeight="1">
      <c r="A109" s="8"/>
      <c r="B109" s="9" t="s">
        <v>27</v>
      </c>
      <c r="C109" s="10">
        <v>8</v>
      </c>
      <c r="D109" s="10"/>
      <c r="E109" s="10">
        <v>0</v>
      </c>
      <c r="F109" s="10"/>
      <c r="G109" s="10">
        <f t="shared" si="6"/>
        <v>8</v>
      </c>
      <c r="H109" s="9"/>
      <c r="I109" s="10">
        <v>4</v>
      </c>
      <c r="J109" s="10">
        <f t="shared" si="5"/>
        <v>2</v>
      </c>
      <c r="K109" s="9">
        <f t="shared" si="2"/>
        <v>0</v>
      </c>
      <c r="L109" s="11" t="s">
        <v>138</v>
      </c>
      <c r="M109" s="11" t="s">
        <v>249</v>
      </c>
      <c r="N109" s="12" t="str">
        <f t="shared" si="3"/>
        <v>Imaging|Thorlabs|ER8-P4</v>
      </c>
      <c r="O109" s="12">
        <f t="shared" si="4"/>
        <v>1</v>
      </c>
      <c r="P109" s="12"/>
      <c r="Q109" s="12"/>
      <c r="R109" s="13"/>
      <c r="S109" s="13"/>
      <c r="T109" s="13"/>
      <c r="U109" s="11" t="s">
        <v>43</v>
      </c>
      <c r="V109" s="11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</row>
    <row r="110" spans="1:42" ht="22.5" customHeight="1">
      <c r="A110" s="8"/>
      <c r="B110" s="9" t="s">
        <v>27</v>
      </c>
      <c r="C110" s="10">
        <v>1</v>
      </c>
      <c r="D110" s="10"/>
      <c r="E110" s="10">
        <v>0</v>
      </c>
      <c r="F110" s="10"/>
      <c r="G110" s="10">
        <f t="shared" si="6"/>
        <v>1</v>
      </c>
      <c r="H110" s="9"/>
      <c r="I110" s="10">
        <v>1</v>
      </c>
      <c r="J110" s="10">
        <f t="shared" si="5"/>
        <v>1</v>
      </c>
      <c r="K110" s="9">
        <f t="shared" si="2"/>
        <v>0</v>
      </c>
      <c r="L110" s="11" t="s">
        <v>138</v>
      </c>
      <c r="M110" s="11" t="s">
        <v>250</v>
      </c>
      <c r="N110" s="12" t="str">
        <f t="shared" si="3"/>
        <v>Imaging|Thorlabs|GN2</v>
      </c>
      <c r="O110" s="12">
        <f t="shared" si="4"/>
        <v>1</v>
      </c>
      <c r="P110" s="12"/>
      <c r="Q110" s="12"/>
      <c r="R110" s="13"/>
      <c r="S110" s="13"/>
      <c r="T110" s="13"/>
      <c r="U110" s="11" t="s">
        <v>43</v>
      </c>
      <c r="V110" s="11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</row>
    <row r="111" spans="1:42" ht="22.5" customHeight="1">
      <c r="A111" s="8"/>
      <c r="B111" s="9" t="s">
        <v>31</v>
      </c>
      <c r="C111" s="10">
        <v>1</v>
      </c>
      <c r="D111" s="10"/>
      <c r="E111" s="10">
        <v>1</v>
      </c>
      <c r="F111" s="10"/>
      <c r="G111" s="10">
        <f t="shared" si="6"/>
        <v>0</v>
      </c>
      <c r="H111" s="9"/>
      <c r="I111" s="10">
        <v>1</v>
      </c>
      <c r="J111" s="10">
        <f t="shared" si="5"/>
        <v>0</v>
      </c>
      <c r="K111" s="9">
        <f t="shared" si="2"/>
        <v>0</v>
      </c>
      <c r="L111" s="11" t="s">
        <v>138</v>
      </c>
      <c r="M111" s="11" t="s">
        <v>251</v>
      </c>
      <c r="N111" s="12" t="str">
        <f t="shared" si="3"/>
        <v>Illumination|Thorlabs|H45</v>
      </c>
      <c r="O111" s="12">
        <f t="shared" si="4"/>
        <v>1</v>
      </c>
      <c r="P111" s="12" t="s">
        <v>38</v>
      </c>
      <c r="Q111" s="12"/>
      <c r="R111" s="13" t="s">
        <v>138</v>
      </c>
      <c r="S111" s="13" t="s">
        <v>251</v>
      </c>
      <c r="T111" s="13" t="s">
        <v>252</v>
      </c>
      <c r="U111" s="11" t="s">
        <v>26</v>
      </c>
      <c r="V111" s="11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</row>
    <row r="112" spans="1:42" ht="22.5" customHeight="1">
      <c r="A112" s="8"/>
      <c r="B112" s="9" t="s">
        <v>253</v>
      </c>
      <c r="C112" s="10"/>
      <c r="D112" s="10">
        <v>1</v>
      </c>
      <c r="E112" s="10">
        <v>1</v>
      </c>
      <c r="F112" s="10"/>
      <c r="G112" s="10">
        <f t="shared" si="6"/>
        <v>0</v>
      </c>
      <c r="H112" s="9"/>
      <c r="I112" s="10">
        <v>1</v>
      </c>
      <c r="J112" s="10">
        <f t="shared" si="5"/>
        <v>0</v>
      </c>
      <c r="K112" s="9">
        <f t="shared" si="2"/>
        <v>0</v>
      </c>
      <c r="L112" s="9" t="s">
        <v>138</v>
      </c>
      <c r="M112" s="11" t="s">
        <v>254</v>
      </c>
      <c r="N112" s="12" t="str">
        <f t="shared" si="3"/>
        <v>Gen Hardware|Thorlabs|HW-KIT1</v>
      </c>
      <c r="O112" s="12">
        <f t="shared" si="4"/>
        <v>1</v>
      </c>
      <c r="P112" s="12"/>
      <c r="Q112" s="12"/>
      <c r="R112" s="12" t="s">
        <v>138</v>
      </c>
      <c r="S112" s="13" t="s">
        <v>254</v>
      </c>
      <c r="T112" s="13"/>
      <c r="U112" s="11"/>
      <c r="V112" s="11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</row>
    <row r="113" spans="1:42" ht="22.5" customHeight="1">
      <c r="A113" s="8"/>
      <c r="B113" s="9" t="s">
        <v>253</v>
      </c>
      <c r="C113" s="10"/>
      <c r="D113" s="10">
        <v>1</v>
      </c>
      <c r="E113" s="10">
        <v>1</v>
      </c>
      <c r="F113" s="10"/>
      <c r="G113" s="10">
        <f t="shared" si="6"/>
        <v>0</v>
      </c>
      <c r="H113" s="9"/>
      <c r="I113" s="10">
        <v>1</v>
      </c>
      <c r="J113" s="10">
        <f t="shared" si="5"/>
        <v>0</v>
      </c>
      <c r="K113" s="9">
        <f t="shared" si="2"/>
        <v>0</v>
      </c>
      <c r="L113" s="9" t="s">
        <v>138</v>
      </c>
      <c r="M113" s="11" t="s">
        <v>255</v>
      </c>
      <c r="N113" s="12" t="str">
        <f t="shared" si="3"/>
        <v>Gen Hardware|Thorlabs|HW-KIT2</v>
      </c>
      <c r="O113" s="12">
        <f t="shared" si="4"/>
        <v>1</v>
      </c>
      <c r="P113" s="12"/>
      <c r="Q113" s="12"/>
      <c r="R113" s="12" t="s">
        <v>138</v>
      </c>
      <c r="S113" s="13" t="s">
        <v>255</v>
      </c>
      <c r="T113" s="13"/>
      <c r="U113" s="11"/>
      <c r="V113" s="11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</row>
    <row r="114" spans="1:42" ht="22.5" customHeight="1">
      <c r="A114" s="8"/>
      <c r="B114" s="9" t="s">
        <v>253</v>
      </c>
      <c r="C114" s="10"/>
      <c r="D114" s="10">
        <v>1</v>
      </c>
      <c r="E114" s="10">
        <v>1</v>
      </c>
      <c r="F114" s="10"/>
      <c r="G114" s="10">
        <f t="shared" si="6"/>
        <v>0</v>
      </c>
      <c r="H114" s="9"/>
      <c r="I114" s="10">
        <v>1</v>
      </c>
      <c r="J114" s="10">
        <f t="shared" si="5"/>
        <v>0</v>
      </c>
      <c r="K114" s="9">
        <f t="shared" si="2"/>
        <v>0</v>
      </c>
      <c r="L114" s="9" t="s">
        <v>138</v>
      </c>
      <c r="M114" s="11" t="s">
        <v>256</v>
      </c>
      <c r="N114" s="12" t="str">
        <f t="shared" si="3"/>
        <v>Gen Hardware|Thorlabs|HW-KIT3</v>
      </c>
      <c r="O114" s="12">
        <f t="shared" si="4"/>
        <v>1</v>
      </c>
      <c r="P114" s="12"/>
      <c r="Q114" s="12"/>
      <c r="R114" s="12" t="s">
        <v>138</v>
      </c>
      <c r="S114" s="13" t="s">
        <v>256</v>
      </c>
      <c r="T114" s="13"/>
      <c r="U114" s="11"/>
      <c r="V114" s="11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</row>
    <row r="115" spans="1:42" ht="22.5" customHeight="1">
      <c r="A115" s="8"/>
      <c r="B115" s="9" t="s">
        <v>253</v>
      </c>
      <c r="C115" s="10"/>
      <c r="D115" s="10">
        <v>1</v>
      </c>
      <c r="E115" s="10">
        <v>1</v>
      </c>
      <c r="F115" s="10"/>
      <c r="G115" s="10">
        <f t="shared" si="6"/>
        <v>0</v>
      </c>
      <c r="H115" s="9"/>
      <c r="I115" s="10">
        <v>1</v>
      </c>
      <c r="J115" s="10">
        <f t="shared" si="5"/>
        <v>0</v>
      </c>
      <c r="K115" s="9">
        <f t="shared" si="2"/>
        <v>0</v>
      </c>
      <c r="L115" s="9" t="s">
        <v>138</v>
      </c>
      <c r="M115" s="11" t="s">
        <v>257</v>
      </c>
      <c r="N115" s="12" t="str">
        <f t="shared" si="3"/>
        <v>Gen Hardware|Thorlabs|HW-KIT4</v>
      </c>
      <c r="O115" s="12">
        <f t="shared" si="4"/>
        <v>1</v>
      </c>
      <c r="P115" s="12"/>
      <c r="Q115" s="12"/>
      <c r="R115" s="12" t="s">
        <v>138</v>
      </c>
      <c r="S115" s="13" t="s">
        <v>257</v>
      </c>
      <c r="T115" s="13"/>
      <c r="U115" s="11"/>
      <c r="V115" s="11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</row>
    <row r="116" spans="1:42" ht="22.5" customHeight="1">
      <c r="A116" s="8"/>
      <c r="B116" s="9" t="s">
        <v>253</v>
      </c>
      <c r="C116" s="10"/>
      <c r="D116" s="10">
        <v>1</v>
      </c>
      <c r="E116" s="10">
        <v>1</v>
      </c>
      <c r="F116" s="10"/>
      <c r="G116" s="10">
        <f t="shared" si="6"/>
        <v>0</v>
      </c>
      <c r="H116" s="9"/>
      <c r="I116" s="10">
        <v>1</v>
      </c>
      <c r="J116" s="10">
        <f t="shared" si="5"/>
        <v>0</v>
      </c>
      <c r="K116" s="9">
        <f t="shared" si="2"/>
        <v>0</v>
      </c>
      <c r="L116" s="9" t="s">
        <v>138</v>
      </c>
      <c r="M116" s="11" t="s">
        <v>258</v>
      </c>
      <c r="N116" s="12" t="str">
        <f t="shared" si="3"/>
        <v>Gen Hardware|Thorlabs|HW-KIT5</v>
      </c>
      <c r="O116" s="12">
        <f t="shared" si="4"/>
        <v>1</v>
      </c>
      <c r="P116" s="12"/>
      <c r="Q116" s="12"/>
      <c r="R116" s="12" t="s">
        <v>138</v>
      </c>
      <c r="S116" s="13" t="s">
        <v>258</v>
      </c>
      <c r="T116" s="13"/>
      <c r="U116" s="11"/>
      <c r="V116" s="11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</row>
    <row r="117" spans="1:42" ht="22.5" customHeight="1">
      <c r="A117" s="8"/>
      <c r="B117" s="9" t="s">
        <v>253</v>
      </c>
      <c r="C117" s="10"/>
      <c r="D117" s="10">
        <v>1</v>
      </c>
      <c r="E117" s="10">
        <v>1</v>
      </c>
      <c r="F117" s="10"/>
      <c r="G117" s="10">
        <f t="shared" si="6"/>
        <v>0</v>
      </c>
      <c r="H117" s="9"/>
      <c r="I117" s="10">
        <v>1</v>
      </c>
      <c r="J117" s="10">
        <f t="shared" si="5"/>
        <v>0</v>
      </c>
      <c r="K117" s="9">
        <f t="shared" si="2"/>
        <v>0</v>
      </c>
      <c r="L117" s="9" t="s">
        <v>138</v>
      </c>
      <c r="M117" s="11" t="s">
        <v>259</v>
      </c>
      <c r="N117" s="12" t="str">
        <f t="shared" si="3"/>
        <v>Gen Hardware|Thorlabs|HW-KIT6</v>
      </c>
      <c r="O117" s="12">
        <f t="shared" si="4"/>
        <v>1</v>
      </c>
      <c r="P117" s="12"/>
      <c r="Q117" s="12"/>
      <c r="R117" s="12" t="s">
        <v>138</v>
      </c>
      <c r="S117" s="13" t="s">
        <v>259</v>
      </c>
      <c r="T117" s="13"/>
      <c r="U117" s="11"/>
      <c r="V117" s="11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</row>
    <row r="118" spans="1:42" ht="22.5" customHeight="1">
      <c r="A118" s="8"/>
      <c r="B118" s="9" t="s">
        <v>31</v>
      </c>
      <c r="C118" s="10">
        <v>1</v>
      </c>
      <c r="D118" s="10"/>
      <c r="E118" s="10">
        <v>1</v>
      </c>
      <c r="F118" s="10"/>
      <c r="G118" s="10">
        <f t="shared" si="6"/>
        <v>0</v>
      </c>
      <c r="H118" s="9"/>
      <c r="I118" s="10">
        <v>1</v>
      </c>
      <c r="J118" s="10">
        <f t="shared" si="5"/>
        <v>0</v>
      </c>
      <c r="K118" s="9">
        <f t="shared" si="2"/>
        <v>0</v>
      </c>
      <c r="L118" s="11" t="s">
        <v>138</v>
      </c>
      <c r="M118" s="11" t="s">
        <v>260</v>
      </c>
      <c r="N118" s="12" t="str">
        <f t="shared" si="3"/>
        <v>Illumination|Thorlabs|ITL200</v>
      </c>
      <c r="O118" s="12">
        <f t="shared" si="4"/>
        <v>1</v>
      </c>
      <c r="P118" s="12"/>
      <c r="Q118" s="12"/>
      <c r="R118" s="13" t="s">
        <v>138</v>
      </c>
      <c r="S118" s="13" t="s">
        <v>260</v>
      </c>
      <c r="T118" s="13" t="s">
        <v>261</v>
      </c>
      <c r="U118" s="16" t="s">
        <v>262</v>
      </c>
      <c r="V118" s="11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</row>
    <row r="119" spans="1:42" ht="22.5" customHeight="1">
      <c r="A119" s="8"/>
      <c r="B119" s="9" t="s">
        <v>27</v>
      </c>
      <c r="C119" s="10">
        <v>1</v>
      </c>
      <c r="D119" s="10"/>
      <c r="E119" s="10">
        <v>0</v>
      </c>
      <c r="F119" s="10"/>
      <c r="G119" s="10">
        <f t="shared" si="6"/>
        <v>1</v>
      </c>
      <c r="H119" s="9"/>
      <c r="I119" s="10">
        <v>1</v>
      </c>
      <c r="J119" s="10">
        <f t="shared" si="5"/>
        <v>1</v>
      </c>
      <c r="K119" s="9">
        <f t="shared" si="2"/>
        <v>0</v>
      </c>
      <c r="L119" s="11" t="s">
        <v>138</v>
      </c>
      <c r="M119" s="11" t="s">
        <v>263</v>
      </c>
      <c r="N119" s="12" t="str">
        <f t="shared" si="3"/>
        <v>Imaging|Thorlabs|K6XS</v>
      </c>
      <c r="O119" s="12">
        <f t="shared" si="4"/>
        <v>1</v>
      </c>
      <c r="P119" s="12"/>
      <c r="Q119" s="12"/>
      <c r="R119" s="13"/>
      <c r="S119" s="13"/>
      <c r="T119" s="13"/>
      <c r="U119" s="11" t="s">
        <v>43</v>
      </c>
      <c r="V119" s="11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</row>
    <row r="120" spans="1:42" ht="22.5" customHeight="1">
      <c r="A120" s="8"/>
      <c r="B120" s="9" t="s">
        <v>31</v>
      </c>
      <c r="C120" s="10">
        <v>2</v>
      </c>
      <c r="D120" s="10"/>
      <c r="E120" s="10">
        <v>3</v>
      </c>
      <c r="F120" s="10"/>
      <c r="G120" s="10">
        <f t="shared" si="6"/>
        <v>0</v>
      </c>
      <c r="H120" s="9"/>
      <c r="I120" s="10">
        <v>1</v>
      </c>
      <c r="J120" s="10">
        <f t="shared" si="5"/>
        <v>0</v>
      </c>
      <c r="K120" s="9">
        <f t="shared" si="2"/>
        <v>0</v>
      </c>
      <c r="L120" s="11" t="s">
        <v>138</v>
      </c>
      <c r="M120" s="11" t="s">
        <v>264</v>
      </c>
      <c r="N120" s="12" t="str">
        <f t="shared" si="3"/>
        <v>Illumination|Thorlabs|KA05</v>
      </c>
      <c r="O120" s="12">
        <f t="shared" si="4"/>
        <v>1</v>
      </c>
      <c r="P120" s="12" t="s">
        <v>38</v>
      </c>
      <c r="Q120" s="12"/>
      <c r="R120" s="13" t="s">
        <v>138</v>
      </c>
      <c r="S120" s="13" t="s">
        <v>264</v>
      </c>
      <c r="T120" s="13" t="s">
        <v>265</v>
      </c>
      <c r="U120" s="11" t="s">
        <v>26</v>
      </c>
      <c r="V120" s="11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</row>
    <row r="121" spans="1:42" ht="22.5" customHeight="1">
      <c r="A121" s="8"/>
      <c r="B121" s="9"/>
      <c r="C121" s="10"/>
      <c r="D121" s="10"/>
      <c r="E121" s="10"/>
      <c r="F121" s="10"/>
      <c r="G121" s="10">
        <f t="shared" si="6"/>
        <v>0</v>
      </c>
      <c r="H121" s="9"/>
      <c r="I121" s="10">
        <v>1</v>
      </c>
      <c r="J121" s="10">
        <f t="shared" si="5"/>
        <v>0</v>
      </c>
      <c r="K121" s="9">
        <f t="shared" si="2"/>
        <v>0</v>
      </c>
      <c r="L121" s="11" t="s">
        <v>138</v>
      </c>
      <c r="M121" s="11" t="s">
        <v>266</v>
      </c>
      <c r="N121" s="12" t="str">
        <f t="shared" si="3"/>
        <v>|Thorlabs|KAD11F</v>
      </c>
      <c r="O121" s="12">
        <f t="shared" si="4"/>
        <v>1</v>
      </c>
      <c r="P121" s="12" t="s">
        <v>38</v>
      </c>
      <c r="Q121" s="12"/>
      <c r="R121" s="13" t="s">
        <v>138</v>
      </c>
      <c r="S121" s="13" t="s">
        <v>266</v>
      </c>
      <c r="T121" s="12"/>
      <c r="U121" s="11"/>
      <c r="V121" s="9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</row>
    <row r="122" spans="1:42" ht="22.5" customHeight="1">
      <c r="A122" s="8"/>
      <c r="B122" s="9" t="s">
        <v>31</v>
      </c>
      <c r="C122" s="10">
        <v>0</v>
      </c>
      <c r="D122" s="10"/>
      <c r="E122" s="10"/>
      <c r="F122" s="10"/>
      <c r="G122" s="10">
        <f t="shared" si="6"/>
        <v>0</v>
      </c>
      <c r="H122" s="9"/>
      <c r="I122" s="10">
        <v>1</v>
      </c>
      <c r="J122" s="10">
        <f t="shared" si="5"/>
        <v>0</v>
      </c>
      <c r="K122" s="9">
        <f t="shared" si="2"/>
        <v>0</v>
      </c>
      <c r="L122" s="11" t="s">
        <v>138</v>
      </c>
      <c r="M122" s="11" t="s">
        <v>267</v>
      </c>
      <c r="N122" s="12" t="str">
        <f t="shared" si="3"/>
        <v>Illumination|Thorlabs|KCB1</v>
      </c>
      <c r="O122" s="12">
        <f t="shared" si="4"/>
        <v>1</v>
      </c>
      <c r="P122" s="12" t="s">
        <v>38</v>
      </c>
      <c r="Q122" s="12"/>
      <c r="R122" s="13" t="s">
        <v>138</v>
      </c>
      <c r="S122" s="13" t="s">
        <v>267</v>
      </c>
      <c r="T122" s="13" t="s">
        <v>268</v>
      </c>
      <c r="U122" s="11" t="s">
        <v>26</v>
      </c>
      <c r="V122" s="11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</row>
    <row r="123" spans="1:42" ht="22.5" customHeight="1">
      <c r="A123" s="8"/>
      <c r="B123" s="9" t="s">
        <v>31</v>
      </c>
      <c r="C123" s="10">
        <v>0</v>
      </c>
      <c r="D123" s="10"/>
      <c r="E123" s="10"/>
      <c r="F123" s="10"/>
      <c r="G123" s="10">
        <f t="shared" si="6"/>
        <v>0</v>
      </c>
      <c r="H123" s="9"/>
      <c r="I123" s="10">
        <v>1</v>
      </c>
      <c r="J123" s="10">
        <f t="shared" si="5"/>
        <v>0</v>
      </c>
      <c r="K123" s="9">
        <f t="shared" si="2"/>
        <v>0</v>
      </c>
      <c r="L123" s="11" t="s">
        <v>138</v>
      </c>
      <c r="M123" s="11" t="s">
        <v>269</v>
      </c>
      <c r="N123" s="12" t="str">
        <f t="shared" si="3"/>
        <v>Illumination|Thorlabs|KCB1E</v>
      </c>
      <c r="O123" s="12">
        <f t="shared" si="4"/>
        <v>1</v>
      </c>
      <c r="P123" s="12" t="s">
        <v>38</v>
      </c>
      <c r="Q123" s="12"/>
      <c r="R123" s="13" t="s">
        <v>138</v>
      </c>
      <c r="S123" s="13" t="s">
        <v>269</v>
      </c>
      <c r="T123" s="13" t="s">
        <v>270</v>
      </c>
      <c r="U123" s="11" t="s">
        <v>26</v>
      </c>
      <c r="V123" s="11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</row>
    <row r="124" spans="1:42" ht="22.5" customHeight="1">
      <c r="A124" s="8"/>
      <c r="B124" s="9"/>
      <c r="C124" s="10"/>
      <c r="D124" s="10"/>
      <c r="E124" s="10">
        <v>1</v>
      </c>
      <c r="F124" s="10"/>
      <c r="G124" s="10">
        <f t="shared" si="6"/>
        <v>0</v>
      </c>
      <c r="H124" s="9"/>
      <c r="I124" s="10">
        <v>1</v>
      </c>
      <c r="J124" s="10">
        <f t="shared" si="5"/>
        <v>0</v>
      </c>
      <c r="K124" s="9">
        <f t="shared" si="2"/>
        <v>0</v>
      </c>
      <c r="L124" s="11" t="s">
        <v>138</v>
      </c>
      <c r="M124" s="11" t="s">
        <v>271</v>
      </c>
      <c r="N124" s="12" t="str">
        <f t="shared" si="3"/>
        <v>|Thorlabs|KCB1EC</v>
      </c>
      <c r="O124" s="12">
        <f t="shared" si="4"/>
        <v>1</v>
      </c>
      <c r="P124" s="12" t="s">
        <v>38</v>
      </c>
      <c r="Q124" s="12"/>
      <c r="R124" s="13" t="s">
        <v>138</v>
      </c>
      <c r="S124" s="13" t="s">
        <v>271</v>
      </c>
      <c r="T124" s="12"/>
      <c r="U124" s="11"/>
      <c r="V124" s="9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</row>
    <row r="125" spans="1:42" ht="22.5" customHeight="1">
      <c r="A125" s="8"/>
      <c r="B125" s="9" t="s">
        <v>31</v>
      </c>
      <c r="C125" s="10">
        <v>2</v>
      </c>
      <c r="D125" s="10"/>
      <c r="E125" s="10">
        <v>2</v>
      </c>
      <c r="F125" s="10"/>
      <c r="G125" s="10">
        <f t="shared" si="6"/>
        <v>0</v>
      </c>
      <c r="H125" s="9"/>
      <c r="I125" s="10">
        <v>1</v>
      </c>
      <c r="J125" s="10">
        <v>0</v>
      </c>
      <c r="K125" s="9">
        <f t="shared" si="2"/>
        <v>0</v>
      </c>
      <c r="L125" s="11" t="s">
        <v>138</v>
      </c>
      <c r="M125" s="11" t="s">
        <v>272</v>
      </c>
      <c r="N125" s="12" t="str">
        <f t="shared" si="3"/>
        <v>Illumination|Thorlabs|KCB1EC/M</v>
      </c>
      <c r="O125" s="12">
        <f t="shared" si="4"/>
        <v>1</v>
      </c>
      <c r="P125" s="12" t="s">
        <v>38</v>
      </c>
      <c r="Q125" s="12"/>
      <c r="R125" s="13" t="s">
        <v>138</v>
      </c>
      <c r="S125" s="13" t="s">
        <v>272</v>
      </c>
      <c r="T125" s="13" t="s">
        <v>273</v>
      </c>
      <c r="U125" s="15" t="s">
        <v>274</v>
      </c>
      <c r="V125" s="11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</row>
    <row r="126" spans="1:42" ht="22.5" customHeight="1">
      <c r="A126" s="8"/>
      <c r="B126" s="9" t="s">
        <v>27</v>
      </c>
      <c r="C126" s="10">
        <v>1</v>
      </c>
      <c r="D126" s="10"/>
      <c r="E126" s="10">
        <v>1</v>
      </c>
      <c r="F126" s="10"/>
      <c r="G126" s="10">
        <f t="shared" si="6"/>
        <v>0</v>
      </c>
      <c r="H126" s="9"/>
      <c r="I126" s="10">
        <v>1</v>
      </c>
      <c r="J126" s="10">
        <f t="shared" ref="J126:J316" si="7">G126/I126</f>
        <v>0</v>
      </c>
      <c r="K126" s="9">
        <f t="shared" si="2"/>
        <v>0</v>
      </c>
      <c r="L126" s="11" t="s">
        <v>138</v>
      </c>
      <c r="M126" s="11" t="s">
        <v>275</v>
      </c>
      <c r="N126" s="12" t="str">
        <f t="shared" si="3"/>
        <v>Imaging|Thorlabs|KCB2</v>
      </c>
      <c r="O126" s="12">
        <f t="shared" si="4"/>
        <v>1</v>
      </c>
      <c r="P126" s="12" t="s">
        <v>38</v>
      </c>
      <c r="Q126" s="12"/>
      <c r="R126" s="13" t="s">
        <v>138</v>
      </c>
      <c r="S126" s="13" t="s">
        <v>275</v>
      </c>
      <c r="T126" s="13" t="s">
        <v>276</v>
      </c>
      <c r="U126" s="15" t="s">
        <v>277</v>
      </c>
      <c r="V126" s="11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</row>
    <row r="127" spans="1:42" ht="22.5" customHeight="1">
      <c r="A127" s="8"/>
      <c r="B127" s="9"/>
      <c r="C127" s="10"/>
      <c r="D127" s="10"/>
      <c r="E127" s="10"/>
      <c r="F127" s="10"/>
      <c r="G127" s="10">
        <f t="shared" si="6"/>
        <v>0</v>
      </c>
      <c r="H127" s="9"/>
      <c r="I127" s="10">
        <v>1</v>
      </c>
      <c r="J127" s="10">
        <f t="shared" si="7"/>
        <v>0</v>
      </c>
      <c r="K127" s="9">
        <f t="shared" si="2"/>
        <v>0</v>
      </c>
      <c r="L127" s="11" t="s">
        <v>138</v>
      </c>
      <c r="M127" s="11" t="s">
        <v>278</v>
      </c>
      <c r="N127" s="12" t="str">
        <f t="shared" si="3"/>
        <v>|Thorlabs|KCB2E/M</v>
      </c>
      <c r="O127" s="12">
        <f t="shared" si="4"/>
        <v>1</v>
      </c>
      <c r="P127" s="12" t="s">
        <v>279</v>
      </c>
      <c r="Q127" s="12" t="s">
        <v>204</v>
      </c>
      <c r="R127" s="13" t="s">
        <v>138</v>
      </c>
      <c r="S127" s="13" t="s">
        <v>278</v>
      </c>
      <c r="T127" s="13"/>
      <c r="U127" s="11"/>
      <c r="V127" s="9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</row>
    <row r="128" spans="1:42" ht="22.5" customHeight="1">
      <c r="A128" s="8"/>
      <c r="B128" s="9" t="s">
        <v>27</v>
      </c>
      <c r="C128" s="10">
        <v>2</v>
      </c>
      <c r="D128" s="10"/>
      <c r="E128" s="10">
        <v>1</v>
      </c>
      <c r="F128" s="10"/>
      <c r="G128" s="10">
        <f t="shared" si="6"/>
        <v>1</v>
      </c>
      <c r="H128" s="9"/>
      <c r="I128" s="10">
        <v>1</v>
      </c>
      <c r="J128" s="10">
        <f t="shared" si="7"/>
        <v>1</v>
      </c>
      <c r="K128" s="9">
        <f t="shared" si="2"/>
        <v>0</v>
      </c>
      <c r="L128" s="11" t="s">
        <v>138</v>
      </c>
      <c r="M128" s="11" t="s">
        <v>280</v>
      </c>
      <c r="N128" s="12" t="str">
        <f t="shared" si="3"/>
        <v>Imaging|Thorlabs|KCB2EC</v>
      </c>
      <c r="O128" s="12">
        <f t="shared" si="4"/>
        <v>1</v>
      </c>
      <c r="P128" s="12"/>
      <c r="Q128" s="12"/>
      <c r="R128" s="13"/>
      <c r="S128" s="13"/>
      <c r="T128" s="13"/>
      <c r="U128" s="11" t="s">
        <v>43</v>
      </c>
      <c r="V128" s="11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</row>
    <row r="129" spans="1:42" ht="22.5" customHeight="1">
      <c r="A129" s="8"/>
      <c r="B129" s="9" t="s">
        <v>31</v>
      </c>
      <c r="C129" s="10">
        <v>1</v>
      </c>
      <c r="D129" s="10"/>
      <c r="E129" s="10">
        <v>1</v>
      </c>
      <c r="F129" s="10"/>
      <c r="G129" s="10">
        <f t="shared" si="6"/>
        <v>0</v>
      </c>
      <c r="H129" s="9"/>
      <c r="I129" s="10">
        <v>1</v>
      </c>
      <c r="J129" s="10">
        <f t="shared" si="7"/>
        <v>0</v>
      </c>
      <c r="K129" s="9">
        <f t="shared" si="2"/>
        <v>0</v>
      </c>
      <c r="L129" s="11" t="s">
        <v>138</v>
      </c>
      <c r="M129" s="11" t="s">
        <v>281</v>
      </c>
      <c r="N129" s="12" t="str">
        <f t="shared" si="3"/>
        <v>Illumination|Thorlabs|KM100</v>
      </c>
      <c r="O129" s="12">
        <f t="shared" si="4"/>
        <v>1</v>
      </c>
      <c r="P129" s="12" t="s">
        <v>38</v>
      </c>
      <c r="Q129" s="12"/>
      <c r="R129" s="13" t="s">
        <v>138</v>
      </c>
      <c r="S129" s="13" t="s">
        <v>281</v>
      </c>
      <c r="T129" s="13" t="s">
        <v>282</v>
      </c>
      <c r="U129" s="11" t="s">
        <v>283</v>
      </c>
      <c r="V129" s="11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</row>
    <row r="130" spans="1:42" ht="22.5" customHeight="1">
      <c r="A130" s="8"/>
      <c r="B130" s="9"/>
      <c r="C130" s="10"/>
      <c r="D130" s="10"/>
      <c r="E130" s="10"/>
      <c r="F130" s="10"/>
      <c r="G130" s="10">
        <f t="shared" si="6"/>
        <v>0</v>
      </c>
      <c r="H130" s="9"/>
      <c r="I130" s="10">
        <v>1</v>
      </c>
      <c r="J130" s="10">
        <f t="shared" si="7"/>
        <v>0</v>
      </c>
      <c r="K130" s="9">
        <f t="shared" si="2"/>
        <v>0</v>
      </c>
      <c r="L130" s="11" t="s">
        <v>138</v>
      </c>
      <c r="M130" s="11" t="s">
        <v>284</v>
      </c>
      <c r="N130" s="12" t="str">
        <f t="shared" si="3"/>
        <v>|Thorlabs|KM100B</v>
      </c>
      <c r="O130" s="12">
        <f t="shared" si="4"/>
        <v>1</v>
      </c>
      <c r="P130" s="12"/>
      <c r="Q130" s="12"/>
      <c r="R130" s="13" t="s">
        <v>138</v>
      </c>
      <c r="S130" s="13" t="s">
        <v>284</v>
      </c>
      <c r="T130" s="13" t="s">
        <v>285</v>
      </c>
      <c r="U130" s="16" t="s">
        <v>286</v>
      </c>
      <c r="V130" s="11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</row>
    <row r="131" spans="1:42" ht="22.5" customHeight="1">
      <c r="A131" s="8"/>
      <c r="B131" s="9"/>
      <c r="C131" s="10"/>
      <c r="D131" s="10"/>
      <c r="E131" s="10"/>
      <c r="F131" s="10"/>
      <c r="G131" s="10">
        <f t="shared" si="6"/>
        <v>0</v>
      </c>
      <c r="H131" s="9"/>
      <c r="I131" s="10">
        <v>1</v>
      </c>
      <c r="J131" s="10">
        <f t="shared" si="7"/>
        <v>0</v>
      </c>
      <c r="K131" s="9">
        <f t="shared" si="2"/>
        <v>0</v>
      </c>
      <c r="L131" s="11" t="s">
        <v>138</v>
      </c>
      <c r="M131" s="11" t="s">
        <v>287</v>
      </c>
      <c r="N131" s="12" t="str">
        <f t="shared" si="3"/>
        <v>|Thorlabs|KS1RS</v>
      </c>
      <c r="O131" s="12">
        <f t="shared" si="4"/>
        <v>1</v>
      </c>
      <c r="P131" s="12" t="s">
        <v>38</v>
      </c>
      <c r="Q131" s="12"/>
      <c r="R131" s="13" t="s">
        <v>138</v>
      </c>
      <c r="S131" s="13" t="s">
        <v>287</v>
      </c>
      <c r="T131" s="12"/>
      <c r="U131" s="11"/>
      <c r="V131" s="9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</row>
    <row r="132" spans="1:42" ht="22.5" customHeight="1">
      <c r="A132" s="8"/>
      <c r="B132" s="9" t="s">
        <v>31</v>
      </c>
      <c r="C132" s="10">
        <v>1</v>
      </c>
      <c r="D132" s="10"/>
      <c r="E132" s="10">
        <v>3</v>
      </c>
      <c r="F132" s="10"/>
      <c r="G132" s="10">
        <f t="shared" si="6"/>
        <v>0</v>
      </c>
      <c r="H132" s="9"/>
      <c r="I132" s="10">
        <v>1</v>
      </c>
      <c r="J132" s="10">
        <f t="shared" si="7"/>
        <v>0</v>
      </c>
      <c r="K132" s="9">
        <f t="shared" si="2"/>
        <v>0</v>
      </c>
      <c r="L132" s="11" t="s">
        <v>138</v>
      </c>
      <c r="M132" s="11" t="s">
        <v>288</v>
      </c>
      <c r="N132" s="12" t="str">
        <f t="shared" si="3"/>
        <v>Illumination|Thorlabs|LCP01</v>
      </c>
      <c r="O132" s="12">
        <f t="shared" si="4"/>
        <v>1</v>
      </c>
      <c r="P132" s="12" t="s">
        <v>279</v>
      </c>
      <c r="Q132" s="12"/>
      <c r="R132" s="13" t="s">
        <v>138</v>
      </c>
      <c r="S132" s="13" t="s">
        <v>288</v>
      </c>
      <c r="T132" s="13" t="s">
        <v>289</v>
      </c>
      <c r="U132" s="15" t="s">
        <v>290</v>
      </c>
      <c r="V132" s="11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</row>
    <row r="133" spans="1:42" ht="22.5" customHeight="1">
      <c r="A133" s="8"/>
      <c r="B133" s="9"/>
      <c r="C133" s="10"/>
      <c r="D133" s="10"/>
      <c r="E133" s="10"/>
      <c r="F133" s="10"/>
      <c r="G133" s="10">
        <f t="shared" si="6"/>
        <v>0</v>
      </c>
      <c r="H133" s="9"/>
      <c r="I133" s="10">
        <v>1</v>
      </c>
      <c r="J133" s="10">
        <f t="shared" si="7"/>
        <v>0</v>
      </c>
      <c r="K133" s="9">
        <f t="shared" si="2"/>
        <v>0</v>
      </c>
      <c r="L133" s="11" t="s">
        <v>138</v>
      </c>
      <c r="M133" s="11" t="s">
        <v>291</v>
      </c>
      <c r="N133" s="12" t="str">
        <f t="shared" si="3"/>
        <v>|Thorlabs|LCP01T/M</v>
      </c>
      <c r="O133" s="12">
        <f t="shared" si="4"/>
        <v>1</v>
      </c>
      <c r="P133" s="12" t="s">
        <v>279</v>
      </c>
      <c r="Q133" s="12" t="s">
        <v>204</v>
      </c>
      <c r="R133" s="13" t="s">
        <v>138</v>
      </c>
      <c r="S133" s="13" t="s">
        <v>291</v>
      </c>
      <c r="T133" s="13"/>
      <c r="U133" s="11"/>
      <c r="V133" s="9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</row>
    <row r="134" spans="1:42" ht="22.5" customHeight="1">
      <c r="A134" s="8"/>
      <c r="B134" s="9" t="s">
        <v>31</v>
      </c>
      <c r="C134" s="10">
        <v>1</v>
      </c>
      <c r="D134" s="10"/>
      <c r="E134" s="10">
        <v>1</v>
      </c>
      <c r="F134" s="10"/>
      <c r="G134" s="10">
        <f t="shared" si="6"/>
        <v>0</v>
      </c>
      <c r="H134" s="9"/>
      <c r="I134" s="10">
        <v>1</v>
      </c>
      <c r="J134" s="10">
        <f t="shared" si="7"/>
        <v>0</v>
      </c>
      <c r="K134" s="9">
        <f t="shared" si="2"/>
        <v>0</v>
      </c>
      <c r="L134" s="11" t="s">
        <v>138</v>
      </c>
      <c r="M134" s="11" t="s">
        <v>292</v>
      </c>
      <c r="N134" s="12" t="str">
        <f t="shared" si="3"/>
        <v>Illumination|Thorlabs|LCP02</v>
      </c>
      <c r="O134" s="12">
        <f t="shared" si="4"/>
        <v>1</v>
      </c>
      <c r="P134" s="12" t="s">
        <v>279</v>
      </c>
      <c r="Q134" s="12"/>
      <c r="R134" s="13" t="s">
        <v>138</v>
      </c>
      <c r="S134" s="13" t="s">
        <v>292</v>
      </c>
      <c r="T134" s="13" t="s">
        <v>293</v>
      </c>
      <c r="U134" s="19" t="s">
        <v>294</v>
      </c>
      <c r="V134" s="11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</row>
    <row r="135" spans="1:42" ht="22.5" customHeight="1">
      <c r="A135" s="8"/>
      <c r="B135" s="9" t="s">
        <v>31</v>
      </c>
      <c r="C135" s="10">
        <v>0</v>
      </c>
      <c r="D135" s="10"/>
      <c r="E135" s="10"/>
      <c r="F135" s="10"/>
      <c r="G135" s="10">
        <f t="shared" si="6"/>
        <v>0</v>
      </c>
      <c r="H135" s="9"/>
      <c r="I135" s="10">
        <v>1</v>
      </c>
      <c r="J135" s="10">
        <f t="shared" si="7"/>
        <v>0</v>
      </c>
      <c r="K135" s="9">
        <f t="shared" si="2"/>
        <v>0</v>
      </c>
      <c r="L135" s="11" t="s">
        <v>138</v>
      </c>
      <c r="M135" s="11" t="s">
        <v>295</v>
      </c>
      <c r="N135" s="12" t="str">
        <f t="shared" si="3"/>
        <v>Illumination|Thorlabs|LCP08</v>
      </c>
      <c r="O135" s="12">
        <f t="shared" si="4"/>
        <v>1</v>
      </c>
      <c r="P135" s="12" t="s">
        <v>38</v>
      </c>
      <c r="Q135" s="12"/>
      <c r="R135" s="13" t="s">
        <v>138</v>
      </c>
      <c r="S135" s="13" t="s">
        <v>295</v>
      </c>
      <c r="T135" s="13" t="s">
        <v>296</v>
      </c>
      <c r="U135" s="11" t="s">
        <v>26</v>
      </c>
      <c r="V135" s="11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</row>
    <row r="136" spans="1:42" ht="22.5" customHeight="1">
      <c r="A136" s="8"/>
      <c r="B136" s="9" t="s">
        <v>27</v>
      </c>
      <c r="C136" s="10">
        <v>8</v>
      </c>
      <c r="D136" s="10"/>
      <c r="E136" s="10">
        <v>0</v>
      </c>
      <c r="F136" s="10"/>
      <c r="G136" s="10">
        <f t="shared" si="6"/>
        <v>8</v>
      </c>
      <c r="H136" s="9"/>
      <c r="I136" s="10">
        <v>1</v>
      </c>
      <c r="J136" s="10">
        <f t="shared" si="7"/>
        <v>8</v>
      </c>
      <c r="K136" s="9">
        <f t="shared" si="2"/>
        <v>0</v>
      </c>
      <c r="L136" s="11" t="s">
        <v>138</v>
      </c>
      <c r="M136" s="11" t="s">
        <v>295</v>
      </c>
      <c r="N136" s="12" t="str">
        <f t="shared" si="3"/>
        <v>Imaging|Thorlabs|LCP08</v>
      </c>
      <c r="O136" s="12">
        <f t="shared" si="4"/>
        <v>1</v>
      </c>
      <c r="P136" s="12"/>
      <c r="Q136" s="12"/>
      <c r="R136" s="13"/>
      <c r="S136" s="13"/>
      <c r="T136" s="13"/>
      <c r="U136" s="11" t="s">
        <v>43</v>
      </c>
      <c r="V136" s="11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</row>
    <row r="137" spans="1:42" ht="22.5" customHeight="1">
      <c r="A137" s="8"/>
      <c r="B137" s="9" t="s">
        <v>27</v>
      </c>
      <c r="C137" s="10">
        <v>1</v>
      </c>
      <c r="D137" s="10"/>
      <c r="E137" s="10">
        <v>0</v>
      </c>
      <c r="F137" s="10"/>
      <c r="G137" s="10">
        <f t="shared" si="6"/>
        <v>1</v>
      </c>
      <c r="H137" s="9"/>
      <c r="I137" s="10">
        <v>1</v>
      </c>
      <c r="J137" s="10">
        <f t="shared" si="7"/>
        <v>1</v>
      </c>
      <c r="K137" s="9">
        <f t="shared" si="2"/>
        <v>0</v>
      </c>
      <c r="L137" s="11" t="s">
        <v>138</v>
      </c>
      <c r="M137" s="11" t="s">
        <v>297</v>
      </c>
      <c r="N137" s="12" t="str">
        <f t="shared" si="3"/>
        <v>Imaging|Thorlabs|LCP30</v>
      </c>
      <c r="O137" s="12">
        <f t="shared" si="4"/>
        <v>1</v>
      </c>
      <c r="P137" s="12"/>
      <c r="Q137" s="12"/>
      <c r="R137" s="13"/>
      <c r="S137" s="13"/>
      <c r="T137" s="13"/>
      <c r="U137" s="11" t="s">
        <v>43</v>
      </c>
      <c r="V137" s="11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</row>
    <row r="138" spans="1:42" ht="22.5" customHeight="1">
      <c r="A138" s="8"/>
      <c r="B138" s="9" t="s">
        <v>31</v>
      </c>
      <c r="C138" s="10">
        <v>1</v>
      </c>
      <c r="D138" s="10"/>
      <c r="E138" s="10">
        <v>1</v>
      </c>
      <c r="F138" s="10"/>
      <c r="G138" s="10">
        <f t="shared" si="6"/>
        <v>0</v>
      </c>
      <c r="H138" s="9"/>
      <c r="I138" s="10">
        <v>1</v>
      </c>
      <c r="J138" s="10">
        <f t="shared" si="7"/>
        <v>0</v>
      </c>
      <c r="K138" s="9">
        <f t="shared" si="2"/>
        <v>0</v>
      </c>
      <c r="L138" s="11" t="s">
        <v>138</v>
      </c>
      <c r="M138" s="11" t="s">
        <v>298</v>
      </c>
      <c r="N138" s="12" t="str">
        <f t="shared" si="3"/>
        <v>Illumination|Thorlabs|LCP33</v>
      </c>
      <c r="O138" s="12">
        <f t="shared" si="4"/>
        <v>1</v>
      </c>
      <c r="P138" s="12" t="s">
        <v>38</v>
      </c>
      <c r="Q138" s="12"/>
      <c r="R138" s="13" t="s">
        <v>138</v>
      </c>
      <c r="S138" s="13" t="s">
        <v>298</v>
      </c>
      <c r="T138" s="13" t="s">
        <v>299</v>
      </c>
      <c r="U138" s="11" t="s">
        <v>300</v>
      </c>
      <c r="V138" s="11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</row>
    <row r="139" spans="1:42" ht="22.5" customHeight="1">
      <c r="A139" s="8"/>
      <c r="B139" s="9" t="s">
        <v>27</v>
      </c>
      <c r="C139" s="10">
        <v>2</v>
      </c>
      <c r="D139" s="10"/>
      <c r="E139" s="10">
        <v>0</v>
      </c>
      <c r="F139" s="10"/>
      <c r="G139" s="10">
        <f t="shared" si="6"/>
        <v>2</v>
      </c>
      <c r="H139" s="9"/>
      <c r="I139" s="10">
        <v>1</v>
      </c>
      <c r="J139" s="10">
        <f t="shared" si="7"/>
        <v>2</v>
      </c>
      <c r="K139" s="9">
        <f t="shared" si="2"/>
        <v>0</v>
      </c>
      <c r="L139" s="11" t="s">
        <v>138</v>
      </c>
      <c r="M139" s="11" t="s">
        <v>298</v>
      </c>
      <c r="N139" s="12" t="str">
        <f t="shared" si="3"/>
        <v>Imaging|Thorlabs|LCP33</v>
      </c>
      <c r="O139" s="12">
        <f t="shared" si="4"/>
        <v>1</v>
      </c>
      <c r="P139" s="12"/>
      <c r="Q139" s="12"/>
      <c r="R139" s="13"/>
      <c r="S139" s="13"/>
      <c r="T139" s="13"/>
      <c r="U139" s="11" t="s">
        <v>43</v>
      </c>
      <c r="V139" s="11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</row>
    <row r="140" spans="1:42" ht="22.5" customHeight="1">
      <c r="A140" s="8"/>
      <c r="B140" s="9" t="s">
        <v>27</v>
      </c>
      <c r="C140" s="10">
        <v>1</v>
      </c>
      <c r="D140" s="10"/>
      <c r="E140" s="10">
        <v>0</v>
      </c>
      <c r="F140" s="10"/>
      <c r="G140" s="10">
        <f t="shared" si="6"/>
        <v>1</v>
      </c>
      <c r="H140" s="9"/>
      <c r="I140" s="10">
        <v>1</v>
      </c>
      <c r="J140" s="10">
        <f t="shared" si="7"/>
        <v>1</v>
      </c>
      <c r="K140" s="9">
        <f t="shared" si="2"/>
        <v>0</v>
      </c>
      <c r="L140" s="11" t="s">
        <v>138</v>
      </c>
      <c r="M140" s="11" t="s">
        <v>301</v>
      </c>
      <c r="N140" s="12" t="str">
        <f t="shared" si="3"/>
        <v>Imaging|Thorlabs|LCP34T</v>
      </c>
      <c r="O140" s="12">
        <f t="shared" si="4"/>
        <v>1</v>
      </c>
      <c r="P140" s="12"/>
      <c r="Q140" s="12"/>
      <c r="R140" s="13"/>
      <c r="S140" s="13"/>
      <c r="T140" s="13"/>
      <c r="U140" s="11" t="s">
        <v>43</v>
      </c>
      <c r="V140" s="11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</row>
    <row r="141" spans="1:42" ht="22.5" customHeight="1">
      <c r="A141" s="8"/>
      <c r="B141" s="9" t="s">
        <v>27</v>
      </c>
      <c r="C141" s="10">
        <v>4</v>
      </c>
      <c r="D141" s="10"/>
      <c r="E141" s="10">
        <v>0</v>
      </c>
      <c r="F141" s="10"/>
      <c r="G141" s="10">
        <f t="shared" si="6"/>
        <v>4</v>
      </c>
      <c r="H141" s="9"/>
      <c r="I141" s="10">
        <v>1</v>
      </c>
      <c r="J141" s="10">
        <f t="shared" si="7"/>
        <v>4</v>
      </c>
      <c r="K141" s="9">
        <f t="shared" si="2"/>
        <v>0</v>
      </c>
      <c r="L141" s="11" t="s">
        <v>138</v>
      </c>
      <c r="M141" s="11" t="s">
        <v>302</v>
      </c>
      <c r="N141" s="12" t="str">
        <f t="shared" si="3"/>
        <v>Imaging|Thorlabs|LCP36</v>
      </c>
      <c r="O141" s="12">
        <f t="shared" si="4"/>
        <v>1</v>
      </c>
      <c r="P141" s="12"/>
      <c r="Q141" s="12"/>
      <c r="R141" s="13"/>
      <c r="S141" s="13"/>
      <c r="T141" s="13"/>
      <c r="U141" s="11" t="s">
        <v>43</v>
      </c>
      <c r="V141" s="11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</row>
    <row r="142" spans="1:42" ht="22.5" customHeight="1">
      <c r="A142" s="8"/>
      <c r="B142" s="9" t="s">
        <v>27</v>
      </c>
      <c r="C142" s="10">
        <v>2</v>
      </c>
      <c r="D142" s="10"/>
      <c r="E142" s="10">
        <v>0</v>
      </c>
      <c r="F142" s="10"/>
      <c r="G142" s="10">
        <f t="shared" si="6"/>
        <v>2</v>
      </c>
      <c r="H142" s="9"/>
      <c r="I142" s="10">
        <v>1</v>
      </c>
      <c r="J142" s="10">
        <f t="shared" si="7"/>
        <v>2</v>
      </c>
      <c r="K142" s="9">
        <f t="shared" si="2"/>
        <v>0</v>
      </c>
      <c r="L142" s="11" t="s">
        <v>138</v>
      </c>
      <c r="M142" s="11" t="s">
        <v>303</v>
      </c>
      <c r="N142" s="12" t="str">
        <f t="shared" si="3"/>
        <v>Imaging|Thorlabs|LCP60</v>
      </c>
      <c r="O142" s="12">
        <f t="shared" si="4"/>
        <v>1</v>
      </c>
      <c r="P142" s="12"/>
      <c r="Q142" s="12"/>
      <c r="R142" s="13"/>
      <c r="S142" s="13"/>
      <c r="T142" s="13"/>
      <c r="U142" s="11" t="s">
        <v>43</v>
      </c>
      <c r="V142" s="11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</row>
    <row r="143" spans="1:42" ht="22.5" customHeight="1">
      <c r="A143" s="8"/>
      <c r="B143" s="9" t="s">
        <v>31</v>
      </c>
      <c r="C143" s="10">
        <v>3</v>
      </c>
      <c r="D143" s="10"/>
      <c r="E143" s="10">
        <v>3</v>
      </c>
      <c r="F143" s="10"/>
      <c r="G143" s="10">
        <f t="shared" si="6"/>
        <v>0</v>
      </c>
      <c r="H143" s="9"/>
      <c r="I143" s="10">
        <v>1</v>
      </c>
      <c r="J143" s="10">
        <f t="shared" si="7"/>
        <v>0</v>
      </c>
      <c r="K143" s="9">
        <f t="shared" si="2"/>
        <v>0</v>
      </c>
      <c r="L143" s="11" t="s">
        <v>138</v>
      </c>
      <c r="M143" s="11" t="s">
        <v>304</v>
      </c>
      <c r="N143" s="12" t="str">
        <f t="shared" si="3"/>
        <v>Illumination|Thorlabs|LCP6X</v>
      </c>
      <c r="O143" s="12">
        <f t="shared" si="4"/>
        <v>1</v>
      </c>
      <c r="P143" s="12" t="s">
        <v>38</v>
      </c>
      <c r="Q143" s="12"/>
      <c r="R143" s="13" t="s">
        <v>138</v>
      </c>
      <c r="S143" s="13" t="s">
        <v>304</v>
      </c>
      <c r="T143" s="13" t="s">
        <v>305</v>
      </c>
      <c r="U143" s="11" t="s">
        <v>26</v>
      </c>
      <c r="V143" s="11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</row>
    <row r="144" spans="1:42" ht="22.5" customHeight="1">
      <c r="A144" s="8"/>
      <c r="B144" s="9" t="s">
        <v>31</v>
      </c>
      <c r="C144" s="10">
        <v>1</v>
      </c>
      <c r="D144" s="10"/>
      <c r="E144" s="10">
        <v>1</v>
      </c>
      <c r="F144" s="10"/>
      <c r="G144" s="10">
        <f t="shared" si="6"/>
        <v>0</v>
      </c>
      <c r="H144" s="9"/>
      <c r="I144" s="10">
        <v>1</v>
      </c>
      <c r="J144" s="10">
        <f t="shared" si="7"/>
        <v>0</v>
      </c>
      <c r="K144" s="9">
        <f t="shared" si="2"/>
        <v>0</v>
      </c>
      <c r="L144" s="11" t="s">
        <v>138</v>
      </c>
      <c r="M144" s="11" t="s">
        <v>306</v>
      </c>
      <c r="N144" s="12" t="str">
        <f t="shared" si="3"/>
        <v>Illumination|Thorlabs|LCPA1</v>
      </c>
      <c r="O144" s="12">
        <f t="shared" si="4"/>
        <v>1</v>
      </c>
      <c r="P144" s="12" t="s">
        <v>38</v>
      </c>
      <c r="Q144" s="12"/>
      <c r="R144" s="13" t="s">
        <v>138</v>
      </c>
      <c r="S144" s="13" t="s">
        <v>306</v>
      </c>
      <c r="T144" s="13" t="s">
        <v>307</v>
      </c>
      <c r="U144" s="11" t="s">
        <v>26</v>
      </c>
      <c r="V144" s="11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</row>
    <row r="145" spans="1:42" ht="22.5" customHeight="1">
      <c r="A145" s="8"/>
      <c r="B145" s="9"/>
      <c r="C145" s="10"/>
      <c r="D145" s="10"/>
      <c r="E145" s="10"/>
      <c r="F145" s="10"/>
      <c r="G145" s="10">
        <f t="shared" si="6"/>
        <v>0</v>
      </c>
      <c r="H145" s="9"/>
      <c r="I145" s="10">
        <v>1</v>
      </c>
      <c r="J145" s="10">
        <f t="shared" si="7"/>
        <v>0</v>
      </c>
      <c r="K145" s="9">
        <f t="shared" si="2"/>
        <v>0</v>
      </c>
      <c r="L145" s="11" t="s">
        <v>138</v>
      </c>
      <c r="M145" s="20" t="s">
        <v>308</v>
      </c>
      <c r="N145" s="12" t="str">
        <f t="shared" si="3"/>
        <v>|Thorlabs|LEDD1B</v>
      </c>
      <c r="O145" s="12">
        <f t="shared" si="4"/>
        <v>1</v>
      </c>
      <c r="P145" s="12"/>
      <c r="Q145" s="12"/>
      <c r="R145" s="13" t="s">
        <v>138</v>
      </c>
      <c r="S145" s="13" t="s">
        <v>308</v>
      </c>
      <c r="T145" s="13" t="s">
        <v>309</v>
      </c>
      <c r="U145" s="18" t="s">
        <v>310</v>
      </c>
      <c r="V145" s="11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</row>
    <row r="146" spans="1:42" ht="22.5" customHeight="1">
      <c r="A146" s="8"/>
      <c r="B146" s="9" t="s">
        <v>31</v>
      </c>
      <c r="C146" s="10">
        <v>1</v>
      </c>
      <c r="D146" s="10"/>
      <c r="E146" s="10">
        <v>1</v>
      </c>
      <c r="F146" s="10"/>
      <c r="G146" s="10">
        <f t="shared" si="6"/>
        <v>0</v>
      </c>
      <c r="H146" s="9"/>
      <c r="I146" s="10">
        <v>1</v>
      </c>
      <c r="J146" s="10">
        <f t="shared" si="7"/>
        <v>0</v>
      </c>
      <c r="K146" s="9">
        <f t="shared" si="2"/>
        <v>0</v>
      </c>
      <c r="L146" s="11" t="s">
        <v>138</v>
      </c>
      <c r="M146" s="11" t="s">
        <v>311</v>
      </c>
      <c r="N146" s="12" t="str">
        <f t="shared" si="3"/>
        <v>Illumination|Thorlabs|LMR1AP</v>
      </c>
      <c r="O146" s="12">
        <f t="shared" si="4"/>
        <v>1</v>
      </c>
      <c r="P146" s="12" t="s">
        <v>38</v>
      </c>
      <c r="Q146" s="12"/>
      <c r="R146" s="13" t="s">
        <v>138</v>
      </c>
      <c r="S146" s="13" t="s">
        <v>311</v>
      </c>
      <c r="T146" s="13" t="s">
        <v>312</v>
      </c>
      <c r="U146" s="11" t="s">
        <v>26</v>
      </c>
      <c r="V146" s="11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</row>
    <row r="147" spans="1:42" ht="22.5" customHeight="1">
      <c r="A147" s="8"/>
      <c r="B147" s="9"/>
      <c r="C147" s="10">
        <v>1</v>
      </c>
      <c r="D147" s="10"/>
      <c r="E147" s="10">
        <v>3</v>
      </c>
      <c r="F147" s="10"/>
      <c r="G147" s="10">
        <f t="shared" si="6"/>
        <v>0</v>
      </c>
      <c r="H147" s="9"/>
      <c r="I147" s="10">
        <v>1</v>
      </c>
      <c r="J147" s="10">
        <f t="shared" si="7"/>
        <v>0</v>
      </c>
      <c r="K147" s="9">
        <f t="shared" si="2"/>
        <v>0</v>
      </c>
      <c r="L147" s="11" t="s">
        <v>138</v>
      </c>
      <c r="M147" s="11" t="s">
        <v>313</v>
      </c>
      <c r="N147" s="12" t="str">
        <f t="shared" si="3"/>
        <v>|Thorlabs|LMR2</v>
      </c>
      <c r="O147" s="12">
        <f t="shared" si="4"/>
        <v>1</v>
      </c>
      <c r="P147" s="12"/>
      <c r="Q147" s="12"/>
      <c r="R147" s="13" t="s">
        <v>138</v>
      </c>
      <c r="S147" s="13" t="s">
        <v>313</v>
      </c>
      <c r="T147" s="13" t="s">
        <v>314</v>
      </c>
      <c r="U147" s="15" t="s">
        <v>315</v>
      </c>
      <c r="V147" s="11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</row>
    <row r="148" spans="1:42" ht="22.5" customHeight="1">
      <c r="A148" s="8"/>
      <c r="B148" s="9" t="s">
        <v>31</v>
      </c>
      <c r="C148" s="10">
        <v>1</v>
      </c>
      <c r="D148" s="10"/>
      <c r="E148" s="10">
        <v>1</v>
      </c>
      <c r="F148" s="10"/>
      <c r="G148" s="10">
        <f t="shared" si="6"/>
        <v>0</v>
      </c>
      <c r="H148" s="9"/>
      <c r="I148" s="10">
        <v>1</v>
      </c>
      <c r="J148" s="10">
        <f t="shared" si="7"/>
        <v>0</v>
      </c>
      <c r="K148" s="9">
        <f t="shared" si="2"/>
        <v>0</v>
      </c>
      <c r="L148" s="11" t="s">
        <v>138</v>
      </c>
      <c r="M148" s="11" t="s">
        <v>316</v>
      </c>
      <c r="N148" s="12" t="str">
        <f t="shared" si="3"/>
        <v>Illumination|Thorlabs|LMR2AP</v>
      </c>
      <c r="O148" s="12">
        <f t="shared" si="4"/>
        <v>1</v>
      </c>
      <c r="P148" s="12" t="s">
        <v>38</v>
      </c>
      <c r="Q148" s="12"/>
      <c r="R148" s="13" t="s">
        <v>138</v>
      </c>
      <c r="S148" s="13" t="s">
        <v>316</v>
      </c>
      <c r="T148" s="13" t="s">
        <v>317</v>
      </c>
      <c r="U148" s="11" t="s">
        <v>26</v>
      </c>
      <c r="V148" s="11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</row>
    <row r="149" spans="1:42" ht="22.5" customHeight="1">
      <c r="A149" s="8"/>
      <c r="B149" s="9"/>
      <c r="C149" s="10"/>
      <c r="D149" s="10"/>
      <c r="E149" s="10"/>
      <c r="F149" s="10"/>
      <c r="G149" s="10">
        <f t="shared" si="6"/>
        <v>0</v>
      </c>
      <c r="H149" s="9"/>
      <c r="I149" s="10">
        <v>1</v>
      </c>
      <c r="J149" s="10">
        <f t="shared" si="7"/>
        <v>0</v>
      </c>
      <c r="K149" s="9">
        <f t="shared" si="2"/>
        <v>0</v>
      </c>
      <c r="L149" s="11" t="s">
        <v>138</v>
      </c>
      <c r="M149" s="11" t="s">
        <v>316</v>
      </c>
      <c r="N149" s="12" t="str">
        <f t="shared" si="3"/>
        <v>|Thorlabs|LMR2AP</v>
      </c>
      <c r="O149" s="12">
        <f t="shared" si="4"/>
        <v>1</v>
      </c>
      <c r="P149" s="12" t="s">
        <v>38</v>
      </c>
      <c r="Q149" s="12"/>
      <c r="R149" s="13" t="s">
        <v>138</v>
      </c>
      <c r="S149" s="13" t="s">
        <v>316</v>
      </c>
      <c r="T149" s="13"/>
      <c r="U149" s="11"/>
      <c r="V149" s="11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</row>
    <row r="150" spans="1:42" ht="22.5" customHeight="1">
      <c r="A150" s="8"/>
      <c r="B150" s="9" t="s">
        <v>31</v>
      </c>
      <c r="C150" s="10">
        <v>1</v>
      </c>
      <c r="D150" s="10"/>
      <c r="E150" s="10">
        <v>1</v>
      </c>
      <c r="F150" s="10"/>
      <c r="G150" s="10">
        <f t="shared" si="6"/>
        <v>0</v>
      </c>
      <c r="H150" s="9"/>
      <c r="I150" s="10">
        <v>1</v>
      </c>
      <c r="J150" s="10">
        <f t="shared" si="7"/>
        <v>0</v>
      </c>
      <c r="K150" s="9">
        <f t="shared" si="2"/>
        <v>0</v>
      </c>
      <c r="L150" s="11" t="s">
        <v>138</v>
      </c>
      <c r="M150" s="11" t="s">
        <v>318</v>
      </c>
      <c r="N150" s="12" t="str">
        <f t="shared" si="3"/>
        <v>Illumination|Thorlabs|LMRA9</v>
      </c>
      <c r="O150" s="12">
        <f t="shared" si="4"/>
        <v>1</v>
      </c>
      <c r="P150" s="12" t="s">
        <v>38</v>
      </c>
      <c r="Q150" s="12"/>
      <c r="R150" s="13" t="s">
        <v>138</v>
      </c>
      <c r="S150" s="13" t="s">
        <v>318</v>
      </c>
      <c r="T150" s="13" t="s">
        <v>319</v>
      </c>
      <c r="U150" s="11" t="s">
        <v>26</v>
      </c>
      <c r="V150" s="11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</row>
    <row r="151" spans="1:42" ht="22.5" customHeight="1">
      <c r="A151" s="8"/>
      <c r="B151" s="9"/>
      <c r="C151" s="10"/>
      <c r="D151" s="10"/>
      <c r="E151" s="10"/>
      <c r="F151" s="10"/>
      <c r="G151" s="10">
        <f t="shared" si="6"/>
        <v>0</v>
      </c>
      <c r="H151" s="9"/>
      <c r="I151" s="10">
        <v>1</v>
      </c>
      <c r="J151" s="10">
        <f t="shared" si="7"/>
        <v>0</v>
      </c>
      <c r="K151" s="9">
        <f t="shared" si="2"/>
        <v>0</v>
      </c>
      <c r="L151" s="11" t="s">
        <v>138</v>
      </c>
      <c r="M151" s="11" t="s">
        <v>320</v>
      </c>
      <c r="N151" s="12" t="str">
        <f t="shared" si="3"/>
        <v>|Thorlabs|LRM1</v>
      </c>
      <c r="O151" s="12">
        <f t="shared" si="4"/>
        <v>1</v>
      </c>
      <c r="P151" s="12" t="s">
        <v>38</v>
      </c>
      <c r="Q151" s="12"/>
      <c r="R151" s="13" t="s">
        <v>138</v>
      </c>
      <c r="S151" s="13" t="s">
        <v>320</v>
      </c>
      <c r="T151" s="12"/>
      <c r="U151" s="11"/>
      <c r="V151" s="9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</row>
    <row r="152" spans="1:42" ht="22.5" customHeight="1">
      <c r="A152" s="8"/>
      <c r="B152" s="9" t="s">
        <v>27</v>
      </c>
      <c r="C152" s="10">
        <v>2</v>
      </c>
      <c r="D152" s="10"/>
      <c r="E152" s="10">
        <v>0</v>
      </c>
      <c r="F152" s="10"/>
      <c r="G152" s="10">
        <f t="shared" si="6"/>
        <v>2</v>
      </c>
      <c r="H152" s="9"/>
      <c r="I152" s="10">
        <v>1</v>
      </c>
      <c r="J152" s="10">
        <f t="shared" si="7"/>
        <v>2</v>
      </c>
      <c r="K152" s="9">
        <f t="shared" si="2"/>
        <v>0</v>
      </c>
      <c r="L152" s="11" t="s">
        <v>138</v>
      </c>
      <c r="M152" s="11" t="s">
        <v>320</v>
      </c>
      <c r="N152" s="12" t="str">
        <f t="shared" si="3"/>
        <v>Imaging|Thorlabs|LRM1</v>
      </c>
      <c r="O152" s="12">
        <f t="shared" si="4"/>
        <v>1</v>
      </c>
      <c r="P152" s="12"/>
      <c r="Q152" s="12"/>
      <c r="R152" s="13"/>
      <c r="S152" s="13"/>
      <c r="T152" s="13"/>
      <c r="U152" s="11" t="s">
        <v>43</v>
      </c>
      <c r="V152" s="11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</row>
    <row r="153" spans="1:42" ht="22.5" customHeight="1">
      <c r="A153" s="8"/>
      <c r="B153" s="9" t="s">
        <v>27</v>
      </c>
      <c r="C153" s="10">
        <v>1</v>
      </c>
      <c r="D153" s="10"/>
      <c r="E153" s="10">
        <v>0</v>
      </c>
      <c r="F153" s="10"/>
      <c r="G153" s="10">
        <f t="shared" si="6"/>
        <v>1</v>
      </c>
      <c r="H153" s="9"/>
      <c r="I153" s="10">
        <v>1</v>
      </c>
      <c r="J153" s="10">
        <f t="shared" si="7"/>
        <v>1</v>
      </c>
      <c r="K153" s="9">
        <f t="shared" si="2"/>
        <v>0</v>
      </c>
      <c r="L153" s="11" t="s">
        <v>138</v>
      </c>
      <c r="M153" s="11" t="s">
        <v>321</v>
      </c>
      <c r="N153" s="12" t="str">
        <f t="shared" si="3"/>
        <v>Imaging|Thorlabs|M1M25S</v>
      </c>
      <c r="O153" s="12">
        <f t="shared" si="4"/>
        <v>1</v>
      </c>
      <c r="P153" s="12"/>
      <c r="Q153" s="12"/>
      <c r="R153" s="13"/>
      <c r="S153" s="13"/>
      <c r="T153" s="13"/>
      <c r="U153" s="11" t="s">
        <v>43</v>
      </c>
      <c r="V153" s="11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</row>
    <row r="154" spans="1:42" ht="22.5" customHeight="1">
      <c r="A154" s="8"/>
      <c r="B154" s="9" t="s">
        <v>31</v>
      </c>
      <c r="C154" s="10">
        <v>1</v>
      </c>
      <c r="D154" s="10"/>
      <c r="E154" s="10">
        <v>1</v>
      </c>
      <c r="F154" s="10"/>
      <c r="G154" s="10">
        <f t="shared" si="6"/>
        <v>0</v>
      </c>
      <c r="H154" s="9"/>
      <c r="I154" s="10">
        <v>1</v>
      </c>
      <c r="J154" s="10">
        <f t="shared" si="7"/>
        <v>0</v>
      </c>
      <c r="K154" s="9">
        <f t="shared" si="2"/>
        <v>0</v>
      </c>
      <c r="L154" s="11" t="s">
        <v>138</v>
      </c>
      <c r="M154" s="11" t="s">
        <v>322</v>
      </c>
      <c r="N154" s="12" t="str">
        <f t="shared" si="3"/>
        <v>Illumination|Thorlabs|M32M34S</v>
      </c>
      <c r="O154" s="12">
        <f t="shared" si="4"/>
        <v>1</v>
      </c>
      <c r="P154" s="12" t="s">
        <v>38</v>
      </c>
      <c r="Q154" s="12"/>
      <c r="R154" s="13" t="s">
        <v>138</v>
      </c>
      <c r="S154" s="13" t="s">
        <v>322</v>
      </c>
      <c r="T154" s="13" t="s">
        <v>323</v>
      </c>
      <c r="U154" s="11" t="s">
        <v>26</v>
      </c>
      <c r="V154" s="11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</row>
    <row r="155" spans="1:42" ht="22.5" customHeight="1">
      <c r="A155" s="8"/>
      <c r="B155" s="9" t="s">
        <v>31</v>
      </c>
      <c r="C155" s="10">
        <v>1</v>
      </c>
      <c r="D155" s="10"/>
      <c r="E155" s="10">
        <v>1</v>
      </c>
      <c r="F155" s="10">
        <v>0</v>
      </c>
      <c r="G155" s="10">
        <f t="shared" si="6"/>
        <v>0</v>
      </c>
      <c r="H155" s="9"/>
      <c r="I155" s="10">
        <v>1</v>
      </c>
      <c r="J155" s="10">
        <f t="shared" si="7"/>
        <v>0</v>
      </c>
      <c r="K155" s="9">
        <f t="shared" si="2"/>
        <v>0</v>
      </c>
      <c r="L155" s="11" t="s">
        <v>138</v>
      </c>
      <c r="M155" s="11" t="s">
        <v>324</v>
      </c>
      <c r="N155" s="12" t="str">
        <f t="shared" si="3"/>
        <v>Illumination|Thorlabs|M43L01</v>
      </c>
      <c r="O155" s="12">
        <f t="shared" si="4"/>
        <v>1</v>
      </c>
      <c r="P155" s="12"/>
      <c r="Q155" s="12"/>
      <c r="R155" s="13" t="s">
        <v>138</v>
      </c>
      <c r="S155" s="13" t="s">
        <v>324</v>
      </c>
      <c r="T155" s="13" t="s">
        <v>325</v>
      </c>
      <c r="U155" s="11" t="s">
        <v>326</v>
      </c>
      <c r="V155" s="11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</row>
    <row r="156" spans="1:42" ht="22.5" customHeight="1">
      <c r="A156" s="8"/>
      <c r="B156" s="9"/>
      <c r="C156" s="10"/>
      <c r="D156" s="10"/>
      <c r="E156" s="10"/>
      <c r="F156" s="10"/>
      <c r="G156" s="10">
        <f t="shared" si="6"/>
        <v>0</v>
      </c>
      <c r="H156" s="9"/>
      <c r="I156" s="10">
        <v>1</v>
      </c>
      <c r="J156" s="10">
        <f t="shared" si="7"/>
        <v>0</v>
      </c>
      <c r="K156" s="9">
        <f t="shared" si="2"/>
        <v>0</v>
      </c>
      <c r="L156" s="11" t="s">
        <v>138</v>
      </c>
      <c r="M156" s="11" t="s">
        <v>327</v>
      </c>
      <c r="N156" s="12" t="str">
        <f t="shared" si="3"/>
        <v>|Thorlabs|M470L5</v>
      </c>
      <c r="O156" s="12">
        <f t="shared" si="4"/>
        <v>1</v>
      </c>
      <c r="P156" s="12" t="s">
        <v>38</v>
      </c>
      <c r="Q156" s="12"/>
      <c r="R156" s="13" t="s">
        <v>138</v>
      </c>
      <c r="S156" s="13" t="s">
        <v>327</v>
      </c>
      <c r="T156" s="12"/>
      <c r="U156" s="11"/>
      <c r="V156" s="9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</row>
    <row r="157" spans="1:42" ht="22.5" customHeight="1">
      <c r="A157" s="8"/>
      <c r="B157" s="9" t="s">
        <v>27</v>
      </c>
      <c r="C157" s="10">
        <v>1</v>
      </c>
      <c r="D157" s="10"/>
      <c r="E157" s="10">
        <v>0</v>
      </c>
      <c r="F157" s="10"/>
      <c r="G157" s="10">
        <f t="shared" si="6"/>
        <v>1</v>
      </c>
      <c r="H157" s="9"/>
      <c r="I157" s="10">
        <v>1</v>
      </c>
      <c r="J157" s="10">
        <f t="shared" si="7"/>
        <v>1</v>
      </c>
      <c r="K157" s="9">
        <f t="shared" si="2"/>
        <v>0</v>
      </c>
      <c r="L157" s="11" t="s">
        <v>138</v>
      </c>
      <c r="M157" s="11" t="s">
        <v>328</v>
      </c>
      <c r="N157" s="12" t="str">
        <f t="shared" si="3"/>
        <v>Imaging|Thorlabs|M595L4</v>
      </c>
      <c r="O157" s="12">
        <f t="shared" si="4"/>
        <v>1</v>
      </c>
      <c r="P157" s="12"/>
      <c r="Q157" s="12"/>
      <c r="R157" s="13"/>
      <c r="S157" s="13"/>
      <c r="T157" s="13"/>
      <c r="U157" s="11" t="s">
        <v>43</v>
      </c>
      <c r="V157" s="11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</row>
    <row r="158" spans="1:42" ht="22.5" customHeight="1">
      <c r="A158" s="8"/>
      <c r="B158" s="9" t="s">
        <v>31</v>
      </c>
      <c r="C158" s="10">
        <v>1</v>
      </c>
      <c r="D158" s="10"/>
      <c r="E158" s="10">
        <v>1</v>
      </c>
      <c r="F158" s="10"/>
      <c r="G158" s="10">
        <f t="shared" si="6"/>
        <v>0</v>
      </c>
      <c r="H158" s="9"/>
      <c r="I158" s="10">
        <v>1</v>
      </c>
      <c r="J158" s="10">
        <f t="shared" si="7"/>
        <v>0</v>
      </c>
      <c r="K158" s="9">
        <f t="shared" si="2"/>
        <v>0</v>
      </c>
      <c r="L158" s="11" t="s">
        <v>138</v>
      </c>
      <c r="M158" s="11" t="s">
        <v>329</v>
      </c>
      <c r="N158" s="12" t="str">
        <f t="shared" si="3"/>
        <v>Illumination|Thorlabs|MB1012</v>
      </c>
      <c r="O158" s="12">
        <f t="shared" si="4"/>
        <v>1</v>
      </c>
      <c r="P158" s="12" t="s">
        <v>38</v>
      </c>
      <c r="Q158" s="12"/>
      <c r="R158" s="13" t="s">
        <v>138</v>
      </c>
      <c r="S158" s="13" t="s">
        <v>329</v>
      </c>
      <c r="T158" s="13" t="s">
        <v>330</v>
      </c>
      <c r="U158" s="11" t="s">
        <v>26</v>
      </c>
      <c r="V158" s="11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</row>
    <row r="159" spans="1:42" ht="22.5" customHeight="1">
      <c r="A159" s="8"/>
      <c r="B159" s="9"/>
      <c r="C159" s="10"/>
      <c r="D159" s="10"/>
      <c r="E159" s="10"/>
      <c r="F159" s="10"/>
      <c r="G159" s="10">
        <f t="shared" si="6"/>
        <v>0</v>
      </c>
      <c r="H159" s="9"/>
      <c r="I159" s="10">
        <v>1</v>
      </c>
      <c r="J159" s="10">
        <f t="shared" si="7"/>
        <v>0</v>
      </c>
      <c r="K159" s="9">
        <f t="shared" si="2"/>
        <v>0</v>
      </c>
      <c r="L159" s="11" t="s">
        <v>138</v>
      </c>
      <c r="M159" s="11" t="s">
        <v>329</v>
      </c>
      <c r="N159" s="12" t="str">
        <f t="shared" si="3"/>
        <v>|Thorlabs|MB1012</v>
      </c>
      <c r="O159" s="12">
        <f t="shared" si="4"/>
        <v>1</v>
      </c>
      <c r="P159" s="12" t="s">
        <v>38</v>
      </c>
      <c r="Q159" s="12" t="s">
        <v>331</v>
      </c>
      <c r="R159" s="13" t="s">
        <v>138</v>
      </c>
      <c r="S159" s="13" t="s">
        <v>329</v>
      </c>
      <c r="T159" s="12"/>
      <c r="U159" s="11"/>
      <c r="V159" s="9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</row>
    <row r="160" spans="1:42" ht="22.5" customHeight="1">
      <c r="A160" s="8"/>
      <c r="B160" s="9" t="s">
        <v>27</v>
      </c>
      <c r="C160" s="10">
        <v>1</v>
      </c>
      <c r="D160" s="10"/>
      <c r="E160" s="10">
        <v>0</v>
      </c>
      <c r="F160" s="10"/>
      <c r="G160" s="10">
        <f t="shared" si="6"/>
        <v>1</v>
      </c>
      <c r="H160" s="9"/>
      <c r="I160" s="10">
        <v>1</v>
      </c>
      <c r="J160" s="10">
        <f t="shared" si="7"/>
        <v>1</v>
      </c>
      <c r="K160" s="9">
        <f t="shared" si="2"/>
        <v>0</v>
      </c>
      <c r="L160" s="11" t="s">
        <v>138</v>
      </c>
      <c r="M160" s="11" t="s">
        <v>329</v>
      </c>
      <c r="N160" s="12" t="str">
        <f t="shared" si="3"/>
        <v>Imaging|Thorlabs|MB1012</v>
      </c>
      <c r="O160" s="12">
        <f t="shared" si="4"/>
        <v>1</v>
      </c>
      <c r="P160" s="12"/>
      <c r="Q160" s="12"/>
      <c r="R160" s="13"/>
      <c r="S160" s="13"/>
      <c r="T160" s="13"/>
      <c r="U160" s="11" t="s">
        <v>43</v>
      </c>
      <c r="V160" s="11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</row>
    <row r="161" spans="1:42" ht="22.5" customHeight="1">
      <c r="A161" s="8"/>
      <c r="B161" s="9" t="s">
        <v>22</v>
      </c>
      <c r="C161" s="10">
        <v>1</v>
      </c>
      <c r="D161" s="10"/>
      <c r="E161" s="10">
        <v>2</v>
      </c>
      <c r="F161" s="10"/>
      <c r="G161" s="10">
        <f t="shared" si="6"/>
        <v>0</v>
      </c>
      <c r="H161" s="9"/>
      <c r="I161" s="10">
        <v>1</v>
      </c>
      <c r="J161" s="10">
        <f t="shared" si="7"/>
        <v>0</v>
      </c>
      <c r="K161" s="9">
        <f t="shared" si="2"/>
        <v>0</v>
      </c>
      <c r="L161" s="11" t="s">
        <v>138</v>
      </c>
      <c r="M161" s="11" t="s">
        <v>332</v>
      </c>
      <c r="N161" s="12" t="str">
        <f t="shared" si="3"/>
        <v>Sample Hold|Thorlabs|MB4</v>
      </c>
      <c r="O161" s="12">
        <f t="shared" si="4"/>
        <v>1</v>
      </c>
      <c r="P161" s="12" t="s">
        <v>38</v>
      </c>
      <c r="Q161" s="12"/>
      <c r="R161" s="13" t="s">
        <v>138</v>
      </c>
      <c r="S161" s="13" t="s">
        <v>332</v>
      </c>
      <c r="T161" s="13" t="s">
        <v>333</v>
      </c>
      <c r="U161" s="11" t="s">
        <v>26</v>
      </c>
      <c r="V161" s="11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</row>
    <row r="162" spans="1:42" ht="22.5" customHeight="1">
      <c r="A162" s="8"/>
      <c r="B162" s="9"/>
      <c r="C162" s="10"/>
      <c r="D162" s="10"/>
      <c r="E162" s="10">
        <v>1</v>
      </c>
      <c r="F162" s="10"/>
      <c r="G162" s="10">
        <f t="shared" si="6"/>
        <v>0</v>
      </c>
      <c r="H162" s="9"/>
      <c r="I162" s="10">
        <v>1</v>
      </c>
      <c r="J162" s="10">
        <f t="shared" si="7"/>
        <v>0</v>
      </c>
      <c r="K162" s="9">
        <f t="shared" si="2"/>
        <v>0</v>
      </c>
      <c r="L162" s="11" t="s">
        <v>138</v>
      </c>
      <c r="M162" s="11" t="s">
        <v>334</v>
      </c>
      <c r="N162" s="12" t="str">
        <f t="shared" si="3"/>
        <v>|Thorlabs|MB6</v>
      </c>
      <c r="O162" s="12">
        <f t="shared" si="4"/>
        <v>1</v>
      </c>
      <c r="P162" s="12"/>
      <c r="Q162" s="12"/>
      <c r="R162" s="13"/>
      <c r="S162" s="13"/>
      <c r="T162" s="13"/>
      <c r="U162" s="11"/>
      <c r="V162" s="11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</row>
    <row r="163" spans="1:42" ht="22.5" customHeight="1">
      <c r="A163" s="8"/>
      <c r="B163" s="9" t="s">
        <v>27</v>
      </c>
      <c r="C163" s="10">
        <v>1</v>
      </c>
      <c r="D163" s="10"/>
      <c r="E163" s="10">
        <v>0</v>
      </c>
      <c r="F163" s="10"/>
      <c r="G163" s="10">
        <f t="shared" si="6"/>
        <v>1</v>
      </c>
      <c r="H163" s="9"/>
      <c r="I163" s="10">
        <v>1</v>
      </c>
      <c r="J163" s="10">
        <f t="shared" si="7"/>
        <v>1</v>
      </c>
      <c r="K163" s="9">
        <f t="shared" si="2"/>
        <v>0</v>
      </c>
      <c r="L163" s="11" t="s">
        <v>138</v>
      </c>
      <c r="M163" s="11" t="s">
        <v>335</v>
      </c>
      <c r="N163" s="12" t="str">
        <f t="shared" si="3"/>
        <v>Imaging|Thorlabs|MB618</v>
      </c>
      <c r="O163" s="12">
        <f t="shared" si="4"/>
        <v>1</v>
      </c>
      <c r="P163" s="12"/>
      <c r="Q163" s="12"/>
      <c r="R163" s="13"/>
      <c r="S163" s="13"/>
      <c r="T163" s="13"/>
      <c r="U163" s="11" t="s">
        <v>43</v>
      </c>
      <c r="V163" s="11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</row>
    <row r="164" spans="1:42" ht="22.5" customHeight="1">
      <c r="A164" s="8"/>
      <c r="B164" s="9"/>
      <c r="C164" s="10">
        <v>1</v>
      </c>
      <c r="D164" s="10"/>
      <c r="E164" s="10">
        <v>1</v>
      </c>
      <c r="F164" s="10"/>
      <c r="G164" s="10">
        <f t="shared" si="6"/>
        <v>0</v>
      </c>
      <c r="H164" s="9"/>
      <c r="I164" s="10">
        <v>1</v>
      </c>
      <c r="J164" s="10">
        <f t="shared" si="7"/>
        <v>0</v>
      </c>
      <c r="K164" s="9">
        <f t="shared" si="2"/>
        <v>0</v>
      </c>
      <c r="L164" s="11" t="s">
        <v>138</v>
      </c>
      <c r="M164" s="11" t="s">
        <v>336</v>
      </c>
      <c r="N164" s="12" t="str">
        <f t="shared" si="3"/>
        <v>|Thorlabs|MDT693B</v>
      </c>
      <c r="O164" s="12">
        <f t="shared" si="4"/>
        <v>1</v>
      </c>
      <c r="P164" s="12"/>
      <c r="Q164" s="12"/>
      <c r="R164" s="13" t="s">
        <v>138</v>
      </c>
      <c r="S164" s="13" t="s">
        <v>336</v>
      </c>
      <c r="T164" s="13" t="s">
        <v>337</v>
      </c>
      <c r="U164" s="18" t="s">
        <v>338</v>
      </c>
      <c r="V164" s="11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</row>
    <row r="165" spans="1:42" ht="22.5" customHeight="1">
      <c r="A165" s="8"/>
      <c r="B165" s="9" t="s">
        <v>27</v>
      </c>
      <c r="C165" s="10">
        <v>1</v>
      </c>
      <c r="D165" s="10"/>
      <c r="E165" s="10">
        <v>1</v>
      </c>
      <c r="F165" s="10"/>
      <c r="G165" s="10">
        <f t="shared" si="6"/>
        <v>0</v>
      </c>
      <c r="H165" s="9"/>
      <c r="I165" s="10">
        <v>1</v>
      </c>
      <c r="J165" s="10">
        <f t="shared" si="7"/>
        <v>0</v>
      </c>
      <c r="K165" s="9">
        <f t="shared" si="2"/>
        <v>0</v>
      </c>
      <c r="L165" s="11" t="s">
        <v>138</v>
      </c>
      <c r="M165" s="11" t="s">
        <v>339</v>
      </c>
      <c r="N165" s="12" t="str">
        <f t="shared" si="3"/>
        <v>Imaging|Thorlabs|MRAK25-P01</v>
      </c>
      <c r="O165" s="12">
        <f t="shared" si="4"/>
        <v>1</v>
      </c>
      <c r="P165" s="12"/>
      <c r="Q165" s="12"/>
      <c r="R165" s="13" t="s">
        <v>138</v>
      </c>
      <c r="S165" s="13" t="s">
        <v>339</v>
      </c>
      <c r="T165" s="13" t="s">
        <v>340</v>
      </c>
      <c r="U165" s="18" t="s">
        <v>341</v>
      </c>
      <c r="V165" s="11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</row>
    <row r="166" spans="1:42" ht="22.5" customHeight="1">
      <c r="A166" s="8"/>
      <c r="B166" s="9" t="s">
        <v>27</v>
      </c>
      <c r="C166" s="10">
        <v>1</v>
      </c>
      <c r="D166" s="10"/>
      <c r="E166" s="10">
        <v>0</v>
      </c>
      <c r="F166" s="10"/>
      <c r="G166" s="10">
        <f t="shared" si="6"/>
        <v>1</v>
      </c>
      <c r="H166" s="9"/>
      <c r="I166" s="10">
        <v>1</v>
      </c>
      <c r="J166" s="10">
        <f t="shared" si="7"/>
        <v>1</v>
      </c>
      <c r="K166" s="9">
        <f t="shared" si="2"/>
        <v>0</v>
      </c>
      <c r="L166" s="11" t="s">
        <v>138</v>
      </c>
      <c r="M166" s="11" t="s">
        <v>342</v>
      </c>
      <c r="N166" s="12" t="str">
        <f t="shared" si="3"/>
        <v>Imaging|Thorlabs|MS1</v>
      </c>
      <c r="O166" s="12">
        <f t="shared" si="4"/>
        <v>1</v>
      </c>
      <c r="P166" s="12"/>
      <c r="Q166" s="12"/>
      <c r="R166" s="13"/>
      <c r="S166" s="13"/>
      <c r="T166" s="13"/>
      <c r="U166" s="11" t="s">
        <v>43</v>
      </c>
      <c r="V166" s="11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</row>
    <row r="167" spans="1:42" ht="22.5" customHeight="1">
      <c r="A167" s="8"/>
      <c r="B167" s="9" t="s">
        <v>27</v>
      </c>
      <c r="C167" s="10">
        <v>4</v>
      </c>
      <c r="D167" s="10"/>
      <c r="E167" s="10">
        <v>0</v>
      </c>
      <c r="F167" s="10"/>
      <c r="G167" s="10">
        <f t="shared" si="6"/>
        <v>4</v>
      </c>
      <c r="H167" s="9"/>
      <c r="I167" s="10">
        <v>1</v>
      </c>
      <c r="J167" s="10">
        <f t="shared" si="7"/>
        <v>4</v>
      </c>
      <c r="K167" s="9">
        <f t="shared" si="2"/>
        <v>0</v>
      </c>
      <c r="L167" s="11" t="s">
        <v>138</v>
      </c>
      <c r="M167" s="11" t="s">
        <v>343</v>
      </c>
      <c r="N167" s="12" t="str">
        <f t="shared" si="3"/>
        <v>Imaging|Thorlabs|MSA25</v>
      </c>
      <c r="O167" s="12">
        <f t="shared" si="4"/>
        <v>1</v>
      </c>
      <c r="P167" s="12"/>
      <c r="Q167" s="12"/>
      <c r="R167" s="13"/>
      <c r="S167" s="13"/>
      <c r="T167" s="13"/>
      <c r="U167" s="11" t="s">
        <v>43</v>
      </c>
      <c r="V167" s="11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</row>
    <row r="168" spans="1:42" ht="22.5" customHeight="1">
      <c r="A168" s="8"/>
      <c r="B168" s="9" t="s">
        <v>22</v>
      </c>
      <c r="C168" s="10">
        <v>1</v>
      </c>
      <c r="D168" s="10"/>
      <c r="E168" s="10">
        <v>1</v>
      </c>
      <c r="F168" s="10"/>
      <c r="G168" s="10">
        <f t="shared" si="6"/>
        <v>0</v>
      </c>
      <c r="H168" s="9"/>
      <c r="I168" s="10">
        <v>1</v>
      </c>
      <c r="J168" s="10">
        <f t="shared" si="7"/>
        <v>0</v>
      </c>
      <c r="K168" s="9">
        <f t="shared" si="2"/>
        <v>0</v>
      </c>
      <c r="L168" s="11" t="s">
        <v>138</v>
      </c>
      <c r="M168" s="11" t="s">
        <v>344</v>
      </c>
      <c r="N168" s="12" t="str">
        <f t="shared" si="3"/>
        <v>Sample Hold|Thorlabs|MT1</v>
      </c>
      <c r="O168" s="12">
        <f t="shared" si="4"/>
        <v>1</v>
      </c>
      <c r="P168" s="12" t="s">
        <v>38</v>
      </c>
      <c r="Q168" s="12"/>
      <c r="R168" s="13" t="s">
        <v>138</v>
      </c>
      <c r="S168" s="13" t="s">
        <v>344</v>
      </c>
      <c r="T168" s="13" t="s">
        <v>345</v>
      </c>
      <c r="U168" s="15" t="s">
        <v>346</v>
      </c>
      <c r="V168" s="11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4"/>
      <c r="AP168" s="14"/>
    </row>
    <row r="169" spans="1:42" ht="22.5" customHeight="1">
      <c r="A169" s="8"/>
      <c r="B169" s="9"/>
      <c r="C169" s="10"/>
      <c r="D169" s="10"/>
      <c r="E169" s="10"/>
      <c r="F169" s="10"/>
      <c r="G169" s="10">
        <f t="shared" si="6"/>
        <v>0</v>
      </c>
      <c r="H169" s="9"/>
      <c r="I169" s="10">
        <v>1</v>
      </c>
      <c r="J169" s="10">
        <f t="shared" si="7"/>
        <v>0</v>
      </c>
      <c r="K169" s="9">
        <f t="shared" si="2"/>
        <v>0</v>
      </c>
      <c r="L169" s="11" t="s">
        <v>138</v>
      </c>
      <c r="M169" s="11" t="s">
        <v>347</v>
      </c>
      <c r="N169" s="12" t="str">
        <f t="shared" si="3"/>
        <v>|Thorlabs|MT1B</v>
      </c>
      <c r="O169" s="12">
        <f t="shared" si="4"/>
        <v>1</v>
      </c>
      <c r="P169" s="12" t="s">
        <v>38</v>
      </c>
      <c r="Q169" s="12"/>
      <c r="R169" s="13" t="s">
        <v>138</v>
      </c>
      <c r="S169" s="13" t="s">
        <v>347</v>
      </c>
      <c r="T169" s="12"/>
      <c r="U169" s="11"/>
      <c r="V169" s="9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</row>
    <row r="170" spans="1:42" ht="22.5" customHeight="1">
      <c r="A170" s="8"/>
      <c r="B170" s="9"/>
      <c r="C170" s="10"/>
      <c r="D170" s="10"/>
      <c r="E170" s="10"/>
      <c r="F170" s="10"/>
      <c r="G170" s="10">
        <f t="shared" si="6"/>
        <v>0</v>
      </c>
      <c r="H170" s="9"/>
      <c r="I170" s="10">
        <v>1</v>
      </c>
      <c r="J170" s="10">
        <f t="shared" si="7"/>
        <v>0</v>
      </c>
      <c r="K170" s="9">
        <f t="shared" si="2"/>
        <v>0</v>
      </c>
      <c r="L170" s="11" t="s">
        <v>138</v>
      </c>
      <c r="M170" s="11" t="s">
        <v>348</v>
      </c>
      <c r="N170" s="12" t="str">
        <f t="shared" si="3"/>
        <v>|Thorlabs|MT402</v>
      </c>
      <c r="O170" s="12">
        <f t="shared" si="4"/>
        <v>1</v>
      </c>
      <c r="P170" s="12" t="s">
        <v>38</v>
      </c>
      <c r="Q170" s="12"/>
      <c r="R170" s="13" t="s">
        <v>138</v>
      </c>
      <c r="S170" s="13" t="s">
        <v>348</v>
      </c>
      <c r="T170" s="12"/>
      <c r="U170" s="11"/>
      <c r="V170" s="9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</row>
    <row r="171" spans="1:42" ht="22.5" customHeight="1">
      <c r="A171" s="8"/>
      <c r="B171" s="9" t="s">
        <v>83</v>
      </c>
      <c r="C171" s="10">
        <v>0</v>
      </c>
      <c r="D171" s="10"/>
      <c r="E171" s="10"/>
      <c r="F171" s="10"/>
      <c r="G171" s="10">
        <f t="shared" si="6"/>
        <v>0</v>
      </c>
      <c r="H171" s="9"/>
      <c r="I171" s="10">
        <v>1</v>
      </c>
      <c r="J171" s="10">
        <f t="shared" si="7"/>
        <v>0</v>
      </c>
      <c r="K171" s="9">
        <f t="shared" si="2"/>
        <v>0</v>
      </c>
      <c r="L171" s="11" t="s">
        <v>138</v>
      </c>
      <c r="M171" s="11" t="s">
        <v>349</v>
      </c>
      <c r="N171" s="12" t="str">
        <f t="shared" si="3"/>
        <v>Obselete/None|Thorlabs|P1-460AR-2</v>
      </c>
      <c r="O171" s="12">
        <f t="shared" si="4"/>
        <v>1</v>
      </c>
      <c r="P171" s="12" t="s">
        <v>38</v>
      </c>
      <c r="Q171" s="12"/>
      <c r="R171" s="13" t="s">
        <v>138</v>
      </c>
      <c r="S171" s="13" t="s">
        <v>349</v>
      </c>
      <c r="T171" s="13" t="s">
        <v>350</v>
      </c>
      <c r="U171" s="11" t="s">
        <v>26</v>
      </c>
      <c r="V171" s="11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</row>
    <row r="172" spans="1:42" ht="22.5" customHeight="1">
      <c r="A172" s="8"/>
      <c r="B172" s="9" t="s">
        <v>31</v>
      </c>
      <c r="C172" s="10">
        <v>1</v>
      </c>
      <c r="D172" s="10"/>
      <c r="E172" s="10">
        <v>1</v>
      </c>
      <c r="F172" s="10"/>
      <c r="G172" s="10">
        <f t="shared" si="6"/>
        <v>0</v>
      </c>
      <c r="H172" s="9"/>
      <c r="I172" s="10">
        <v>1</v>
      </c>
      <c r="J172" s="10">
        <f t="shared" si="7"/>
        <v>0</v>
      </c>
      <c r="K172" s="9">
        <f t="shared" si="2"/>
        <v>0</v>
      </c>
      <c r="L172" s="11" t="s">
        <v>138</v>
      </c>
      <c r="M172" s="11" t="s">
        <v>351</v>
      </c>
      <c r="N172" s="12" t="str">
        <f t="shared" si="3"/>
        <v>Illumination|Thorlabs|P1-460B-FC-1</v>
      </c>
      <c r="O172" s="12">
        <f t="shared" si="4"/>
        <v>1</v>
      </c>
      <c r="P172" s="12"/>
      <c r="Q172" s="12"/>
      <c r="R172" s="13" t="s">
        <v>138</v>
      </c>
      <c r="S172" s="13" t="s">
        <v>351</v>
      </c>
      <c r="T172" s="13"/>
      <c r="U172" s="11"/>
      <c r="V172" s="11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</row>
    <row r="173" spans="1:42" ht="22.5" customHeight="1">
      <c r="A173" s="8"/>
      <c r="B173" s="9"/>
      <c r="C173" s="10"/>
      <c r="D173" s="10"/>
      <c r="E173" s="10"/>
      <c r="F173" s="10"/>
      <c r="G173" s="10">
        <f t="shared" si="6"/>
        <v>0</v>
      </c>
      <c r="H173" s="9"/>
      <c r="I173" s="10">
        <v>1</v>
      </c>
      <c r="J173" s="10">
        <f t="shared" si="7"/>
        <v>0</v>
      </c>
      <c r="K173" s="9">
        <f t="shared" si="2"/>
        <v>0</v>
      </c>
      <c r="L173" s="11" t="s">
        <v>138</v>
      </c>
      <c r="M173" s="11" t="s">
        <v>352</v>
      </c>
      <c r="N173" s="12" t="str">
        <f t="shared" si="3"/>
        <v>|Thorlabs|P10</v>
      </c>
      <c r="O173" s="12">
        <f t="shared" si="4"/>
        <v>1</v>
      </c>
      <c r="P173" s="12" t="s">
        <v>38</v>
      </c>
      <c r="Q173" s="12"/>
      <c r="R173" s="13" t="s">
        <v>138</v>
      </c>
      <c r="S173" s="13" t="s">
        <v>352</v>
      </c>
      <c r="T173" s="12"/>
      <c r="U173" s="11"/>
      <c r="V173" s="9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</row>
    <row r="174" spans="1:42" ht="22.5" customHeight="1">
      <c r="A174" s="8"/>
      <c r="B174" s="9"/>
      <c r="C174" s="10"/>
      <c r="D174" s="10"/>
      <c r="E174" s="10"/>
      <c r="F174" s="10"/>
      <c r="G174" s="10">
        <f t="shared" si="6"/>
        <v>0</v>
      </c>
      <c r="H174" s="9"/>
      <c r="I174" s="10">
        <v>1</v>
      </c>
      <c r="J174" s="10">
        <f t="shared" si="7"/>
        <v>0</v>
      </c>
      <c r="K174" s="9">
        <f t="shared" si="2"/>
        <v>0</v>
      </c>
      <c r="L174" s="11" t="s">
        <v>138</v>
      </c>
      <c r="M174" s="11" t="s">
        <v>353</v>
      </c>
      <c r="N174" s="12" t="str">
        <f t="shared" si="3"/>
        <v>|Thorlabs|P100/M</v>
      </c>
      <c r="O174" s="12">
        <f t="shared" si="4"/>
        <v>1</v>
      </c>
      <c r="P174" s="12" t="s">
        <v>38</v>
      </c>
      <c r="Q174" s="12" t="s">
        <v>204</v>
      </c>
      <c r="R174" s="13" t="s">
        <v>138</v>
      </c>
      <c r="S174" s="13" t="s">
        <v>353</v>
      </c>
      <c r="T174" s="12"/>
      <c r="U174" s="11"/>
      <c r="V174" s="9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</row>
    <row r="175" spans="1:42" ht="22.5" customHeight="1">
      <c r="A175" s="8"/>
      <c r="B175" s="9"/>
      <c r="C175" s="10"/>
      <c r="D175" s="10"/>
      <c r="E175" s="10">
        <v>1</v>
      </c>
      <c r="F175" s="10"/>
      <c r="G175" s="10">
        <f t="shared" si="6"/>
        <v>0</v>
      </c>
      <c r="H175" s="9"/>
      <c r="I175" s="10">
        <v>1</v>
      </c>
      <c r="J175" s="10">
        <f t="shared" si="7"/>
        <v>0</v>
      </c>
      <c r="K175" s="9">
        <f t="shared" si="2"/>
        <v>0</v>
      </c>
      <c r="L175" s="11" t="s">
        <v>138</v>
      </c>
      <c r="M175" s="11" t="s">
        <v>354</v>
      </c>
      <c r="N175" s="12" t="str">
        <f t="shared" si="3"/>
        <v>|Thorlabs|P4</v>
      </c>
      <c r="O175" s="12">
        <f t="shared" si="4"/>
        <v>1</v>
      </c>
      <c r="P175" s="12" t="s">
        <v>38</v>
      </c>
      <c r="Q175" s="12"/>
      <c r="R175" s="13" t="s">
        <v>138</v>
      </c>
      <c r="S175" s="13" t="s">
        <v>354</v>
      </c>
      <c r="T175" s="13" t="s">
        <v>355</v>
      </c>
      <c r="U175" s="15" t="s">
        <v>356</v>
      </c>
      <c r="V175" s="11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</row>
    <row r="176" spans="1:42" ht="22.5" customHeight="1">
      <c r="A176" s="8"/>
      <c r="B176" s="9"/>
      <c r="C176" s="10"/>
      <c r="D176" s="10"/>
      <c r="E176" s="10">
        <v>1</v>
      </c>
      <c r="F176" s="10"/>
      <c r="G176" s="10">
        <f t="shared" si="6"/>
        <v>0</v>
      </c>
      <c r="H176" s="9"/>
      <c r="I176" s="10">
        <v>1</v>
      </c>
      <c r="J176" s="10">
        <f t="shared" si="7"/>
        <v>0</v>
      </c>
      <c r="K176" s="9">
        <f t="shared" si="2"/>
        <v>0</v>
      </c>
      <c r="L176" s="11" t="s">
        <v>138</v>
      </c>
      <c r="M176" s="11" t="s">
        <v>357</v>
      </c>
      <c r="N176" s="12" t="str">
        <f t="shared" si="3"/>
        <v>|Thorlabs|P6</v>
      </c>
      <c r="O176" s="12">
        <f t="shared" si="4"/>
        <v>1</v>
      </c>
      <c r="P176" s="12" t="s">
        <v>38</v>
      </c>
      <c r="Q176" s="12"/>
      <c r="R176" s="13" t="s">
        <v>138</v>
      </c>
      <c r="S176" s="13" t="s">
        <v>357</v>
      </c>
      <c r="T176" s="13" t="s">
        <v>358</v>
      </c>
      <c r="U176" s="16" t="s">
        <v>359</v>
      </c>
      <c r="V176" s="11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4"/>
      <c r="AP176" s="14"/>
    </row>
    <row r="177" spans="1:42" ht="22.5" customHeight="1">
      <c r="A177" s="8"/>
      <c r="B177" s="9" t="s">
        <v>31</v>
      </c>
      <c r="C177" s="10">
        <v>1</v>
      </c>
      <c r="D177" s="10"/>
      <c r="E177" s="10">
        <v>1</v>
      </c>
      <c r="F177" s="10"/>
      <c r="G177" s="10">
        <f t="shared" si="6"/>
        <v>0</v>
      </c>
      <c r="H177" s="9"/>
      <c r="I177" s="10">
        <v>1</v>
      </c>
      <c r="J177" s="10">
        <f t="shared" si="7"/>
        <v>0</v>
      </c>
      <c r="K177" s="9">
        <f t="shared" si="2"/>
        <v>0</v>
      </c>
      <c r="L177" s="11" t="s">
        <v>138</v>
      </c>
      <c r="M177" s="11" t="s">
        <v>360</v>
      </c>
      <c r="N177" s="12" t="str">
        <f t="shared" si="3"/>
        <v>Illumination|Thorlabs|PAF2-A7A</v>
      </c>
      <c r="O177" s="12">
        <f t="shared" si="4"/>
        <v>1</v>
      </c>
      <c r="P177" s="12" t="s">
        <v>38</v>
      </c>
      <c r="Q177" s="12"/>
      <c r="R177" s="13" t="s">
        <v>138</v>
      </c>
      <c r="S177" s="13" t="s">
        <v>360</v>
      </c>
      <c r="T177" s="12" t="s">
        <v>361</v>
      </c>
      <c r="U177" s="11" t="s">
        <v>26</v>
      </c>
      <c r="V177" s="11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</row>
    <row r="178" spans="1:42" ht="22.5" customHeight="1">
      <c r="A178" s="8"/>
      <c r="B178" s="9"/>
      <c r="C178" s="10"/>
      <c r="D178" s="10"/>
      <c r="E178" s="10">
        <v>2</v>
      </c>
      <c r="F178" s="10"/>
      <c r="G178" s="10">
        <f t="shared" si="6"/>
        <v>0</v>
      </c>
      <c r="H178" s="9"/>
      <c r="I178" s="10">
        <v>1</v>
      </c>
      <c r="J178" s="10">
        <f t="shared" si="7"/>
        <v>0</v>
      </c>
      <c r="K178" s="9">
        <f t="shared" si="2"/>
        <v>0</v>
      </c>
      <c r="L178" s="11" t="s">
        <v>138</v>
      </c>
      <c r="M178" s="11" t="s">
        <v>362</v>
      </c>
      <c r="N178" s="12" t="str">
        <f t="shared" si="3"/>
        <v>|Thorlabs|PB1</v>
      </c>
      <c r="O178" s="12">
        <f t="shared" si="4"/>
        <v>1</v>
      </c>
      <c r="P178" s="12" t="s">
        <v>38</v>
      </c>
      <c r="Q178" s="12"/>
      <c r="R178" s="13" t="s">
        <v>138</v>
      </c>
      <c r="S178" s="13" t="s">
        <v>362</v>
      </c>
      <c r="T178" s="13" t="s">
        <v>363</v>
      </c>
      <c r="U178" s="15" t="s">
        <v>364</v>
      </c>
      <c r="V178" s="11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14"/>
      <c r="AP178" s="14"/>
    </row>
    <row r="179" spans="1:42" ht="22.5" customHeight="1">
      <c r="A179" s="8"/>
      <c r="B179" s="9"/>
      <c r="C179" s="10"/>
      <c r="D179" s="10"/>
      <c r="E179" s="10">
        <v>1</v>
      </c>
      <c r="F179" s="10"/>
      <c r="G179" s="10">
        <f t="shared" si="6"/>
        <v>0</v>
      </c>
      <c r="H179" s="9"/>
      <c r="I179" s="10">
        <v>1</v>
      </c>
      <c r="J179" s="10">
        <f t="shared" si="7"/>
        <v>0</v>
      </c>
      <c r="K179" s="9">
        <f t="shared" si="2"/>
        <v>0</v>
      </c>
      <c r="L179" s="11" t="s">
        <v>138</v>
      </c>
      <c r="M179" s="11" t="s">
        <v>365</v>
      </c>
      <c r="N179" s="12" t="str">
        <f t="shared" si="3"/>
        <v>|Thorlabs|PB4</v>
      </c>
      <c r="O179" s="12">
        <f t="shared" si="4"/>
        <v>1</v>
      </c>
      <c r="P179" s="12" t="s">
        <v>38</v>
      </c>
      <c r="Q179" s="12"/>
      <c r="R179" s="13" t="s">
        <v>138</v>
      </c>
      <c r="S179" s="13" t="s">
        <v>365</v>
      </c>
      <c r="T179" s="13" t="s">
        <v>366</v>
      </c>
      <c r="U179" s="15" t="s">
        <v>367</v>
      </c>
      <c r="V179" s="11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</row>
    <row r="180" spans="1:42" ht="22.5" customHeight="1">
      <c r="A180" s="8"/>
      <c r="B180" s="9"/>
      <c r="C180" s="10"/>
      <c r="D180" s="10"/>
      <c r="E180" s="10"/>
      <c r="F180" s="10"/>
      <c r="G180" s="10">
        <f t="shared" si="6"/>
        <v>0</v>
      </c>
      <c r="H180" s="9"/>
      <c r="I180" s="10">
        <v>1</v>
      </c>
      <c r="J180" s="10">
        <f t="shared" si="7"/>
        <v>0</v>
      </c>
      <c r="K180" s="9">
        <f t="shared" si="2"/>
        <v>0</v>
      </c>
      <c r="L180" s="11" t="s">
        <v>138</v>
      </c>
      <c r="M180" s="11" t="s">
        <v>368</v>
      </c>
      <c r="N180" s="12" t="str">
        <f t="shared" si="3"/>
        <v>|Thorlabs|PB4-M</v>
      </c>
      <c r="O180" s="12">
        <f t="shared" si="4"/>
        <v>1</v>
      </c>
      <c r="P180" s="12" t="s">
        <v>38</v>
      </c>
      <c r="Q180" s="12"/>
      <c r="R180" s="13" t="s">
        <v>138</v>
      </c>
      <c r="S180" s="13" t="s">
        <v>368</v>
      </c>
      <c r="T180" s="12"/>
      <c r="U180" s="11"/>
      <c r="V180" s="9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4"/>
      <c r="AP180" s="14"/>
    </row>
    <row r="181" spans="1:42" ht="22.5" customHeight="1">
      <c r="A181" s="8"/>
      <c r="B181" s="9" t="s">
        <v>27</v>
      </c>
      <c r="C181" s="10">
        <v>1</v>
      </c>
      <c r="D181" s="10"/>
      <c r="E181" s="10">
        <v>1</v>
      </c>
      <c r="F181" s="10"/>
      <c r="G181" s="10">
        <f t="shared" si="6"/>
        <v>0</v>
      </c>
      <c r="H181" s="9"/>
      <c r="I181" s="10">
        <v>1</v>
      </c>
      <c r="J181" s="10">
        <f t="shared" si="7"/>
        <v>0</v>
      </c>
      <c r="K181" s="9">
        <f t="shared" si="2"/>
        <v>0</v>
      </c>
      <c r="L181" s="11" t="s">
        <v>138</v>
      </c>
      <c r="M181" s="11" t="s">
        <v>369</v>
      </c>
      <c r="N181" s="12" t="str">
        <f t="shared" si="3"/>
        <v>Imaging|Thorlabs|PB4VB2S</v>
      </c>
      <c r="O181" s="12">
        <f t="shared" si="4"/>
        <v>1</v>
      </c>
      <c r="P181" s="12"/>
      <c r="Q181" s="12"/>
      <c r="R181" s="13" t="s">
        <v>138</v>
      </c>
      <c r="S181" s="13" t="s">
        <v>369</v>
      </c>
      <c r="T181" s="13" t="s">
        <v>370</v>
      </c>
      <c r="U181" s="16" t="s">
        <v>371</v>
      </c>
      <c r="V181" s="11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</row>
    <row r="182" spans="1:42" ht="22.5" customHeight="1">
      <c r="A182" s="8"/>
      <c r="B182" s="9"/>
      <c r="C182" s="10"/>
      <c r="D182" s="10"/>
      <c r="E182" s="10"/>
      <c r="F182" s="10"/>
      <c r="G182" s="10">
        <f t="shared" si="6"/>
        <v>0</v>
      </c>
      <c r="H182" s="9"/>
      <c r="I182" s="10">
        <v>1</v>
      </c>
      <c r="J182" s="10">
        <f t="shared" si="7"/>
        <v>0</v>
      </c>
      <c r="K182" s="9">
        <f t="shared" si="2"/>
        <v>0</v>
      </c>
      <c r="L182" s="11" t="s">
        <v>138</v>
      </c>
      <c r="M182" s="11" t="s">
        <v>372</v>
      </c>
      <c r="N182" s="12" t="str">
        <f t="shared" si="3"/>
        <v>|Thorlabs|PBS251</v>
      </c>
      <c r="O182" s="12">
        <f t="shared" si="4"/>
        <v>1</v>
      </c>
      <c r="P182" s="12" t="s">
        <v>38</v>
      </c>
      <c r="Q182" s="12"/>
      <c r="R182" s="13" t="s">
        <v>138</v>
      </c>
      <c r="S182" s="13" t="s">
        <v>372</v>
      </c>
      <c r="T182" s="12"/>
      <c r="U182" s="11"/>
      <c r="V182" s="9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4"/>
      <c r="AP182" s="14"/>
    </row>
    <row r="183" spans="1:42" ht="22.5" customHeight="1">
      <c r="A183" s="8"/>
      <c r="B183" s="9" t="s">
        <v>27</v>
      </c>
      <c r="C183" s="10">
        <v>1</v>
      </c>
      <c r="D183" s="10"/>
      <c r="E183" s="10">
        <v>1</v>
      </c>
      <c r="F183" s="10"/>
      <c r="G183" s="10">
        <f t="shared" si="6"/>
        <v>0</v>
      </c>
      <c r="H183" s="9"/>
      <c r="I183" s="10">
        <v>1</v>
      </c>
      <c r="J183" s="10">
        <f t="shared" si="7"/>
        <v>0</v>
      </c>
      <c r="K183" s="9">
        <f t="shared" si="2"/>
        <v>0</v>
      </c>
      <c r="L183" s="11" t="s">
        <v>138</v>
      </c>
      <c r="M183" s="11" t="s">
        <v>373</v>
      </c>
      <c r="N183" s="12" t="str">
        <f t="shared" si="3"/>
        <v>Imaging|Thorlabs|PF20-03-P01</v>
      </c>
      <c r="O183" s="12">
        <f t="shared" si="4"/>
        <v>1</v>
      </c>
      <c r="P183" s="12" t="s">
        <v>38</v>
      </c>
      <c r="Q183" s="12"/>
      <c r="R183" s="13" t="s">
        <v>138</v>
      </c>
      <c r="S183" s="13" t="s">
        <v>373</v>
      </c>
      <c r="T183" s="13" t="s">
        <v>374</v>
      </c>
      <c r="U183" s="15" t="s">
        <v>375</v>
      </c>
      <c r="V183" s="11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</row>
    <row r="184" spans="1:42" ht="22.5" customHeight="1">
      <c r="A184" s="8"/>
      <c r="B184" s="9" t="s">
        <v>31</v>
      </c>
      <c r="C184" s="10">
        <v>2</v>
      </c>
      <c r="D184" s="10"/>
      <c r="E184" s="10">
        <v>2</v>
      </c>
      <c r="F184" s="10"/>
      <c r="G184" s="10">
        <f t="shared" si="6"/>
        <v>0</v>
      </c>
      <c r="H184" s="9"/>
      <c r="I184" s="10">
        <v>1</v>
      </c>
      <c r="J184" s="10">
        <f t="shared" si="7"/>
        <v>0</v>
      </c>
      <c r="K184" s="9">
        <f t="shared" si="2"/>
        <v>0</v>
      </c>
      <c r="L184" s="11" t="s">
        <v>138</v>
      </c>
      <c r="M184" s="11" t="s">
        <v>376</v>
      </c>
      <c r="N184" s="12" t="str">
        <f t="shared" si="3"/>
        <v>Illumination|Thorlabs|PH1</v>
      </c>
      <c r="O184" s="12">
        <f t="shared" si="4"/>
        <v>1</v>
      </c>
      <c r="P184" s="12" t="s">
        <v>38</v>
      </c>
      <c r="Q184" s="12"/>
      <c r="R184" s="13" t="s">
        <v>138</v>
      </c>
      <c r="S184" s="13" t="s">
        <v>376</v>
      </c>
      <c r="T184" s="13" t="s">
        <v>377</v>
      </c>
      <c r="U184" s="15" t="s">
        <v>378</v>
      </c>
      <c r="V184" s="11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14"/>
      <c r="AP184" s="14"/>
    </row>
    <row r="185" spans="1:42" ht="22.5" customHeight="1">
      <c r="A185" s="8"/>
      <c r="B185" s="9" t="s">
        <v>27</v>
      </c>
      <c r="C185" s="10">
        <v>5</v>
      </c>
      <c r="D185" s="10"/>
      <c r="E185" s="10">
        <v>5</v>
      </c>
      <c r="F185" s="10"/>
      <c r="G185" s="10">
        <f t="shared" si="6"/>
        <v>0</v>
      </c>
      <c r="H185" s="9"/>
      <c r="I185" s="10">
        <v>1</v>
      </c>
      <c r="J185" s="10">
        <f t="shared" si="7"/>
        <v>0</v>
      </c>
      <c r="K185" s="9">
        <f t="shared" si="2"/>
        <v>0</v>
      </c>
      <c r="L185" s="11" t="s">
        <v>138</v>
      </c>
      <c r="M185" s="11" t="s">
        <v>376</v>
      </c>
      <c r="N185" s="12" t="str">
        <f t="shared" si="3"/>
        <v>Imaging|Thorlabs|PH1</v>
      </c>
      <c r="O185" s="12">
        <f t="shared" si="4"/>
        <v>1</v>
      </c>
      <c r="P185" s="12"/>
      <c r="Q185" s="12"/>
      <c r="R185" s="13"/>
      <c r="S185" s="13"/>
      <c r="T185" s="13"/>
      <c r="U185" s="11" t="s">
        <v>43</v>
      </c>
      <c r="V185" s="11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</row>
    <row r="186" spans="1:42" ht="22.5" customHeight="1">
      <c r="A186" s="8"/>
      <c r="B186" s="9" t="s">
        <v>27</v>
      </c>
      <c r="C186" s="10">
        <v>7</v>
      </c>
      <c r="D186" s="10"/>
      <c r="E186" s="10">
        <v>0</v>
      </c>
      <c r="F186" s="10"/>
      <c r="G186" s="10">
        <f t="shared" si="6"/>
        <v>7</v>
      </c>
      <c r="H186" s="9"/>
      <c r="I186" s="10">
        <v>1</v>
      </c>
      <c r="J186" s="10">
        <f t="shared" si="7"/>
        <v>7</v>
      </c>
      <c r="K186" s="9">
        <f t="shared" si="2"/>
        <v>0</v>
      </c>
      <c r="L186" s="11" t="s">
        <v>138</v>
      </c>
      <c r="M186" s="11" t="s">
        <v>379</v>
      </c>
      <c r="N186" s="12" t="str">
        <f t="shared" si="3"/>
        <v>Imaging|Thorlabs|PH1.5</v>
      </c>
      <c r="O186" s="12">
        <f t="shared" si="4"/>
        <v>1</v>
      </c>
      <c r="P186" s="12"/>
      <c r="Q186" s="12"/>
      <c r="R186" s="13"/>
      <c r="S186" s="13"/>
      <c r="T186" s="13"/>
      <c r="U186" s="11" t="s">
        <v>43</v>
      </c>
      <c r="V186" s="11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  <c r="AO186" s="14"/>
      <c r="AP186" s="14"/>
    </row>
    <row r="187" spans="1:42" ht="22.5" customHeight="1">
      <c r="A187" s="8"/>
      <c r="B187" s="9"/>
      <c r="C187" s="10"/>
      <c r="D187" s="10"/>
      <c r="E187" s="10">
        <v>1</v>
      </c>
      <c r="F187" s="10"/>
      <c r="G187" s="10">
        <f t="shared" si="6"/>
        <v>0</v>
      </c>
      <c r="H187" s="9"/>
      <c r="I187" s="10">
        <v>1</v>
      </c>
      <c r="J187" s="10">
        <f t="shared" si="7"/>
        <v>0</v>
      </c>
      <c r="K187" s="9">
        <f t="shared" si="2"/>
        <v>0</v>
      </c>
      <c r="L187" s="11" t="s">
        <v>138</v>
      </c>
      <c r="M187" s="17" t="s">
        <v>380</v>
      </c>
      <c r="N187" s="12" t="str">
        <f t="shared" si="3"/>
        <v>|Thorlabs|PH2</v>
      </c>
      <c r="O187" s="12">
        <f t="shared" si="4"/>
        <v>1</v>
      </c>
      <c r="P187" s="21" t="s">
        <v>38</v>
      </c>
      <c r="Q187" s="12"/>
      <c r="R187" s="13" t="s">
        <v>138</v>
      </c>
      <c r="S187" s="13" t="s">
        <v>380</v>
      </c>
      <c r="T187" s="13" t="s">
        <v>381</v>
      </c>
      <c r="U187" s="16" t="s">
        <v>382</v>
      </c>
      <c r="V187" s="11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</row>
    <row r="188" spans="1:42" ht="22.5" customHeight="1">
      <c r="A188" s="8"/>
      <c r="B188" s="9" t="s">
        <v>31</v>
      </c>
      <c r="C188" s="10">
        <v>2</v>
      </c>
      <c r="D188" s="10"/>
      <c r="E188" s="10">
        <v>2</v>
      </c>
      <c r="F188" s="10"/>
      <c r="G188" s="10">
        <f t="shared" si="6"/>
        <v>0</v>
      </c>
      <c r="H188" s="9"/>
      <c r="I188" s="10">
        <v>1</v>
      </c>
      <c r="J188" s="10">
        <f t="shared" si="7"/>
        <v>0</v>
      </c>
      <c r="K188" s="9">
        <f t="shared" si="2"/>
        <v>0</v>
      </c>
      <c r="L188" s="11" t="s">
        <v>138</v>
      </c>
      <c r="M188" s="11" t="s">
        <v>383</v>
      </c>
      <c r="N188" s="12" t="str">
        <f t="shared" si="3"/>
        <v>Illumination|Thorlabs|PH2E</v>
      </c>
      <c r="O188" s="12">
        <f t="shared" si="4"/>
        <v>1</v>
      </c>
      <c r="P188" s="12" t="s">
        <v>38</v>
      </c>
      <c r="Q188" s="12"/>
      <c r="R188" s="13" t="s">
        <v>138</v>
      </c>
      <c r="S188" s="13" t="s">
        <v>383</v>
      </c>
      <c r="T188" s="13" t="s">
        <v>384</v>
      </c>
      <c r="U188" s="11" t="s">
        <v>26</v>
      </c>
      <c r="V188" s="11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14"/>
      <c r="AP188" s="14"/>
    </row>
    <row r="189" spans="1:42" ht="22.5" customHeight="1">
      <c r="A189" s="8"/>
      <c r="B189" s="9" t="s">
        <v>31</v>
      </c>
      <c r="C189" s="10">
        <v>4</v>
      </c>
      <c r="D189" s="10"/>
      <c r="E189" s="10">
        <v>5</v>
      </c>
      <c r="F189" s="10"/>
      <c r="G189" s="10">
        <f t="shared" si="6"/>
        <v>0</v>
      </c>
      <c r="H189" s="9"/>
      <c r="I189" s="10">
        <v>1</v>
      </c>
      <c r="J189" s="10">
        <f t="shared" si="7"/>
        <v>0</v>
      </c>
      <c r="K189" s="9">
        <f t="shared" si="2"/>
        <v>0</v>
      </c>
      <c r="L189" s="11" t="s">
        <v>138</v>
      </c>
      <c r="M189" s="11" t="s">
        <v>385</v>
      </c>
      <c r="N189" s="12" t="str">
        <f t="shared" si="3"/>
        <v>Illumination|Thorlabs|PH3</v>
      </c>
      <c r="O189" s="12">
        <f t="shared" si="4"/>
        <v>1</v>
      </c>
      <c r="P189" s="12" t="s">
        <v>38</v>
      </c>
      <c r="Q189" s="12"/>
      <c r="R189" s="13" t="s">
        <v>138</v>
      </c>
      <c r="S189" s="13" t="s">
        <v>385</v>
      </c>
      <c r="T189" s="13" t="s">
        <v>386</v>
      </c>
      <c r="U189" s="11" t="s">
        <v>26</v>
      </c>
      <c r="V189" s="11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</row>
    <row r="190" spans="1:42" ht="22.5" customHeight="1">
      <c r="A190" s="8"/>
      <c r="B190" s="9" t="s">
        <v>31</v>
      </c>
      <c r="C190" s="10">
        <v>3</v>
      </c>
      <c r="D190" s="10"/>
      <c r="E190" s="10">
        <v>3</v>
      </c>
      <c r="F190" s="10"/>
      <c r="G190" s="10">
        <f t="shared" si="6"/>
        <v>0</v>
      </c>
      <c r="H190" s="9"/>
      <c r="I190" s="10">
        <v>1</v>
      </c>
      <c r="J190" s="10">
        <f t="shared" si="7"/>
        <v>0</v>
      </c>
      <c r="K190" s="9">
        <f t="shared" si="2"/>
        <v>0</v>
      </c>
      <c r="L190" s="11" t="s">
        <v>138</v>
      </c>
      <c r="M190" s="11" t="s">
        <v>387</v>
      </c>
      <c r="N190" s="12" t="str">
        <f t="shared" si="3"/>
        <v>Illumination|Thorlabs|PH4</v>
      </c>
      <c r="O190" s="12">
        <f t="shared" si="4"/>
        <v>1</v>
      </c>
      <c r="P190" s="12" t="s">
        <v>38</v>
      </c>
      <c r="Q190" s="12"/>
      <c r="R190" s="13" t="s">
        <v>138</v>
      </c>
      <c r="S190" s="13" t="s">
        <v>387</v>
      </c>
      <c r="T190" s="13" t="s">
        <v>272</v>
      </c>
      <c r="U190" s="11" t="s">
        <v>26</v>
      </c>
      <c r="V190" s="11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14"/>
      <c r="AP190" s="14"/>
    </row>
    <row r="191" spans="1:42" ht="22.5" customHeight="1">
      <c r="A191" s="8"/>
      <c r="B191" s="9" t="s">
        <v>22</v>
      </c>
      <c r="C191" s="10">
        <v>3</v>
      </c>
      <c r="D191" s="10"/>
      <c r="E191" s="10">
        <v>3</v>
      </c>
      <c r="F191" s="10"/>
      <c r="G191" s="10">
        <f t="shared" si="6"/>
        <v>0</v>
      </c>
      <c r="H191" s="9"/>
      <c r="I191" s="10">
        <v>1</v>
      </c>
      <c r="J191" s="10">
        <f t="shared" si="7"/>
        <v>0</v>
      </c>
      <c r="K191" s="9">
        <f t="shared" si="2"/>
        <v>0</v>
      </c>
      <c r="L191" s="11" t="s">
        <v>138</v>
      </c>
      <c r="M191" s="11" t="s">
        <v>387</v>
      </c>
      <c r="N191" s="12" t="str">
        <f t="shared" si="3"/>
        <v>Sample Hold|Thorlabs|PH4</v>
      </c>
      <c r="O191" s="12">
        <f t="shared" si="4"/>
        <v>1</v>
      </c>
      <c r="P191" s="12" t="s">
        <v>38</v>
      </c>
      <c r="Q191" s="12"/>
      <c r="R191" s="13" t="s">
        <v>138</v>
      </c>
      <c r="S191" s="13" t="s">
        <v>387</v>
      </c>
      <c r="T191" s="13" t="s">
        <v>388</v>
      </c>
      <c r="U191" s="11" t="s">
        <v>26</v>
      </c>
      <c r="V191" s="11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</row>
    <row r="192" spans="1:42" ht="22.5" customHeight="1">
      <c r="A192" s="8"/>
      <c r="B192" s="9" t="s">
        <v>31</v>
      </c>
      <c r="C192" s="10">
        <v>2</v>
      </c>
      <c r="D192" s="10"/>
      <c r="E192" s="10">
        <v>2</v>
      </c>
      <c r="F192" s="10"/>
      <c r="G192" s="10">
        <f t="shared" si="6"/>
        <v>0</v>
      </c>
      <c r="H192" s="9"/>
      <c r="I192" s="10">
        <v>1</v>
      </c>
      <c r="J192" s="10">
        <f t="shared" si="7"/>
        <v>0</v>
      </c>
      <c r="K192" s="9">
        <f t="shared" si="2"/>
        <v>0</v>
      </c>
      <c r="L192" s="11" t="s">
        <v>138</v>
      </c>
      <c r="M192" s="11" t="s">
        <v>389</v>
      </c>
      <c r="N192" s="12" t="str">
        <f t="shared" si="3"/>
        <v>Illumination|Thorlabs|PH6</v>
      </c>
      <c r="O192" s="12">
        <f t="shared" si="4"/>
        <v>1</v>
      </c>
      <c r="P192" s="12" t="s">
        <v>38</v>
      </c>
      <c r="Q192" s="12"/>
      <c r="R192" s="13" t="s">
        <v>138</v>
      </c>
      <c r="S192" s="13" t="s">
        <v>389</v>
      </c>
      <c r="T192" s="13" t="s">
        <v>390</v>
      </c>
      <c r="U192" s="11" t="s">
        <v>26</v>
      </c>
      <c r="V192" s="11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4"/>
      <c r="AP192" s="14"/>
    </row>
    <row r="193" spans="1:42" ht="22.5" customHeight="1">
      <c r="A193" s="8"/>
      <c r="B193" s="9" t="s">
        <v>27</v>
      </c>
      <c r="C193" s="10">
        <v>1</v>
      </c>
      <c r="D193" s="10"/>
      <c r="E193" s="10">
        <v>0</v>
      </c>
      <c r="F193" s="10"/>
      <c r="G193" s="10">
        <f t="shared" si="6"/>
        <v>1</v>
      </c>
      <c r="H193" s="9"/>
      <c r="I193" s="10">
        <v>1</v>
      </c>
      <c r="J193" s="10">
        <f t="shared" si="7"/>
        <v>1</v>
      </c>
      <c r="K193" s="9">
        <f t="shared" si="2"/>
        <v>0</v>
      </c>
      <c r="L193" s="11" t="s">
        <v>138</v>
      </c>
      <c r="M193" s="11" t="s">
        <v>391</v>
      </c>
      <c r="N193" s="12" t="str">
        <f t="shared" si="3"/>
        <v>Imaging|Thorlabs|PL201</v>
      </c>
      <c r="O193" s="12">
        <f t="shared" si="4"/>
        <v>1</v>
      </c>
      <c r="P193" s="12"/>
      <c r="Q193" s="12"/>
      <c r="R193" s="13"/>
      <c r="S193" s="13"/>
      <c r="T193" s="13"/>
      <c r="U193" s="11" t="s">
        <v>43</v>
      </c>
      <c r="V193" s="11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</row>
    <row r="194" spans="1:42" ht="22.5" customHeight="1">
      <c r="A194" s="8"/>
      <c r="B194" s="9"/>
      <c r="C194" s="10"/>
      <c r="D194" s="10"/>
      <c r="E194" s="10">
        <v>4</v>
      </c>
      <c r="F194" s="10"/>
      <c r="G194" s="10">
        <f t="shared" si="6"/>
        <v>0</v>
      </c>
      <c r="H194" s="9"/>
      <c r="I194" s="10">
        <v>1</v>
      </c>
      <c r="J194" s="10">
        <f t="shared" si="7"/>
        <v>0</v>
      </c>
      <c r="K194" s="9">
        <f t="shared" si="2"/>
        <v>0</v>
      </c>
      <c r="L194" s="11" t="s">
        <v>138</v>
      </c>
      <c r="M194" s="11" t="s">
        <v>392</v>
      </c>
      <c r="N194" s="12" t="str">
        <f t="shared" si="3"/>
        <v xml:space="preserve">|Thorlabs|PS7M </v>
      </c>
      <c r="O194" s="12">
        <f t="shared" si="4"/>
        <v>1</v>
      </c>
      <c r="P194" s="12"/>
      <c r="Q194" s="12"/>
      <c r="R194" s="13" t="s">
        <v>138</v>
      </c>
      <c r="S194" s="13" t="s">
        <v>392</v>
      </c>
      <c r="T194" s="13" t="s">
        <v>393</v>
      </c>
      <c r="U194" s="16" t="s">
        <v>394</v>
      </c>
      <c r="V194" s="11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14"/>
      <c r="AP194" s="14"/>
    </row>
    <row r="195" spans="1:42" ht="22.5" customHeight="1">
      <c r="A195" s="8"/>
      <c r="B195" s="9" t="s">
        <v>31</v>
      </c>
      <c r="C195" s="10">
        <v>1</v>
      </c>
      <c r="D195" s="10"/>
      <c r="E195" s="10">
        <v>1</v>
      </c>
      <c r="F195" s="10"/>
      <c r="G195" s="10">
        <f t="shared" si="6"/>
        <v>0</v>
      </c>
      <c r="H195" s="9"/>
      <c r="I195" s="10">
        <v>1</v>
      </c>
      <c r="J195" s="10">
        <f t="shared" si="7"/>
        <v>0</v>
      </c>
      <c r="K195" s="9">
        <f t="shared" si="2"/>
        <v>0</v>
      </c>
      <c r="L195" s="11" t="s">
        <v>138</v>
      </c>
      <c r="M195" s="11" t="s">
        <v>395</v>
      </c>
      <c r="N195" s="12" t="str">
        <f t="shared" si="3"/>
        <v>Illumination|Thorlabs|PT1</v>
      </c>
      <c r="O195" s="12">
        <f t="shared" si="4"/>
        <v>1</v>
      </c>
      <c r="P195" s="12"/>
      <c r="Q195" s="12"/>
      <c r="R195" s="13" t="s">
        <v>138</v>
      </c>
      <c r="S195" s="13" t="s">
        <v>395</v>
      </c>
      <c r="T195" s="13" t="s">
        <v>396</v>
      </c>
      <c r="U195" s="15" t="s">
        <v>397</v>
      </c>
      <c r="V195" s="11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</row>
    <row r="196" spans="1:42" ht="22.5" customHeight="1">
      <c r="A196" s="8"/>
      <c r="B196" s="9" t="s">
        <v>27</v>
      </c>
      <c r="C196" s="10">
        <v>1</v>
      </c>
      <c r="D196" s="10"/>
      <c r="E196" s="10">
        <v>1</v>
      </c>
      <c r="F196" s="10"/>
      <c r="G196" s="10">
        <f t="shared" si="6"/>
        <v>0</v>
      </c>
      <c r="H196" s="9"/>
      <c r="I196" s="10">
        <v>1</v>
      </c>
      <c r="J196" s="10">
        <f t="shared" si="7"/>
        <v>0</v>
      </c>
      <c r="K196" s="9">
        <f t="shared" si="2"/>
        <v>0</v>
      </c>
      <c r="L196" s="11" t="s">
        <v>138</v>
      </c>
      <c r="M196" s="11" t="s">
        <v>395</v>
      </c>
      <c r="N196" s="12" t="str">
        <f t="shared" si="3"/>
        <v>Imaging|Thorlabs|PT1</v>
      </c>
      <c r="O196" s="12">
        <f t="shared" si="4"/>
        <v>1</v>
      </c>
      <c r="P196" s="12"/>
      <c r="Q196" s="12"/>
      <c r="R196" s="13"/>
      <c r="S196" s="13"/>
      <c r="T196" s="13"/>
      <c r="U196" s="11" t="s">
        <v>43</v>
      </c>
      <c r="V196" s="11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4"/>
      <c r="AP196" s="14"/>
    </row>
    <row r="197" spans="1:42" ht="22.5" customHeight="1">
      <c r="A197" s="8"/>
      <c r="B197" s="9" t="s">
        <v>83</v>
      </c>
      <c r="C197" s="10">
        <v>0</v>
      </c>
      <c r="D197" s="10"/>
      <c r="E197" s="10">
        <v>0</v>
      </c>
      <c r="F197" s="10"/>
      <c r="G197" s="10">
        <f t="shared" si="6"/>
        <v>0</v>
      </c>
      <c r="H197" s="9"/>
      <c r="I197" s="10">
        <v>1</v>
      </c>
      <c r="J197" s="10">
        <f t="shared" si="7"/>
        <v>0</v>
      </c>
      <c r="K197" s="9">
        <f t="shared" si="2"/>
        <v>0</v>
      </c>
      <c r="L197" s="11" t="s">
        <v>138</v>
      </c>
      <c r="M197" s="11" t="s">
        <v>398</v>
      </c>
      <c r="N197" s="12" t="str">
        <f t="shared" si="3"/>
        <v>Obselete/None|Thorlabs|PT101</v>
      </c>
      <c r="O197" s="12">
        <f t="shared" si="4"/>
        <v>1</v>
      </c>
      <c r="P197" s="12"/>
      <c r="Q197" s="12"/>
      <c r="R197" s="13" t="s">
        <v>138</v>
      </c>
      <c r="S197" s="13" t="s">
        <v>398</v>
      </c>
      <c r="T197" s="13" t="s">
        <v>399</v>
      </c>
      <c r="U197" s="15" t="s">
        <v>400</v>
      </c>
      <c r="V197" s="11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</row>
    <row r="198" spans="1:42" ht="22.5" customHeight="1">
      <c r="A198" s="8"/>
      <c r="B198" s="9" t="s">
        <v>27</v>
      </c>
      <c r="C198" s="10">
        <v>1</v>
      </c>
      <c r="D198" s="10"/>
      <c r="E198" s="10">
        <v>1</v>
      </c>
      <c r="F198" s="10"/>
      <c r="G198" s="10">
        <f t="shared" si="6"/>
        <v>0</v>
      </c>
      <c r="H198" s="9"/>
      <c r="I198" s="10">
        <v>1</v>
      </c>
      <c r="J198" s="10">
        <f t="shared" si="7"/>
        <v>0</v>
      </c>
      <c r="K198" s="9">
        <f t="shared" si="2"/>
        <v>0</v>
      </c>
      <c r="L198" s="11" t="s">
        <v>138</v>
      </c>
      <c r="M198" s="11" t="s">
        <v>398</v>
      </c>
      <c r="N198" s="12" t="str">
        <f t="shared" si="3"/>
        <v>Imaging|Thorlabs|PT101</v>
      </c>
      <c r="O198" s="12">
        <f t="shared" si="4"/>
        <v>1</v>
      </c>
      <c r="P198" s="12"/>
      <c r="Q198" s="12"/>
      <c r="R198" s="13"/>
      <c r="S198" s="13"/>
      <c r="T198" s="13"/>
      <c r="U198" s="11" t="s">
        <v>43</v>
      </c>
      <c r="V198" s="11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14"/>
      <c r="AP198" s="14"/>
    </row>
    <row r="199" spans="1:42" ht="22.5" customHeight="1">
      <c r="A199" s="8"/>
      <c r="B199" s="9" t="s">
        <v>22</v>
      </c>
      <c r="C199" s="10">
        <v>0</v>
      </c>
      <c r="D199" s="10"/>
      <c r="E199" s="10">
        <v>0</v>
      </c>
      <c r="F199" s="10"/>
      <c r="G199" s="10">
        <f t="shared" si="6"/>
        <v>0</v>
      </c>
      <c r="H199" s="9"/>
      <c r="I199" s="10">
        <v>1</v>
      </c>
      <c r="J199" s="10">
        <f t="shared" si="7"/>
        <v>0</v>
      </c>
      <c r="K199" s="9">
        <f t="shared" si="2"/>
        <v>0</v>
      </c>
      <c r="L199" s="11" t="s">
        <v>138</v>
      </c>
      <c r="M199" s="11" t="s">
        <v>401</v>
      </c>
      <c r="N199" s="12" t="str">
        <f t="shared" si="3"/>
        <v>Sample Hold|Thorlabs|PT102</v>
      </c>
      <c r="O199" s="12">
        <f t="shared" si="4"/>
        <v>1</v>
      </c>
      <c r="P199" s="12" t="s">
        <v>38</v>
      </c>
      <c r="Q199" s="12"/>
      <c r="R199" s="13" t="s">
        <v>138</v>
      </c>
      <c r="S199" s="13" t="s">
        <v>401</v>
      </c>
      <c r="T199" s="13" t="s">
        <v>402</v>
      </c>
      <c r="U199" s="15" t="s">
        <v>403</v>
      </c>
      <c r="V199" s="11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</row>
    <row r="200" spans="1:42" ht="22.5" customHeight="1">
      <c r="A200" s="8"/>
      <c r="B200" s="9" t="s">
        <v>27</v>
      </c>
      <c r="C200" s="10">
        <v>1</v>
      </c>
      <c r="D200" s="10"/>
      <c r="E200" s="10">
        <v>1</v>
      </c>
      <c r="F200" s="10"/>
      <c r="G200" s="10">
        <f t="shared" si="6"/>
        <v>0</v>
      </c>
      <c r="H200" s="9"/>
      <c r="I200" s="10">
        <v>1</v>
      </c>
      <c r="J200" s="10">
        <f t="shared" si="7"/>
        <v>0</v>
      </c>
      <c r="K200" s="9">
        <f t="shared" si="2"/>
        <v>0</v>
      </c>
      <c r="L200" s="11" t="s">
        <v>138</v>
      </c>
      <c r="M200" s="11" t="s">
        <v>401</v>
      </c>
      <c r="N200" s="12" t="str">
        <f t="shared" si="3"/>
        <v>Imaging|Thorlabs|PT102</v>
      </c>
      <c r="O200" s="12">
        <f t="shared" si="4"/>
        <v>1</v>
      </c>
      <c r="P200" s="12"/>
      <c r="Q200" s="12"/>
      <c r="R200" s="13"/>
      <c r="S200" s="13"/>
      <c r="T200" s="13"/>
      <c r="U200" s="11" t="s">
        <v>43</v>
      </c>
      <c r="V200" s="11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4"/>
      <c r="AP200" s="14"/>
    </row>
    <row r="201" spans="1:42" ht="22.5" customHeight="1">
      <c r="A201" s="8"/>
      <c r="B201" s="9"/>
      <c r="C201" s="10"/>
      <c r="D201" s="10"/>
      <c r="E201" s="10"/>
      <c r="F201" s="10"/>
      <c r="G201" s="10">
        <f t="shared" si="6"/>
        <v>0</v>
      </c>
      <c r="H201" s="9"/>
      <c r="I201" s="10">
        <v>1</v>
      </c>
      <c r="J201" s="10">
        <f t="shared" si="7"/>
        <v>0</v>
      </c>
      <c r="K201" s="9">
        <f t="shared" si="2"/>
        <v>0</v>
      </c>
      <c r="L201" s="11" t="s">
        <v>138</v>
      </c>
      <c r="M201" s="11" t="s">
        <v>404</v>
      </c>
      <c r="N201" s="12" t="str">
        <f t="shared" si="3"/>
        <v>|Thorlabs|PT1B</v>
      </c>
      <c r="O201" s="12">
        <f t="shared" si="4"/>
        <v>1</v>
      </c>
      <c r="P201" s="12" t="s">
        <v>38</v>
      </c>
      <c r="Q201" s="12"/>
      <c r="R201" s="13" t="s">
        <v>138</v>
      </c>
      <c r="S201" s="13" t="s">
        <v>404</v>
      </c>
      <c r="T201" s="12"/>
      <c r="U201" s="11"/>
      <c r="V201" s="9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</row>
    <row r="202" spans="1:42" ht="22.5" customHeight="1">
      <c r="A202" s="8"/>
      <c r="B202" s="9" t="s">
        <v>27</v>
      </c>
      <c r="C202" s="10">
        <v>2</v>
      </c>
      <c r="D202" s="10"/>
      <c r="E202" s="10">
        <v>1</v>
      </c>
      <c r="F202" s="10"/>
      <c r="G202" s="10">
        <f t="shared" si="6"/>
        <v>1</v>
      </c>
      <c r="H202" s="9"/>
      <c r="I202" s="10">
        <v>1</v>
      </c>
      <c r="J202" s="10">
        <f t="shared" si="7"/>
        <v>1</v>
      </c>
      <c r="K202" s="9">
        <f t="shared" si="2"/>
        <v>0</v>
      </c>
      <c r="L202" s="11" t="s">
        <v>138</v>
      </c>
      <c r="M202" s="11" t="s">
        <v>404</v>
      </c>
      <c r="N202" s="12" t="str">
        <f t="shared" si="3"/>
        <v>Imaging|Thorlabs|PT1B</v>
      </c>
      <c r="O202" s="12">
        <f t="shared" si="4"/>
        <v>1</v>
      </c>
      <c r="P202" s="12"/>
      <c r="Q202" s="12"/>
      <c r="R202" s="13"/>
      <c r="S202" s="13"/>
      <c r="T202" s="13"/>
      <c r="U202" s="11" t="s">
        <v>43</v>
      </c>
      <c r="V202" s="11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14"/>
      <c r="AP202" s="14"/>
    </row>
    <row r="203" spans="1:42" ht="22.5" customHeight="1">
      <c r="A203" s="8"/>
      <c r="B203" s="9" t="s">
        <v>27</v>
      </c>
      <c r="C203" s="10">
        <v>1</v>
      </c>
      <c r="D203" s="10"/>
      <c r="E203" s="10">
        <v>0</v>
      </c>
      <c r="F203" s="10"/>
      <c r="G203" s="10">
        <f t="shared" si="6"/>
        <v>1</v>
      </c>
      <c r="H203" s="9"/>
      <c r="I203" s="10">
        <v>1</v>
      </c>
      <c r="J203" s="10">
        <f t="shared" si="7"/>
        <v>1</v>
      </c>
      <c r="K203" s="9">
        <f t="shared" si="2"/>
        <v>0</v>
      </c>
      <c r="L203" s="11" t="s">
        <v>138</v>
      </c>
      <c r="M203" s="11" t="s">
        <v>405</v>
      </c>
      <c r="N203" s="12" t="str">
        <f t="shared" si="3"/>
        <v>Imaging|Thorlabs|QRC2A</v>
      </c>
      <c r="O203" s="12">
        <f t="shared" si="4"/>
        <v>1</v>
      </c>
      <c r="P203" s="12"/>
      <c r="Q203" s="12"/>
      <c r="R203" s="13"/>
      <c r="S203" s="13"/>
      <c r="T203" s="13"/>
      <c r="U203" s="11" t="s">
        <v>43</v>
      </c>
      <c r="V203" s="11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</row>
    <row r="204" spans="1:42" ht="22.5" customHeight="1">
      <c r="A204" s="8"/>
      <c r="B204" s="9" t="s">
        <v>27</v>
      </c>
      <c r="C204" s="10">
        <v>1</v>
      </c>
      <c r="D204" s="10"/>
      <c r="E204" s="10">
        <v>0</v>
      </c>
      <c r="F204" s="10"/>
      <c r="G204" s="10">
        <f t="shared" si="6"/>
        <v>1</v>
      </c>
      <c r="H204" s="9"/>
      <c r="I204" s="10">
        <v>1</v>
      </c>
      <c r="J204" s="10">
        <f t="shared" si="7"/>
        <v>1</v>
      </c>
      <c r="K204" s="9">
        <f t="shared" si="2"/>
        <v>0</v>
      </c>
      <c r="L204" s="11" t="s">
        <v>138</v>
      </c>
      <c r="M204" s="11" t="s">
        <v>406</v>
      </c>
      <c r="N204" s="12" t="str">
        <f t="shared" si="3"/>
        <v>Imaging|Thorlabs|RS2P8</v>
      </c>
      <c r="O204" s="12">
        <f t="shared" si="4"/>
        <v>1</v>
      </c>
      <c r="P204" s="12"/>
      <c r="Q204" s="12"/>
      <c r="R204" s="13"/>
      <c r="S204" s="13"/>
      <c r="T204" s="13"/>
      <c r="U204" s="11" t="s">
        <v>43</v>
      </c>
      <c r="V204" s="11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14"/>
      <c r="AP204" s="14"/>
    </row>
    <row r="205" spans="1:42" ht="22.5" customHeight="1">
      <c r="A205" s="8"/>
      <c r="B205" s="9" t="s">
        <v>31</v>
      </c>
      <c r="C205" s="10">
        <v>1</v>
      </c>
      <c r="D205" s="10"/>
      <c r="E205" s="10">
        <v>1</v>
      </c>
      <c r="F205" s="10"/>
      <c r="G205" s="10">
        <f t="shared" si="6"/>
        <v>0</v>
      </c>
      <c r="H205" s="9"/>
      <c r="I205" s="10">
        <v>1</v>
      </c>
      <c r="J205" s="10">
        <f t="shared" si="7"/>
        <v>0</v>
      </c>
      <c r="K205" s="9">
        <f t="shared" si="2"/>
        <v>0</v>
      </c>
      <c r="L205" s="11" t="s">
        <v>138</v>
      </c>
      <c r="M205" s="11" t="s">
        <v>407</v>
      </c>
      <c r="N205" s="12" t="str">
        <f t="shared" si="3"/>
        <v>Illumination|Thorlabs|RA180</v>
      </c>
      <c r="O205" s="12">
        <f t="shared" si="4"/>
        <v>1</v>
      </c>
      <c r="P205" s="12" t="s">
        <v>38</v>
      </c>
      <c r="Q205" s="12"/>
      <c r="R205" s="13" t="s">
        <v>138</v>
      </c>
      <c r="S205" s="13" t="s">
        <v>407</v>
      </c>
      <c r="T205" s="13" t="s">
        <v>408</v>
      </c>
      <c r="U205" s="11" t="s">
        <v>26</v>
      </c>
      <c r="V205" s="11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</row>
    <row r="206" spans="1:42" ht="22.5" customHeight="1">
      <c r="A206" s="8"/>
      <c r="B206" s="9" t="s">
        <v>27</v>
      </c>
      <c r="C206" s="10">
        <v>1</v>
      </c>
      <c r="D206" s="10"/>
      <c r="E206" s="10">
        <v>1</v>
      </c>
      <c r="F206" s="10"/>
      <c r="G206" s="10">
        <f t="shared" si="6"/>
        <v>0</v>
      </c>
      <c r="H206" s="9"/>
      <c r="I206" s="10">
        <v>1</v>
      </c>
      <c r="J206" s="10">
        <f t="shared" si="7"/>
        <v>0</v>
      </c>
      <c r="K206" s="9">
        <f t="shared" si="2"/>
        <v>0</v>
      </c>
      <c r="L206" s="11" t="s">
        <v>138</v>
      </c>
      <c r="M206" s="11" t="s">
        <v>407</v>
      </c>
      <c r="N206" s="12" t="str">
        <f t="shared" si="3"/>
        <v>Imaging|Thorlabs|RA180</v>
      </c>
      <c r="O206" s="12">
        <f t="shared" si="4"/>
        <v>1</v>
      </c>
      <c r="P206" s="12"/>
      <c r="Q206" s="12"/>
      <c r="R206" s="13"/>
      <c r="S206" s="13"/>
      <c r="T206" s="13"/>
      <c r="U206" s="11" t="s">
        <v>43</v>
      </c>
      <c r="V206" s="11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4"/>
      <c r="AP206" s="14"/>
    </row>
    <row r="207" spans="1:42" ht="22.5" customHeight="1">
      <c r="A207" s="8"/>
      <c r="B207" s="9" t="s">
        <v>31</v>
      </c>
      <c r="C207" s="10">
        <v>2</v>
      </c>
      <c r="D207" s="10"/>
      <c r="E207" s="10">
        <v>2</v>
      </c>
      <c r="F207" s="10"/>
      <c r="G207" s="10">
        <f t="shared" si="6"/>
        <v>0</v>
      </c>
      <c r="H207" s="9"/>
      <c r="I207" s="10">
        <v>1</v>
      </c>
      <c r="J207" s="10">
        <f t="shared" si="7"/>
        <v>0</v>
      </c>
      <c r="K207" s="9">
        <f t="shared" si="2"/>
        <v>0</v>
      </c>
      <c r="L207" s="11" t="s">
        <v>138</v>
      </c>
      <c r="M207" s="11" t="s">
        <v>409</v>
      </c>
      <c r="N207" s="12" t="str">
        <f t="shared" si="3"/>
        <v>Illumination|Thorlabs|RA360</v>
      </c>
      <c r="O207" s="12">
        <f t="shared" si="4"/>
        <v>1</v>
      </c>
      <c r="P207" s="12" t="s">
        <v>38</v>
      </c>
      <c r="Q207" s="12"/>
      <c r="R207" s="13" t="s">
        <v>138</v>
      </c>
      <c r="S207" s="13" t="s">
        <v>409</v>
      </c>
      <c r="T207" s="13" t="s">
        <v>410</v>
      </c>
      <c r="U207" s="11" t="s">
        <v>26</v>
      </c>
      <c r="V207" s="11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4"/>
      <c r="AP207" s="14"/>
    </row>
    <row r="208" spans="1:42" ht="22.5" customHeight="1">
      <c r="A208" s="8"/>
      <c r="B208" s="9" t="s">
        <v>27</v>
      </c>
      <c r="C208" s="10">
        <v>2</v>
      </c>
      <c r="D208" s="10"/>
      <c r="E208" s="10">
        <v>0</v>
      </c>
      <c r="F208" s="10"/>
      <c r="G208" s="10">
        <f t="shared" si="6"/>
        <v>2</v>
      </c>
      <c r="H208" s="9"/>
      <c r="I208" s="10">
        <v>1</v>
      </c>
      <c r="J208" s="10">
        <f t="shared" si="7"/>
        <v>2</v>
      </c>
      <c r="K208" s="9">
        <f t="shared" si="2"/>
        <v>0</v>
      </c>
      <c r="L208" s="11" t="s">
        <v>138</v>
      </c>
      <c r="M208" s="11" t="s">
        <v>411</v>
      </c>
      <c r="N208" s="12" t="str">
        <f t="shared" si="3"/>
        <v>Imaging|Thorlabs|RBP2</v>
      </c>
      <c r="O208" s="12">
        <f t="shared" si="4"/>
        <v>1</v>
      </c>
      <c r="P208" s="12"/>
      <c r="Q208" s="12"/>
      <c r="R208" s="13"/>
      <c r="S208" s="13"/>
      <c r="T208" s="13"/>
      <c r="U208" s="11" t="s">
        <v>43</v>
      </c>
      <c r="V208" s="11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  <c r="AO208" s="14"/>
      <c r="AP208" s="14"/>
    </row>
    <row r="209" spans="1:42" ht="22.5" customHeight="1">
      <c r="A209" s="8"/>
      <c r="B209" s="9" t="s">
        <v>27</v>
      </c>
      <c r="C209" s="10">
        <v>2</v>
      </c>
      <c r="D209" s="10"/>
      <c r="E209" s="10">
        <v>0</v>
      </c>
      <c r="F209" s="10"/>
      <c r="G209" s="10">
        <f t="shared" si="6"/>
        <v>2</v>
      </c>
      <c r="H209" s="9"/>
      <c r="I209" s="10">
        <v>1</v>
      </c>
      <c r="J209" s="10">
        <f t="shared" si="7"/>
        <v>2</v>
      </c>
      <c r="K209" s="9">
        <f t="shared" si="2"/>
        <v>0</v>
      </c>
      <c r="L209" s="11" t="s">
        <v>138</v>
      </c>
      <c r="M209" s="11" t="s">
        <v>412</v>
      </c>
      <c r="N209" s="12" t="str">
        <f t="shared" si="3"/>
        <v>Imaging|Thorlabs|RM1B</v>
      </c>
      <c r="O209" s="12">
        <f t="shared" si="4"/>
        <v>1</v>
      </c>
      <c r="P209" s="12"/>
      <c r="Q209" s="12"/>
      <c r="R209" s="13"/>
      <c r="S209" s="13"/>
      <c r="T209" s="13"/>
      <c r="U209" s="11" t="s">
        <v>43</v>
      </c>
      <c r="V209" s="11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4"/>
      <c r="AP209" s="14"/>
    </row>
    <row r="210" spans="1:42" ht="22.5" customHeight="1">
      <c r="A210" s="8"/>
      <c r="B210" s="9" t="s">
        <v>27</v>
      </c>
      <c r="C210" s="10">
        <v>2</v>
      </c>
      <c r="D210" s="10"/>
      <c r="E210" s="10">
        <v>0</v>
      </c>
      <c r="F210" s="10"/>
      <c r="G210" s="10">
        <f t="shared" si="6"/>
        <v>2</v>
      </c>
      <c r="H210" s="9"/>
      <c r="I210" s="10">
        <v>1</v>
      </c>
      <c r="J210" s="10">
        <f t="shared" si="7"/>
        <v>2</v>
      </c>
      <c r="K210" s="9">
        <f t="shared" si="2"/>
        <v>0</v>
      </c>
      <c r="L210" s="11" t="s">
        <v>138</v>
      </c>
      <c r="M210" s="11" t="s">
        <v>413</v>
      </c>
      <c r="N210" s="12" t="str">
        <f t="shared" si="3"/>
        <v>Imaging|Thorlabs|RM1G</v>
      </c>
      <c r="O210" s="12">
        <f t="shared" si="4"/>
        <v>1</v>
      </c>
      <c r="P210" s="12"/>
      <c r="Q210" s="12"/>
      <c r="R210" s="13"/>
      <c r="S210" s="13"/>
      <c r="T210" s="13"/>
      <c r="U210" s="11" t="s">
        <v>43</v>
      </c>
      <c r="V210" s="11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14"/>
      <c r="AP210" s="14"/>
    </row>
    <row r="211" spans="1:42" ht="22.5" customHeight="1">
      <c r="A211" s="8"/>
      <c r="B211" s="9" t="s">
        <v>27</v>
      </c>
      <c r="C211" s="10">
        <v>2</v>
      </c>
      <c r="D211" s="10"/>
      <c r="E211" s="10">
        <v>0</v>
      </c>
      <c r="F211" s="10"/>
      <c r="G211" s="10">
        <f t="shared" si="6"/>
        <v>2</v>
      </c>
      <c r="H211" s="9"/>
      <c r="I211" s="10">
        <v>1</v>
      </c>
      <c r="J211" s="10">
        <f t="shared" si="7"/>
        <v>2</v>
      </c>
      <c r="K211" s="9">
        <f t="shared" si="2"/>
        <v>0</v>
      </c>
      <c r="L211" s="11" t="s">
        <v>138</v>
      </c>
      <c r="M211" s="11" t="s">
        <v>414</v>
      </c>
      <c r="N211" s="12" t="str">
        <f t="shared" si="3"/>
        <v>Imaging|Thorlabs|RS05</v>
      </c>
      <c r="O211" s="12">
        <f t="shared" si="4"/>
        <v>1</v>
      </c>
      <c r="P211" s="12"/>
      <c r="Q211" s="12"/>
      <c r="R211" s="13"/>
      <c r="S211" s="13"/>
      <c r="T211" s="13"/>
      <c r="U211" s="11" t="s">
        <v>43</v>
      </c>
      <c r="V211" s="11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</row>
    <row r="212" spans="1:42" ht="22.5" customHeight="1">
      <c r="A212" s="8"/>
      <c r="B212" s="9" t="s">
        <v>31</v>
      </c>
      <c r="C212" s="10">
        <v>2</v>
      </c>
      <c r="D212" s="10"/>
      <c r="E212" s="10">
        <v>2</v>
      </c>
      <c r="F212" s="10"/>
      <c r="G212" s="10">
        <f t="shared" si="6"/>
        <v>0</v>
      </c>
      <c r="H212" s="9"/>
      <c r="I212" s="10">
        <v>1</v>
      </c>
      <c r="J212" s="10">
        <f t="shared" si="7"/>
        <v>0</v>
      </c>
      <c r="K212" s="9">
        <f t="shared" si="2"/>
        <v>0</v>
      </c>
      <c r="L212" s="11" t="s">
        <v>138</v>
      </c>
      <c r="M212" s="11" t="s">
        <v>415</v>
      </c>
      <c r="N212" s="12" t="str">
        <f t="shared" si="3"/>
        <v>Illumination|Thorlabs|RS05P</v>
      </c>
      <c r="O212" s="12">
        <f t="shared" si="4"/>
        <v>1</v>
      </c>
      <c r="P212" s="12" t="s">
        <v>38</v>
      </c>
      <c r="Q212" s="12"/>
      <c r="R212" s="13" t="s">
        <v>138</v>
      </c>
      <c r="S212" s="13" t="s">
        <v>415</v>
      </c>
      <c r="T212" s="13" t="s">
        <v>416</v>
      </c>
      <c r="U212" s="11" t="s">
        <v>26</v>
      </c>
      <c r="V212" s="11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  <c r="AO212" s="14"/>
      <c r="AP212" s="14"/>
    </row>
    <row r="213" spans="1:42" ht="22.5" customHeight="1">
      <c r="A213" s="8"/>
      <c r="B213" s="9" t="s">
        <v>27</v>
      </c>
      <c r="C213" s="10">
        <v>1</v>
      </c>
      <c r="D213" s="10"/>
      <c r="E213" s="10">
        <v>0</v>
      </c>
      <c r="F213" s="10"/>
      <c r="G213" s="10">
        <f t="shared" si="6"/>
        <v>1</v>
      </c>
      <c r="H213" s="9"/>
      <c r="I213" s="10">
        <v>1</v>
      </c>
      <c r="J213" s="10">
        <f t="shared" si="7"/>
        <v>1</v>
      </c>
      <c r="K213" s="9">
        <f t="shared" si="2"/>
        <v>0</v>
      </c>
      <c r="L213" s="11" t="s">
        <v>138</v>
      </c>
      <c r="M213" s="11" t="s">
        <v>417</v>
      </c>
      <c r="N213" s="12" t="str">
        <f t="shared" si="3"/>
        <v>Imaging|Thorlabs|RS05P8</v>
      </c>
      <c r="O213" s="12">
        <f t="shared" si="4"/>
        <v>1</v>
      </c>
      <c r="P213" s="12"/>
      <c r="Q213" s="12"/>
      <c r="R213" s="13"/>
      <c r="S213" s="13"/>
      <c r="T213" s="13"/>
      <c r="U213" s="11" t="s">
        <v>43</v>
      </c>
      <c r="V213" s="11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 s="14"/>
      <c r="AP213" s="14"/>
    </row>
    <row r="214" spans="1:42" ht="22.5" customHeight="1">
      <c r="A214" s="8"/>
      <c r="B214" s="9" t="s">
        <v>27</v>
      </c>
      <c r="C214" s="10">
        <v>1</v>
      </c>
      <c r="D214" s="10"/>
      <c r="E214" s="10">
        <v>0</v>
      </c>
      <c r="F214" s="10"/>
      <c r="G214" s="10">
        <f t="shared" si="6"/>
        <v>1</v>
      </c>
      <c r="H214" s="9"/>
      <c r="I214" s="10">
        <v>1</v>
      </c>
      <c r="J214" s="10">
        <f t="shared" si="7"/>
        <v>1</v>
      </c>
      <c r="K214" s="9">
        <f t="shared" si="2"/>
        <v>0</v>
      </c>
      <c r="L214" s="11" t="s">
        <v>138</v>
      </c>
      <c r="M214" s="11" t="s">
        <v>418</v>
      </c>
      <c r="N214" s="12" t="str">
        <f t="shared" si="3"/>
        <v>Imaging|Thorlabs|RS075P8</v>
      </c>
      <c r="O214" s="12">
        <f t="shared" si="4"/>
        <v>1</v>
      </c>
      <c r="P214" s="12"/>
      <c r="Q214" s="12"/>
      <c r="R214" s="13"/>
      <c r="S214" s="13"/>
      <c r="T214" s="13"/>
      <c r="U214" s="11" t="s">
        <v>43</v>
      </c>
      <c r="V214" s="11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  <c r="AO214" s="14"/>
      <c r="AP214" s="14"/>
    </row>
    <row r="215" spans="1:42" ht="22.5" customHeight="1">
      <c r="A215" s="8"/>
      <c r="B215" s="9" t="s">
        <v>27</v>
      </c>
      <c r="C215" s="10">
        <v>2</v>
      </c>
      <c r="D215" s="10"/>
      <c r="E215" s="10">
        <v>0</v>
      </c>
      <c r="F215" s="10"/>
      <c r="G215" s="10">
        <f t="shared" si="6"/>
        <v>2</v>
      </c>
      <c r="H215" s="9"/>
      <c r="I215" s="10">
        <v>1</v>
      </c>
      <c r="J215" s="10">
        <f t="shared" si="7"/>
        <v>2</v>
      </c>
      <c r="K215" s="9">
        <f t="shared" si="2"/>
        <v>0</v>
      </c>
      <c r="L215" s="11" t="s">
        <v>138</v>
      </c>
      <c r="M215" s="11" t="s">
        <v>419</v>
      </c>
      <c r="N215" s="12" t="str">
        <f t="shared" si="3"/>
        <v>Imaging|Thorlabs|RS1</v>
      </c>
      <c r="O215" s="12">
        <f t="shared" si="4"/>
        <v>1</v>
      </c>
      <c r="P215" s="12"/>
      <c r="Q215" s="12"/>
      <c r="R215" s="13"/>
      <c r="S215" s="13"/>
      <c r="T215" s="13"/>
      <c r="U215" s="11" t="s">
        <v>43</v>
      </c>
      <c r="V215" s="11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14"/>
      <c r="AP215" s="14"/>
    </row>
    <row r="216" spans="1:42" ht="22.5" customHeight="1">
      <c r="A216" s="8"/>
      <c r="B216" s="9" t="s">
        <v>22</v>
      </c>
      <c r="C216" s="10">
        <v>3</v>
      </c>
      <c r="D216" s="10"/>
      <c r="E216" s="10">
        <v>3</v>
      </c>
      <c r="F216" s="10"/>
      <c r="G216" s="10">
        <f t="shared" si="6"/>
        <v>0</v>
      </c>
      <c r="H216" s="9"/>
      <c r="I216" s="10">
        <v>1</v>
      </c>
      <c r="J216" s="10">
        <f t="shared" si="7"/>
        <v>0</v>
      </c>
      <c r="K216" s="9">
        <f t="shared" si="2"/>
        <v>0</v>
      </c>
      <c r="L216" s="11" t="s">
        <v>138</v>
      </c>
      <c r="M216" s="11" t="s">
        <v>420</v>
      </c>
      <c r="N216" s="12" t="str">
        <f t="shared" si="3"/>
        <v>Sample Hold|Thorlabs|RS1.5</v>
      </c>
      <c r="O216" s="12">
        <f t="shared" si="4"/>
        <v>1</v>
      </c>
      <c r="P216" s="12" t="s">
        <v>38</v>
      </c>
      <c r="Q216" s="12"/>
      <c r="R216" s="13" t="s">
        <v>138</v>
      </c>
      <c r="S216" s="13" t="s">
        <v>420</v>
      </c>
      <c r="T216" s="13" t="s">
        <v>421</v>
      </c>
      <c r="U216" s="11" t="s">
        <v>26</v>
      </c>
      <c r="V216" s="11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  <c r="AO216" s="14"/>
      <c r="AP216" s="14"/>
    </row>
    <row r="217" spans="1:42" ht="22.5" customHeight="1">
      <c r="A217" s="8"/>
      <c r="B217" s="9"/>
      <c r="C217" s="10"/>
      <c r="D217" s="10"/>
      <c r="E217" s="10"/>
      <c r="F217" s="10"/>
      <c r="G217" s="10">
        <f t="shared" si="6"/>
        <v>0</v>
      </c>
      <c r="H217" s="9"/>
      <c r="I217" s="10">
        <v>1</v>
      </c>
      <c r="J217" s="10">
        <f t="shared" si="7"/>
        <v>0</v>
      </c>
      <c r="K217" s="9">
        <f t="shared" si="2"/>
        <v>0</v>
      </c>
      <c r="L217" s="11" t="s">
        <v>138</v>
      </c>
      <c r="M217" s="11" t="s">
        <v>422</v>
      </c>
      <c r="N217" s="12" t="str">
        <f t="shared" si="3"/>
        <v>|Thorlabs|RS1.5P8</v>
      </c>
      <c r="O217" s="12">
        <f t="shared" si="4"/>
        <v>1</v>
      </c>
      <c r="P217" s="12" t="s">
        <v>38</v>
      </c>
      <c r="Q217" s="12" t="s">
        <v>331</v>
      </c>
      <c r="R217" s="13" t="s">
        <v>138</v>
      </c>
      <c r="S217" s="13" t="s">
        <v>422</v>
      </c>
      <c r="T217" s="13"/>
      <c r="U217" s="11"/>
      <c r="V217" s="9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 s="14"/>
      <c r="AP217" s="14"/>
    </row>
    <row r="218" spans="1:42" ht="22.5" customHeight="1">
      <c r="A218" s="8"/>
      <c r="B218" s="9" t="s">
        <v>27</v>
      </c>
      <c r="C218" s="10">
        <v>1</v>
      </c>
      <c r="D218" s="10"/>
      <c r="E218" s="10">
        <v>0</v>
      </c>
      <c r="F218" s="10"/>
      <c r="G218" s="10">
        <f t="shared" si="6"/>
        <v>1</v>
      </c>
      <c r="H218" s="9"/>
      <c r="I218" s="10">
        <v>1</v>
      </c>
      <c r="J218" s="10">
        <f t="shared" si="7"/>
        <v>1</v>
      </c>
      <c r="K218" s="9">
        <f t="shared" si="2"/>
        <v>0</v>
      </c>
      <c r="L218" s="11" t="s">
        <v>138</v>
      </c>
      <c r="M218" s="11" t="s">
        <v>423</v>
      </c>
      <c r="N218" s="12" t="str">
        <f t="shared" si="3"/>
        <v>Imaging|Thorlabs|RS1M</v>
      </c>
      <c r="O218" s="12">
        <f t="shared" si="4"/>
        <v>1</v>
      </c>
      <c r="P218" s="12"/>
      <c r="Q218" s="12"/>
      <c r="R218" s="13"/>
      <c r="S218" s="13"/>
      <c r="T218" s="13"/>
      <c r="U218" s="11" t="s">
        <v>43</v>
      </c>
      <c r="V218" s="11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  <c r="AO218" s="14"/>
      <c r="AP218" s="14"/>
    </row>
    <row r="219" spans="1:42" ht="22.5" customHeight="1">
      <c r="A219" s="8"/>
      <c r="B219" s="9"/>
      <c r="C219" s="10"/>
      <c r="D219" s="10"/>
      <c r="E219" s="10">
        <v>2</v>
      </c>
      <c r="F219" s="10"/>
      <c r="G219" s="10">
        <f t="shared" si="6"/>
        <v>0</v>
      </c>
      <c r="H219" s="9"/>
      <c r="I219" s="10">
        <v>1</v>
      </c>
      <c r="J219" s="10">
        <f t="shared" si="7"/>
        <v>0</v>
      </c>
      <c r="K219" s="9">
        <f t="shared" si="2"/>
        <v>0</v>
      </c>
      <c r="L219" s="11" t="s">
        <v>138</v>
      </c>
      <c r="M219" s="11" t="s">
        <v>424</v>
      </c>
      <c r="N219" s="12" t="str">
        <f t="shared" si="3"/>
        <v>|Thorlabs|RS2</v>
      </c>
      <c r="O219" s="12">
        <f t="shared" si="4"/>
        <v>1</v>
      </c>
      <c r="P219" s="12" t="s">
        <v>38</v>
      </c>
      <c r="Q219" s="12"/>
      <c r="R219" s="13" t="s">
        <v>138</v>
      </c>
      <c r="S219" s="13" t="s">
        <v>424</v>
      </c>
      <c r="T219" s="13" t="s">
        <v>425</v>
      </c>
      <c r="U219" s="15" t="s">
        <v>426</v>
      </c>
      <c r="V219" s="11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4"/>
      <c r="AP219" s="14"/>
    </row>
    <row r="220" spans="1:42" ht="22.5" customHeight="1">
      <c r="A220" s="8"/>
      <c r="B220" s="9" t="s">
        <v>31</v>
      </c>
      <c r="C220" s="10">
        <v>2</v>
      </c>
      <c r="D220" s="10"/>
      <c r="E220" s="10">
        <v>2</v>
      </c>
      <c r="F220" s="10"/>
      <c r="G220" s="10">
        <f t="shared" si="6"/>
        <v>0</v>
      </c>
      <c r="H220" s="9"/>
      <c r="I220" s="10">
        <v>1</v>
      </c>
      <c r="J220" s="10">
        <f t="shared" si="7"/>
        <v>0</v>
      </c>
      <c r="K220" s="9">
        <f t="shared" si="2"/>
        <v>0</v>
      </c>
      <c r="L220" s="11" t="s">
        <v>138</v>
      </c>
      <c r="M220" s="11" t="s">
        <v>406</v>
      </c>
      <c r="N220" s="12" t="str">
        <f t="shared" si="3"/>
        <v>Illumination|Thorlabs|RS2P8</v>
      </c>
      <c r="O220" s="12">
        <f t="shared" si="4"/>
        <v>1</v>
      </c>
      <c r="P220" s="12" t="s">
        <v>38</v>
      </c>
      <c r="Q220" s="12"/>
      <c r="R220" s="13" t="s">
        <v>138</v>
      </c>
      <c r="S220" s="13" t="s">
        <v>427</v>
      </c>
      <c r="T220" s="13" t="s">
        <v>428</v>
      </c>
      <c r="U220" s="11" t="s">
        <v>26</v>
      </c>
      <c r="V220" s="11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  <c r="AO220" s="14"/>
      <c r="AP220" s="14"/>
    </row>
    <row r="221" spans="1:42" ht="22.5" customHeight="1">
      <c r="A221" s="8"/>
      <c r="B221" s="9" t="s">
        <v>27</v>
      </c>
      <c r="C221" s="10">
        <v>1</v>
      </c>
      <c r="D221" s="10"/>
      <c r="E221" s="10">
        <v>0</v>
      </c>
      <c r="F221" s="10"/>
      <c r="G221" s="10">
        <f t="shared" si="6"/>
        <v>1</v>
      </c>
      <c r="H221" s="9"/>
      <c r="I221" s="10">
        <v>1</v>
      </c>
      <c r="J221" s="10">
        <f t="shared" si="7"/>
        <v>1</v>
      </c>
      <c r="K221" s="9">
        <f t="shared" si="2"/>
        <v>0</v>
      </c>
      <c r="L221" s="11" t="s">
        <v>138</v>
      </c>
      <c r="M221" s="11" t="s">
        <v>429</v>
      </c>
      <c r="N221" s="12" t="str">
        <f t="shared" si="3"/>
        <v>Imaging|Thorlabs|RS4</v>
      </c>
      <c r="O221" s="12">
        <f t="shared" si="4"/>
        <v>1</v>
      </c>
      <c r="P221" s="12"/>
      <c r="Q221" s="12"/>
      <c r="R221" s="13"/>
      <c r="S221" s="13"/>
      <c r="T221" s="13"/>
      <c r="U221" s="11" t="s">
        <v>43</v>
      </c>
      <c r="V221" s="11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  <c r="AO221" s="14"/>
      <c r="AP221" s="14"/>
    </row>
    <row r="222" spans="1:42" ht="22.5" customHeight="1">
      <c r="A222" s="8"/>
      <c r="B222" s="9" t="s">
        <v>31</v>
      </c>
      <c r="C222" s="10">
        <v>3</v>
      </c>
      <c r="D222" s="10"/>
      <c r="E222" s="10">
        <v>3</v>
      </c>
      <c r="F222" s="10"/>
      <c r="G222" s="10">
        <f t="shared" si="6"/>
        <v>0</v>
      </c>
      <c r="H222" s="9"/>
      <c r="I222" s="10">
        <v>1</v>
      </c>
      <c r="J222" s="10">
        <f t="shared" si="7"/>
        <v>0</v>
      </c>
      <c r="K222" s="9">
        <f t="shared" si="2"/>
        <v>0</v>
      </c>
      <c r="L222" s="11" t="s">
        <v>138</v>
      </c>
      <c r="M222" s="11" t="s">
        <v>430</v>
      </c>
      <c r="N222" s="12" t="str">
        <f t="shared" si="3"/>
        <v>Illumination|Thorlabs|RS4P</v>
      </c>
      <c r="O222" s="12">
        <f t="shared" si="4"/>
        <v>1</v>
      </c>
      <c r="P222" s="12" t="s">
        <v>38</v>
      </c>
      <c r="Q222" s="12"/>
      <c r="R222" s="13" t="s">
        <v>138</v>
      </c>
      <c r="S222" s="13" t="s">
        <v>430</v>
      </c>
      <c r="T222" s="13" t="s">
        <v>431</v>
      </c>
      <c r="U222" s="11" t="s">
        <v>26</v>
      </c>
      <c r="V222" s="11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  <c r="AO222" s="14"/>
      <c r="AP222" s="14"/>
    </row>
    <row r="223" spans="1:42" ht="22.5" customHeight="1">
      <c r="A223" s="8"/>
      <c r="B223" s="9" t="s">
        <v>31</v>
      </c>
      <c r="C223" s="10">
        <v>2</v>
      </c>
      <c r="D223" s="10"/>
      <c r="E223" s="10">
        <v>2</v>
      </c>
      <c r="F223" s="10"/>
      <c r="G223" s="10">
        <f t="shared" si="6"/>
        <v>0</v>
      </c>
      <c r="H223" s="9"/>
      <c r="I223" s="10">
        <v>1</v>
      </c>
      <c r="J223" s="10">
        <f t="shared" si="7"/>
        <v>0</v>
      </c>
      <c r="K223" s="9">
        <f t="shared" si="2"/>
        <v>0</v>
      </c>
      <c r="L223" s="11" t="s">
        <v>138</v>
      </c>
      <c r="M223" s="11" t="s">
        <v>432</v>
      </c>
      <c r="N223" s="12" t="str">
        <f t="shared" si="3"/>
        <v>Illumination|Thorlabs|RS6P</v>
      </c>
      <c r="O223" s="12">
        <f t="shared" si="4"/>
        <v>1</v>
      </c>
      <c r="P223" s="12" t="s">
        <v>38</v>
      </c>
      <c r="Q223" s="12"/>
      <c r="R223" s="13" t="s">
        <v>138</v>
      </c>
      <c r="S223" s="13" t="s">
        <v>432</v>
      </c>
      <c r="T223" s="13" t="s">
        <v>433</v>
      </c>
      <c r="U223" s="11" t="s">
        <v>26</v>
      </c>
      <c r="V223" s="11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14"/>
      <c r="AP223" s="14"/>
    </row>
    <row r="224" spans="1:42" ht="22.5" customHeight="1">
      <c r="A224" s="8"/>
      <c r="B224" s="9" t="s">
        <v>27</v>
      </c>
      <c r="C224" s="10">
        <v>2</v>
      </c>
      <c r="D224" s="10"/>
      <c r="E224" s="10">
        <v>0</v>
      </c>
      <c r="F224" s="10"/>
      <c r="G224" s="10">
        <f t="shared" si="6"/>
        <v>2</v>
      </c>
      <c r="H224" s="9"/>
      <c r="I224" s="10">
        <v>1</v>
      </c>
      <c r="J224" s="10">
        <f t="shared" si="7"/>
        <v>2</v>
      </c>
      <c r="K224" s="9">
        <f t="shared" si="2"/>
        <v>0</v>
      </c>
      <c r="L224" s="11" t="s">
        <v>138</v>
      </c>
      <c r="M224" s="11" t="s">
        <v>432</v>
      </c>
      <c r="N224" s="12" t="str">
        <f t="shared" si="3"/>
        <v>Imaging|Thorlabs|RS6P</v>
      </c>
      <c r="O224" s="12">
        <f t="shared" si="4"/>
        <v>1</v>
      </c>
      <c r="P224" s="12"/>
      <c r="Q224" s="12"/>
      <c r="R224" s="13"/>
      <c r="S224" s="13"/>
      <c r="T224" s="13"/>
      <c r="U224" s="11" t="s">
        <v>43</v>
      </c>
      <c r="V224" s="11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  <c r="AO224" s="14"/>
      <c r="AP224" s="14"/>
    </row>
    <row r="225" spans="1:42" ht="22.5" customHeight="1">
      <c r="A225" s="8"/>
      <c r="B225" s="9" t="s">
        <v>27</v>
      </c>
      <c r="C225" s="10">
        <v>2</v>
      </c>
      <c r="D225" s="10"/>
      <c r="E225" s="10">
        <v>0</v>
      </c>
      <c r="F225" s="10"/>
      <c r="G225" s="10">
        <f t="shared" si="6"/>
        <v>2</v>
      </c>
      <c r="H225" s="9"/>
      <c r="I225" s="10">
        <v>1</v>
      </c>
      <c r="J225" s="10">
        <f t="shared" si="7"/>
        <v>2</v>
      </c>
      <c r="K225" s="9">
        <f t="shared" si="2"/>
        <v>0</v>
      </c>
      <c r="L225" s="11" t="s">
        <v>138</v>
      </c>
      <c r="M225" s="11" t="s">
        <v>434</v>
      </c>
      <c r="N225" s="12" t="str">
        <f t="shared" si="3"/>
        <v>Imaging|Thorlabs|RS8M</v>
      </c>
      <c r="O225" s="12">
        <f t="shared" si="4"/>
        <v>1</v>
      </c>
      <c r="P225" s="12"/>
      <c r="Q225" s="12"/>
      <c r="R225" s="13"/>
      <c r="S225" s="13"/>
      <c r="T225" s="13"/>
      <c r="U225" s="11" t="s">
        <v>43</v>
      </c>
      <c r="V225" s="11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14"/>
      <c r="AP225" s="14"/>
    </row>
    <row r="226" spans="1:42" ht="22.5" customHeight="1">
      <c r="A226" s="8"/>
      <c r="B226" s="9" t="s">
        <v>31</v>
      </c>
      <c r="C226" s="10">
        <v>2</v>
      </c>
      <c r="D226" s="10"/>
      <c r="E226" s="10">
        <v>10</v>
      </c>
      <c r="F226" s="10"/>
      <c r="G226" s="10">
        <f t="shared" si="6"/>
        <v>0</v>
      </c>
      <c r="H226" s="9"/>
      <c r="I226" s="10">
        <v>10</v>
      </c>
      <c r="J226" s="10">
        <f t="shared" si="7"/>
        <v>0</v>
      </c>
      <c r="K226" s="9">
        <f t="shared" si="2"/>
        <v>0</v>
      </c>
      <c r="L226" s="11" t="s">
        <v>138</v>
      </c>
      <c r="M226" s="11" t="s">
        <v>435</v>
      </c>
      <c r="N226" s="12" t="str">
        <f t="shared" si="3"/>
        <v>Illumination|Thorlabs|SD1</v>
      </c>
      <c r="O226" s="12">
        <f t="shared" si="4"/>
        <v>1</v>
      </c>
      <c r="P226" s="12"/>
      <c r="Q226" s="12"/>
      <c r="R226" s="13"/>
      <c r="S226" s="13"/>
      <c r="T226" s="13"/>
      <c r="U226" s="11" t="s">
        <v>46</v>
      </c>
      <c r="V226" s="11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  <c r="AO226" s="14"/>
      <c r="AP226" s="14"/>
    </row>
    <row r="227" spans="1:42" ht="22.5" customHeight="1">
      <c r="A227" s="8"/>
      <c r="B227" s="9"/>
      <c r="C227" s="10"/>
      <c r="D227" s="10"/>
      <c r="E227" s="10"/>
      <c r="F227" s="10"/>
      <c r="G227" s="10">
        <f t="shared" si="6"/>
        <v>0</v>
      </c>
      <c r="H227" s="9"/>
      <c r="I227" s="10">
        <v>1</v>
      </c>
      <c r="J227" s="10">
        <f t="shared" si="7"/>
        <v>0</v>
      </c>
      <c r="K227" s="9">
        <f t="shared" si="2"/>
        <v>0</v>
      </c>
      <c r="L227" s="11" t="s">
        <v>138</v>
      </c>
      <c r="M227" s="11" t="s">
        <v>436</v>
      </c>
      <c r="N227" s="12" t="str">
        <f t="shared" si="3"/>
        <v>|Thorlabs|SM1A12</v>
      </c>
      <c r="O227" s="12">
        <f t="shared" si="4"/>
        <v>1</v>
      </c>
      <c r="P227" s="12" t="s">
        <v>38</v>
      </c>
      <c r="Q227" s="12"/>
      <c r="R227" s="13" t="s">
        <v>138</v>
      </c>
      <c r="S227" s="13" t="s">
        <v>436</v>
      </c>
      <c r="T227" s="12"/>
      <c r="U227" s="11"/>
      <c r="V227" s="9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4"/>
      <c r="AP227" s="14"/>
    </row>
    <row r="228" spans="1:42" ht="22.5" customHeight="1">
      <c r="A228" s="8"/>
      <c r="B228" s="9" t="s">
        <v>31</v>
      </c>
      <c r="C228" s="10">
        <v>1</v>
      </c>
      <c r="D228" s="10"/>
      <c r="E228" s="10">
        <v>1</v>
      </c>
      <c r="F228" s="10"/>
      <c r="G228" s="10">
        <f t="shared" si="6"/>
        <v>0</v>
      </c>
      <c r="H228" s="9"/>
      <c r="I228" s="10">
        <v>1</v>
      </c>
      <c r="J228" s="10">
        <f t="shared" si="7"/>
        <v>0</v>
      </c>
      <c r="K228" s="9">
        <f t="shared" si="2"/>
        <v>0</v>
      </c>
      <c r="L228" s="11" t="s">
        <v>138</v>
      </c>
      <c r="M228" s="11" t="s">
        <v>437</v>
      </c>
      <c r="N228" s="12" t="str">
        <f t="shared" si="3"/>
        <v>Illumination|Thorlabs|SM1A3</v>
      </c>
      <c r="O228" s="12">
        <f t="shared" si="4"/>
        <v>1</v>
      </c>
      <c r="P228" s="12" t="s">
        <v>38</v>
      </c>
      <c r="Q228" s="12"/>
      <c r="R228" s="13" t="s">
        <v>138</v>
      </c>
      <c r="S228" s="13" t="s">
        <v>437</v>
      </c>
      <c r="T228" s="13" t="s">
        <v>438</v>
      </c>
      <c r="U228" s="11" t="s">
        <v>26</v>
      </c>
      <c r="V228" s="11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 s="14"/>
      <c r="AP228" s="14"/>
    </row>
    <row r="229" spans="1:42" ht="22.5" customHeight="1">
      <c r="A229" s="8"/>
      <c r="B229" s="9" t="s">
        <v>27</v>
      </c>
      <c r="C229" s="10">
        <v>1</v>
      </c>
      <c r="D229" s="10"/>
      <c r="E229" s="10">
        <v>0</v>
      </c>
      <c r="F229" s="10"/>
      <c r="G229" s="10">
        <f t="shared" si="6"/>
        <v>1</v>
      </c>
      <c r="H229" s="9"/>
      <c r="I229" s="10">
        <v>1</v>
      </c>
      <c r="J229" s="10">
        <f t="shared" si="7"/>
        <v>1</v>
      </c>
      <c r="K229" s="9">
        <f t="shared" si="2"/>
        <v>0</v>
      </c>
      <c r="L229" s="11" t="s">
        <v>138</v>
      </c>
      <c r="M229" s="11" t="s">
        <v>437</v>
      </c>
      <c r="N229" s="12" t="str">
        <f t="shared" si="3"/>
        <v>Imaging|Thorlabs|SM1A3</v>
      </c>
      <c r="O229" s="12">
        <f t="shared" si="4"/>
        <v>1</v>
      </c>
      <c r="P229" s="12"/>
      <c r="Q229" s="12"/>
      <c r="R229" s="13"/>
      <c r="S229" s="13"/>
      <c r="T229" s="13"/>
      <c r="U229" s="11" t="s">
        <v>43</v>
      </c>
      <c r="V229" s="11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14"/>
      <c r="AP229" s="14"/>
    </row>
    <row r="230" spans="1:42" ht="22.5" customHeight="1">
      <c r="A230" s="8"/>
      <c r="B230" s="9" t="s">
        <v>31</v>
      </c>
      <c r="C230" s="10">
        <v>1</v>
      </c>
      <c r="D230" s="10"/>
      <c r="E230" s="10">
        <v>1</v>
      </c>
      <c r="F230" s="10"/>
      <c r="G230" s="10">
        <f t="shared" si="6"/>
        <v>0</v>
      </c>
      <c r="H230" s="9"/>
      <c r="I230" s="10">
        <v>1</v>
      </c>
      <c r="J230" s="10">
        <f t="shared" si="7"/>
        <v>0</v>
      </c>
      <c r="K230" s="9">
        <f t="shared" si="2"/>
        <v>0</v>
      </c>
      <c r="L230" s="11" t="s">
        <v>138</v>
      </c>
      <c r="M230" s="11" t="s">
        <v>439</v>
      </c>
      <c r="N230" s="12" t="str">
        <f t="shared" si="3"/>
        <v>Illumination|Thorlabs|SM1A34</v>
      </c>
      <c r="O230" s="12">
        <f t="shared" si="4"/>
        <v>1</v>
      </c>
      <c r="P230" s="12" t="s">
        <v>38</v>
      </c>
      <c r="Q230" s="12"/>
      <c r="R230" s="13" t="s">
        <v>138</v>
      </c>
      <c r="S230" s="13" t="s">
        <v>439</v>
      </c>
      <c r="T230" s="13" t="s">
        <v>440</v>
      </c>
      <c r="U230" s="11" t="s">
        <v>26</v>
      </c>
      <c r="V230" s="11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  <c r="AO230" s="14"/>
      <c r="AP230" s="14"/>
    </row>
    <row r="231" spans="1:42" ht="22.5" customHeight="1">
      <c r="A231" s="8"/>
      <c r="B231" s="9" t="s">
        <v>27</v>
      </c>
      <c r="C231" s="10">
        <v>1</v>
      </c>
      <c r="D231" s="10"/>
      <c r="E231" s="10">
        <v>0</v>
      </c>
      <c r="F231" s="10"/>
      <c r="G231" s="10">
        <f t="shared" si="6"/>
        <v>1</v>
      </c>
      <c r="H231" s="9"/>
      <c r="I231" s="10">
        <v>1</v>
      </c>
      <c r="J231" s="10">
        <f t="shared" si="7"/>
        <v>1</v>
      </c>
      <c r="K231" s="9">
        <f t="shared" si="2"/>
        <v>0</v>
      </c>
      <c r="L231" s="11" t="s">
        <v>138</v>
      </c>
      <c r="M231" s="11" t="s">
        <v>441</v>
      </c>
      <c r="N231" s="12" t="str">
        <f t="shared" si="3"/>
        <v>Imaging|Thorlabs|SM1A64</v>
      </c>
      <c r="O231" s="12">
        <f t="shared" si="4"/>
        <v>1</v>
      </c>
      <c r="P231" s="12"/>
      <c r="Q231" s="12"/>
      <c r="R231" s="13"/>
      <c r="S231" s="13"/>
      <c r="T231" s="13"/>
      <c r="U231" s="11" t="s">
        <v>43</v>
      </c>
      <c r="V231" s="11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14"/>
      <c r="AP231" s="14"/>
    </row>
    <row r="232" spans="1:42" ht="22.5" customHeight="1">
      <c r="A232" s="8"/>
      <c r="B232" s="9" t="s">
        <v>31</v>
      </c>
      <c r="C232" s="10">
        <v>1</v>
      </c>
      <c r="D232" s="10"/>
      <c r="E232" s="10">
        <v>1</v>
      </c>
      <c r="F232" s="10"/>
      <c r="G232" s="10">
        <f t="shared" si="6"/>
        <v>0</v>
      </c>
      <c r="H232" s="9"/>
      <c r="I232" s="10">
        <v>1</v>
      </c>
      <c r="J232" s="10">
        <f t="shared" si="7"/>
        <v>0</v>
      </c>
      <c r="K232" s="9">
        <f t="shared" si="2"/>
        <v>0</v>
      </c>
      <c r="L232" s="11" t="s">
        <v>138</v>
      </c>
      <c r="M232" s="11" t="s">
        <v>442</v>
      </c>
      <c r="N232" s="12" t="str">
        <f t="shared" si="3"/>
        <v>Illumination|Thorlabs|SM1AP1</v>
      </c>
      <c r="O232" s="12">
        <f t="shared" si="4"/>
        <v>1</v>
      </c>
      <c r="P232" s="12" t="s">
        <v>38</v>
      </c>
      <c r="Q232" s="12"/>
      <c r="R232" s="13" t="s">
        <v>138</v>
      </c>
      <c r="S232" s="13" t="s">
        <v>442</v>
      </c>
      <c r="T232" s="13" t="s">
        <v>443</v>
      </c>
      <c r="U232" s="11" t="s">
        <v>26</v>
      </c>
      <c r="V232" s="11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  <c r="AO232" s="14"/>
      <c r="AP232" s="14"/>
    </row>
    <row r="233" spans="1:42" ht="22.5" customHeight="1">
      <c r="A233" s="8"/>
      <c r="B233" s="9" t="s">
        <v>27</v>
      </c>
      <c r="C233" s="10">
        <v>2</v>
      </c>
      <c r="D233" s="10"/>
      <c r="E233" s="10">
        <v>0</v>
      </c>
      <c r="F233" s="10"/>
      <c r="G233" s="10">
        <f t="shared" si="6"/>
        <v>2</v>
      </c>
      <c r="H233" s="9"/>
      <c r="I233" s="10">
        <v>1</v>
      </c>
      <c r="J233" s="10">
        <f t="shared" si="7"/>
        <v>2</v>
      </c>
      <c r="K233" s="9">
        <f t="shared" si="2"/>
        <v>0</v>
      </c>
      <c r="L233" s="11" t="s">
        <v>138</v>
      </c>
      <c r="M233" s="11" t="s">
        <v>444</v>
      </c>
      <c r="N233" s="12" t="str">
        <f t="shared" si="3"/>
        <v>Imaging|Thorlabs|SM1CP2</v>
      </c>
      <c r="O233" s="12">
        <f t="shared" si="4"/>
        <v>1</v>
      </c>
      <c r="P233" s="12"/>
      <c r="Q233" s="12"/>
      <c r="R233" s="13"/>
      <c r="S233" s="13"/>
      <c r="T233" s="13"/>
      <c r="U233" s="11" t="s">
        <v>43</v>
      </c>
      <c r="V233" s="11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  <c r="AO233" s="14"/>
      <c r="AP233" s="14"/>
    </row>
    <row r="234" spans="1:42" ht="22.5" customHeight="1">
      <c r="A234" s="8"/>
      <c r="B234" s="9" t="s">
        <v>31</v>
      </c>
      <c r="C234" s="10">
        <v>1</v>
      </c>
      <c r="D234" s="10"/>
      <c r="E234" s="10">
        <v>1</v>
      </c>
      <c r="F234" s="10"/>
      <c r="G234" s="10">
        <f t="shared" si="6"/>
        <v>0</v>
      </c>
      <c r="H234" s="9"/>
      <c r="I234" s="10">
        <v>1</v>
      </c>
      <c r="J234" s="10">
        <f t="shared" si="7"/>
        <v>0</v>
      </c>
      <c r="K234" s="9">
        <f t="shared" si="2"/>
        <v>0</v>
      </c>
      <c r="L234" s="11" t="s">
        <v>138</v>
      </c>
      <c r="M234" s="11" t="s">
        <v>445</v>
      </c>
      <c r="N234" s="12" t="str">
        <f t="shared" si="3"/>
        <v>Illumination|Thorlabs|SM1FC2</v>
      </c>
      <c r="O234" s="12">
        <f t="shared" si="4"/>
        <v>1</v>
      </c>
      <c r="P234" s="12" t="s">
        <v>38</v>
      </c>
      <c r="Q234" s="12"/>
      <c r="R234" s="13" t="s">
        <v>138</v>
      </c>
      <c r="S234" s="13" t="s">
        <v>445</v>
      </c>
      <c r="T234" s="13" t="s">
        <v>446</v>
      </c>
      <c r="U234" s="11" t="s">
        <v>26</v>
      </c>
      <c r="V234" s="11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  <c r="AO234" s="14"/>
      <c r="AP234" s="14"/>
    </row>
    <row r="235" spans="1:42" ht="22.5" customHeight="1">
      <c r="A235" s="8"/>
      <c r="B235" s="9" t="s">
        <v>27</v>
      </c>
      <c r="C235" s="10">
        <v>2</v>
      </c>
      <c r="D235" s="10"/>
      <c r="E235" s="10">
        <v>3</v>
      </c>
      <c r="F235" s="10"/>
      <c r="G235" s="10">
        <f t="shared" si="6"/>
        <v>0</v>
      </c>
      <c r="H235" s="9"/>
      <c r="I235" s="10">
        <v>1</v>
      </c>
      <c r="J235" s="10">
        <f t="shared" si="7"/>
        <v>0</v>
      </c>
      <c r="K235" s="9">
        <f t="shared" si="2"/>
        <v>0</v>
      </c>
      <c r="L235" s="11" t="s">
        <v>138</v>
      </c>
      <c r="M235" s="11" t="s">
        <v>447</v>
      </c>
      <c r="N235" s="12" t="str">
        <f t="shared" si="3"/>
        <v>Imaging|Thorlabs|SM1L03</v>
      </c>
      <c r="O235" s="12">
        <f t="shared" si="4"/>
        <v>1</v>
      </c>
      <c r="P235" s="12"/>
      <c r="Q235" s="12"/>
      <c r="R235" s="13"/>
      <c r="S235" s="13"/>
      <c r="T235" s="13"/>
      <c r="U235" s="11" t="s">
        <v>43</v>
      </c>
      <c r="V235" s="11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4"/>
      <c r="AP235" s="14"/>
    </row>
    <row r="236" spans="1:42" ht="22.5" customHeight="1">
      <c r="A236" s="8"/>
      <c r="B236" s="9" t="s">
        <v>27</v>
      </c>
      <c r="C236" s="10">
        <v>1</v>
      </c>
      <c r="D236" s="10"/>
      <c r="E236" s="10">
        <v>0</v>
      </c>
      <c r="F236" s="10"/>
      <c r="G236" s="10">
        <f t="shared" si="6"/>
        <v>1</v>
      </c>
      <c r="H236" s="9"/>
      <c r="I236" s="10">
        <v>1</v>
      </c>
      <c r="J236" s="10">
        <f t="shared" si="7"/>
        <v>1</v>
      </c>
      <c r="K236" s="9">
        <f t="shared" si="2"/>
        <v>0</v>
      </c>
      <c r="L236" s="11" t="s">
        <v>138</v>
      </c>
      <c r="M236" s="11" t="s">
        <v>448</v>
      </c>
      <c r="N236" s="12" t="str">
        <f t="shared" si="3"/>
        <v>Imaging|Thorlabs|SM1L05</v>
      </c>
      <c r="O236" s="12">
        <f t="shared" si="4"/>
        <v>1</v>
      </c>
      <c r="P236" s="12"/>
      <c r="Q236" s="12"/>
      <c r="R236" s="13"/>
      <c r="S236" s="13"/>
      <c r="T236" s="13"/>
      <c r="U236" s="11" t="s">
        <v>43</v>
      </c>
      <c r="V236" s="11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  <c r="AO236" s="14"/>
      <c r="AP236" s="14"/>
    </row>
    <row r="237" spans="1:42" ht="22.5" customHeight="1">
      <c r="A237" s="8"/>
      <c r="B237" s="9" t="s">
        <v>27</v>
      </c>
      <c r="C237" s="10">
        <v>1</v>
      </c>
      <c r="D237" s="10"/>
      <c r="E237" s="10">
        <v>10</v>
      </c>
      <c r="F237" s="10"/>
      <c r="G237" s="10">
        <f t="shared" si="6"/>
        <v>0</v>
      </c>
      <c r="H237" s="9"/>
      <c r="I237" s="10">
        <v>1</v>
      </c>
      <c r="J237" s="10">
        <f t="shared" si="7"/>
        <v>0</v>
      </c>
      <c r="K237" s="9">
        <f t="shared" si="2"/>
        <v>0</v>
      </c>
      <c r="L237" s="11" t="s">
        <v>138</v>
      </c>
      <c r="M237" s="11" t="s">
        <v>449</v>
      </c>
      <c r="N237" s="12" t="str">
        <f t="shared" si="3"/>
        <v>Imaging|Thorlabs|SM1RR</v>
      </c>
      <c r="O237" s="12">
        <f t="shared" si="4"/>
        <v>1</v>
      </c>
      <c r="P237" s="12"/>
      <c r="Q237" s="12"/>
      <c r="R237" s="13"/>
      <c r="S237" s="13"/>
      <c r="T237" s="13"/>
      <c r="U237" s="11" t="s">
        <v>43</v>
      </c>
      <c r="V237" s="11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  <c r="AO237" s="14"/>
      <c r="AP237" s="14"/>
    </row>
    <row r="238" spans="1:42" ht="22.5" customHeight="1">
      <c r="A238" s="8"/>
      <c r="B238" s="9" t="s">
        <v>27</v>
      </c>
      <c r="C238" s="10">
        <v>1</v>
      </c>
      <c r="D238" s="10"/>
      <c r="E238" s="10">
        <v>1</v>
      </c>
      <c r="F238" s="10"/>
      <c r="G238" s="10">
        <f t="shared" si="6"/>
        <v>0</v>
      </c>
      <c r="H238" s="9"/>
      <c r="I238" s="10">
        <v>1</v>
      </c>
      <c r="J238" s="10">
        <f t="shared" si="7"/>
        <v>0</v>
      </c>
      <c r="K238" s="9">
        <f t="shared" si="2"/>
        <v>0</v>
      </c>
      <c r="L238" s="11" t="s">
        <v>138</v>
      </c>
      <c r="M238" s="11" t="s">
        <v>450</v>
      </c>
      <c r="N238" s="12" t="str">
        <f t="shared" si="3"/>
        <v>Imaging|Thorlabs|SM1RRC</v>
      </c>
      <c r="O238" s="12">
        <f t="shared" si="4"/>
        <v>1</v>
      </c>
      <c r="P238" s="12"/>
      <c r="Q238" s="12"/>
      <c r="R238" s="13"/>
      <c r="S238" s="13"/>
      <c r="T238" s="13"/>
      <c r="U238" s="11" t="s">
        <v>451</v>
      </c>
      <c r="V238" s="11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  <c r="AO238" s="14"/>
      <c r="AP238" s="14"/>
    </row>
    <row r="239" spans="1:42" ht="22.5" customHeight="1">
      <c r="A239" s="8"/>
      <c r="B239" s="9" t="s">
        <v>27</v>
      </c>
      <c r="C239" s="10">
        <v>2</v>
      </c>
      <c r="D239" s="10"/>
      <c r="E239" s="10">
        <v>2</v>
      </c>
      <c r="F239" s="10"/>
      <c r="G239" s="10">
        <f t="shared" si="6"/>
        <v>0</v>
      </c>
      <c r="H239" s="9"/>
      <c r="I239" s="10">
        <v>1</v>
      </c>
      <c r="J239" s="10">
        <f t="shared" si="7"/>
        <v>0</v>
      </c>
      <c r="K239" s="9">
        <f t="shared" si="2"/>
        <v>0</v>
      </c>
      <c r="L239" s="11" t="s">
        <v>138</v>
      </c>
      <c r="M239" s="11" t="s">
        <v>452</v>
      </c>
      <c r="N239" s="12" t="str">
        <f t="shared" si="3"/>
        <v>Imaging|Thorlabs|SM1S1M</v>
      </c>
      <c r="O239" s="12">
        <f t="shared" si="4"/>
        <v>1</v>
      </c>
      <c r="P239" s="12"/>
      <c r="Q239" s="12"/>
      <c r="R239" s="13"/>
      <c r="S239" s="13"/>
      <c r="T239" s="13"/>
      <c r="U239" s="11" t="s">
        <v>43</v>
      </c>
      <c r="V239" s="11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14"/>
      <c r="AP239" s="14"/>
    </row>
    <row r="240" spans="1:42" ht="22.5" customHeight="1">
      <c r="A240" s="8"/>
      <c r="B240" s="9" t="s">
        <v>31</v>
      </c>
      <c r="C240" s="10">
        <v>1</v>
      </c>
      <c r="D240" s="10"/>
      <c r="E240" s="10">
        <v>1</v>
      </c>
      <c r="F240" s="10"/>
      <c r="G240" s="10">
        <f t="shared" si="6"/>
        <v>0</v>
      </c>
      <c r="H240" s="9"/>
      <c r="I240" s="10">
        <v>1</v>
      </c>
      <c r="J240" s="10">
        <f t="shared" si="7"/>
        <v>0</v>
      </c>
      <c r="K240" s="9">
        <f t="shared" si="2"/>
        <v>0</v>
      </c>
      <c r="L240" s="11" t="s">
        <v>138</v>
      </c>
      <c r="M240" s="11" t="s">
        <v>453</v>
      </c>
      <c r="N240" s="12" t="str">
        <f t="shared" si="3"/>
        <v>Illumination|Thorlabs|SM1S8M</v>
      </c>
      <c r="O240" s="12">
        <f t="shared" si="4"/>
        <v>1</v>
      </c>
      <c r="P240" s="12" t="s">
        <v>38</v>
      </c>
      <c r="Q240" s="12"/>
      <c r="R240" s="13" t="s">
        <v>138</v>
      </c>
      <c r="S240" s="13" t="s">
        <v>453</v>
      </c>
      <c r="T240" s="13" t="s">
        <v>454</v>
      </c>
      <c r="U240" s="11" t="s">
        <v>26</v>
      </c>
      <c r="V240" s="11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  <c r="AO240" s="14"/>
      <c r="AP240" s="14"/>
    </row>
    <row r="241" spans="1:42" ht="22.5" customHeight="1">
      <c r="A241" s="8"/>
      <c r="B241" s="9" t="s">
        <v>27</v>
      </c>
      <c r="C241" s="10">
        <v>1</v>
      </c>
      <c r="D241" s="10"/>
      <c r="E241" s="10">
        <v>0</v>
      </c>
      <c r="F241" s="10"/>
      <c r="G241" s="10">
        <f t="shared" si="6"/>
        <v>1</v>
      </c>
      <c r="H241" s="9"/>
      <c r="I241" s="10">
        <v>1</v>
      </c>
      <c r="J241" s="10">
        <f t="shared" si="7"/>
        <v>1</v>
      </c>
      <c r="K241" s="9">
        <f t="shared" si="2"/>
        <v>0</v>
      </c>
      <c r="L241" s="11" t="s">
        <v>138</v>
      </c>
      <c r="M241" s="11" t="s">
        <v>455</v>
      </c>
      <c r="N241" s="12" t="str">
        <f t="shared" si="3"/>
        <v>Imaging|Thorlabs|SM1T4</v>
      </c>
      <c r="O241" s="12">
        <f t="shared" si="4"/>
        <v>1</v>
      </c>
      <c r="P241" s="12"/>
      <c r="Q241" s="12"/>
      <c r="R241" s="13"/>
      <c r="S241" s="13"/>
      <c r="T241" s="13"/>
      <c r="U241" s="11" t="s">
        <v>43</v>
      </c>
      <c r="V241" s="11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14"/>
      <c r="AP241" s="14"/>
    </row>
    <row r="242" spans="1:42" ht="22.5" customHeight="1">
      <c r="A242" s="8"/>
      <c r="B242" s="9" t="s">
        <v>27</v>
      </c>
      <c r="C242" s="10">
        <v>1</v>
      </c>
      <c r="D242" s="10"/>
      <c r="E242" s="10">
        <v>1</v>
      </c>
      <c r="F242" s="10"/>
      <c r="G242" s="10">
        <f t="shared" si="6"/>
        <v>0</v>
      </c>
      <c r="H242" s="9"/>
      <c r="I242" s="10">
        <v>1</v>
      </c>
      <c r="J242" s="10">
        <f t="shared" si="7"/>
        <v>0</v>
      </c>
      <c r="K242" s="9">
        <f t="shared" si="2"/>
        <v>0</v>
      </c>
      <c r="L242" s="11" t="s">
        <v>138</v>
      </c>
      <c r="M242" s="11" t="s">
        <v>456</v>
      </c>
      <c r="N242" s="12" t="str">
        <f t="shared" si="3"/>
        <v>Imaging|Thorlabs|SM1TC</v>
      </c>
      <c r="O242" s="12">
        <f t="shared" si="4"/>
        <v>1</v>
      </c>
      <c r="P242" s="12"/>
      <c r="Q242" s="12"/>
      <c r="R242" s="13"/>
      <c r="S242" s="13"/>
      <c r="T242" s="13"/>
      <c r="U242" s="11" t="s">
        <v>43</v>
      </c>
      <c r="V242" s="11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  <c r="AO242" s="14"/>
      <c r="AP242" s="14"/>
    </row>
    <row r="243" spans="1:42" ht="22.5" customHeight="1">
      <c r="A243" s="8"/>
      <c r="B243" s="9" t="s">
        <v>27</v>
      </c>
      <c r="C243" s="10">
        <v>1</v>
      </c>
      <c r="D243" s="10"/>
      <c r="E243" s="10">
        <v>1</v>
      </c>
      <c r="F243" s="10"/>
      <c r="G243" s="10">
        <f t="shared" si="6"/>
        <v>0</v>
      </c>
      <c r="H243" s="9"/>
      <c r="I243" s="10">
        <v>1</v>
      </c>
      <c r="J243" s="10">
        <f t="shared" si="7"/>
        <v>0</v>
      </c>
      <c r="K243" s="9">
        <f t="shared" si="2"/>
        <v>0</v>
      </c>
      <c r="L243" s="11" t="s">
        <v>138</v>
      </c>
      <c r="M243" s="11" t="s">
        <v>457</v>
      </c>
      <c r="N243" s="12" t="str">
        <f t="shared" si="3"/>
        <v>Imaging|Thorlabs|SM1V10</v>
      </c>
      <c r="O243" s="12">
        <f t="shared" si="4"/>
        <v>1</v>
      </c>
      <c r="P243" s="12"/>
      <c r="Q243" s="12"/>
      <c r="R243" s="13"/>
      <c r="S243" s="13"/>
      <c r="T243" s="13"/>
      <c r="U243" s="11" t="s">
        <v>43</v>
      </c>
      <c r="V243" s="11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4"/>
      <c r="AP243" s="14"/>
    </row>
    <row r="244" spans="1:42" ht="22.5" customHeight="1">
      <c r="A244" s="8"/>
      <c r="B244" s="9" t="s">
        <v>31</v>
      </c>
      <c r="C244" s="10">
        <v>1</v>
      </c>
      <c r="D244" s="10"/>
      <c r="E244" s="10">
        <v>1</v>
      </c>
      <c r="F244" s="10"/>
      <c r="G244" s="10">
        <f t="shared" si="6"/>
        <v>0</v>
      </c>
      <c r="H244" s="9"/>
      <c r="I244" s="10">
        <v>1</v>
      </c>
      <c r="J244" s="10">
        <f t="shared" si="7"/>
        <v>0</v>
      </c>
      <c r="K244" s="9">
        <f t="shared" si="2"/>
        <v>0</v>
      </c>
      <c r="L244" s="11" t="s">
        <v>138</v>
      </c>
      <c r="M244" s="11" t="s">
        <v>458</v>
      </c>
      <c r="N244" s="12" t="str">
        <f t="shared" si="3"/>
        <v>Illumination|Thorlabs|SM1ZA</v>
      </c>
      <c r="O244" s="12">
        <f t="shared" si="4"/>
        <v>1</v>
      </c>
      <c r="P244" s="12" t="s">
        <v>38</v>
      </c>
      <c r="Q244" s="12"/>
      <c r="R244" s="13" t="s">
        <v>138</v>
      </c>
      <c r="S244" s="13" t="s">
        <v>458</v>
      </c>
      <c r="T244" s="13" t="s">
        <v>459</v>
      </c>
      <c r="U244" s="11" t="s">
        <v>26</v>
      </c>
      <c r="V244" s="11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  <c r="AO244" s="14"/>
      <c r="AP244" s="14"/>
    </row>
    <row r="245" spans="1:42" ht="22.5" customHeight="1">
      <c r="A245" s="8"/>
      <c r="B245" s="9" t="s">
        <v>31</v>
      </c>
      <c r="C245" s="10">
        <v>1</v>
      </c>
      <c r="D245" s="10"/>
      <c r="E245" s="10">
        <v>1</v>
      </c>
      <c r="F245" s="10"/>
      <c r="G245" s="10">
        <f t="shared" si="6"/>
        <v>0</v>
      </c>
      <c r="H245" s="9"/>
      <c r="I245" s="10">
        <v>1</v>
      </c>
      <c r="J245" s="10">
        <f t="shared" si="7"/>
        <v>0</v>
      </c>
      <c r="K245" s="9">
        <f t="shared" si="2"/>
        <v>0</v>
      </c>
      <c r="L245" s="11" t="s">
        <v>138</v>
      </c>
      <c r="M245" s="11" t="s">
        <v>460</v>
      </c>
      <c r="N245" s="12" t="str">
        <f t="shared" si="3"/>
        <v>Illumination|Thorlabs|SM2A20</v>
      </c>
      <c r="O245" s="12">
        <f t="shared" si="4"/>
        <v>1</v>
      </c>
      <c r="P245" s="12"/>
      <c r="Q245" s="12"/>
      <c r="R245" s="13" t="s">
        <v>138</v>
      </c>
      <c r="S245" s="13" t="s">
        <v>460</v>
      </c>
      <c r="T245" s="13" t="s">
        <v>461</v>
      </c>
      <c r="U245" s="16" t="s">
        <v>462</v>
      </c>
      <c r="V245" s="11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  <c r="AO245" s="14"/>
      <c r="AP245" s="14"/>
    </row>
    <row r="246" spans="1:42" ht="22.5" customHeight="1">
      <c r="A246" s="8"/>
      <c r="B246" s="9" t="s">
        <v>27</v>
      </c>
      <c r="C246" s="10">
        <v>2</v>
      </c>
      <c r="D246" s="10"/>
      <c r="E246" s="10">
        <v>0</v>
      </c>
      <c r="F246" s="10"/>
      <c r="G246" s="10">
        <f t="shared" si="6"/>
        <v>2</v>
      </c>
      <c r="H246" s="9"/>
      <c r="I246" s="10">
        <v>1</v>
      </c>
      <c r="J246" s="10">
        <f t="shared" si="7"/>
        <v>2</v>
      </c>
      <c r="K246" s="9">
        <f t="shared" si="2"/>
        <v>0</v>
      </c>
      <c r="L246" s="11" t="s">
        <v>138</v>
      </c>
      <c r="M246" s="11" t="s">
        <v>463</v>
      </c>
      <c r="N246" s="12" t="str">
        <f t="shared" si="3"/>
        <v>Imaging|Thorlabs|SM2A33</v>
      </c>
      <c r="O246" s="12">
        <f t="shared" si="4"/>
        <v>1</v>
      </c>
      <c r="P246" s="12"/>
      <c r="Q246" s="12"/>
      <c r="R246" s="13"/>
      <c r="S246" s="13"/>
      <c r="T246" s="13"/>
      <c r="U246" s="11" t="s">
        <v>43</v>
      </c>
      <c r="V246" s="11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  <c r="AO246" s="14"/>
      <c r="AP246" s="14"/>
    </row>
    <row r="247" spans="1:42" ht="22.5" customHeight="1">
      <c r="A247" s="8"/>
      <c r="B247" s="9" t="s">
        <v>31</v>
      </c>
      <c r="C247" s="10">
        <v>1</v>
      </c>
      <c r="D247" s="10"/>
      <c r="E247" s="10">
        <v>1</v>
      </c>
      <c r="F247" s="10"/>
      <c r="G247" s="10">
        <f t="shared" si="6"/>
        <v>0</v>
      </c>
      <c r="H247" s="9"/>
      <c r="I247" s="10">
        <v>1</v>
      </c>
      <c r="J247" s="10">
        <f t="shared" si="7"/>
        <v>0</v>
      </c>
      <c r="K247" s="9">
        <f t="shared" si="2"/>
        <v>0</v>
      </c>
      <c r="L247" s="11" t="s">
        <v>138</v>
      </c>
      <c r="M247" s="11" t="s">
        <v>464</v>
      </c>
      <c r="N247" s="12" t="str">
        <f t="shared" si="3"/>
        <v>Illumination|Thorlabs|SM2AP1</v>
      </c>
      <c r="O247" s="12">
        <f t="shared" si="4"/>
        <v>1</v>
      </c>
      <c r="P247" s="12" t="s">
        <v>38</v>
      </c>
      <c r="Q247" s="12"/>
      <c r="R247" s="13" t="s">
        <v>138</v>
      </c>
      <c r="S247" s="13" t="s">
        <v>464</v>
      </c>
      <c r="T247" s="13" t="s">
        <v>465</v>
      </c>
      <c r="U247" s="11" t="s">
        <v>26</v>
      </c>
      <c r="V247" s="11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  <c r="AO247" s="14"/>
      <c r="AP247" s="14"/>
    </row>
    <row r="248" spans="1:42" ht="22.5" customHeight="1">
      <c r="A248" s="8"/>
      <c r="B248" s="9"/>
      <c r="C248" s="10"/>
      <c r="D248" s="10"/>
      <c r="E248" s="10">
        <v>2</v>
      </c>
      <c r="F248" s="10"/>
      <c r="G248" s="10">
        <f t="shared" si="6"/>
        <v>0</v>
      </c>
      <c r="H248" s="9"/>
      <c r="I248" s="10">
        <v>1</v>
      </c>
      <c r="J248" s="10">
        <f t="shared" si="7"/>
        <v>0</v>
      </c>
      <c r="K248" s="9">
        <f t="shared" si="2"/>
        <v>0</v>
      </c>
      <c r="L248" s="11" t="s">
        <v>138</v>
      </c>
      <c r="M248" s="11" t="s">
        <v>466</v>
      </c>
      <c r="N248" s="12" t="str">
        <f t="shared" si="3"/>
        <v>|Thorlabs|SM2CP1</v>
      </c>
      <c r="O248" s="12">
        <f t="shared" si="4"/>
        <v>1</v>
      </c>
      <c r="P248" s="12" t="s">
        <v>38</v>
      </c>
      <c r="Q248" s="12"/>
      <c r="R248" s="13" t="s">
        <v>138</v>
      </c>
      <c r="S248" s="13" t="s">
        <v>466</v>
      </c>
      <c r="T248" s="13" t="s">
        <v>467</v>
      </c>
      <c r="U248" s="15" t="s">
        <v>468</v>
      </c>
      <c r="V248" s="11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  <c r="AO248" s="14"/>
      <c r="AP248" s="14"/>
    </row>
    <row r="249" spans="1:42" ht="22.5" customHeight="1">
      <c r="A249" s="8"/>
      <c r="B249" s="9" t="s">
        <v>27</v>
      </c>
      <c r="C249" s="10">
        <v>1</v>
      </c>
      <c r="D249" s="10"/>
      <c r="E249" s="10">
        <v>1</v>
      </c>
      <c r="F249" s="10"/>
      <c r="G249" s="10">
        <f t="shared" si="6"/>
        <v>0</v>
      </c>
      <c r="H249" s="9"/>
      <c r="I249" s="10">
        <v>1</v>
      </c>
      <c r="J249" s="10">
        <f t="shared" si="7"/>
        <v>0</v>
      </c>
      <c r="K249" s="9">
        <f t="shared" si="2"/>
        <v>0</v>
      </c>
      <c r="L249" s="11" t="s">
        <v>138</v>
      </c>
      <c r="M249" s="11" t="s">
        <v>469</v>
      </c>
      <c r="N249" s="12" t="str">
        <f t="shared" si="3"/>
        <v xml:space="preserve">Imaging|Thorlabs|SM2D25D </v>
      </c>
      <c r="O249" s="12">
        <f t="shared" si="4"/>
        <v>1</v>
      </c>
      <c r="P249" s="12"/>
      <c r="Q249" s="12"/>
      <c r="R249" s="13" t="s">
        <v>138</v>
      </c>
      <c r="S249" s="13" t="s">
        <v>469</v>
      </c>
      <c r="T249" s="13" t="s">
        <v>470</v>
      </c>
      <c r="U249" s="16" t="s">
        <v>471</v>
      </c>
      <c r="V249" s="11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14"/>
      <c r="AP249" s="14"/>
    </row>
    <row r="250" spans="1:42" ht="22.5" customHeight="1">
      <c r="A250" s="8"/>
      <c r="B250" s="9" t="s">
        <v>27</v>
      </c>
      <c r="C250" s="10">
        <v>3</v>
      </c>
      <c r="D250" s="10"/>
      <c r="E250" s="10">
        <v>4</v>
      </c>
      <c r="F250" s="10"/>
      <c r="G250" s="10">
        <f t="shared" si="6"/>
        <v>0</v>
      </c>
      <c r="H250" s="9"/>
      <c r="I250" s="10">
        <v>1</v>
      </c>
      <c r="J250" s="10">
        <f t="shared" si="7"/>
        <v>0</v>
      </c>
      <c r="K250" s="9">
        <f t="shared" si="2"/>
        <v>0</v>
      </c>
      <c r="L250" s="9" t="s">
        <v>138</v>
      </c>
      <c r="M250" s="9" t="s">
        <v>472</v>
      </c>
      <c r="N250" s="12" t="str">
        <f t="shared" si="3"/>
        <v>Imaging|Thorlabs|SM2L10</v>
      </c>
      <c r="O250" s="12">
        <f t="shared" si="4"/>
        <v>1</v>
      </c>
      <c r="P250" s="12" t="s">
        <v>38</v>
      </c>
      <c r="Q250" s="12"/>
      <c r="R250" s="12" t="s">
        <v>138</v>
      </c>
      <c r="S250" s="12" t="s">
        <v>472</v>
      </c>
      <c r="T250" s="13" t="s">
        <v>473</v>
      </c>
      <c r="U250" s="15" t="s">
        <v>474</v>
      </c>
      <c r="V250" s="11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  <c r="AO250" s="14"/>
      <c r="AP250" s="14"/>
    </row>
    <row r="251" spans="1:42" ht="22.5" customHeight="1">
      <c r="A251" s="8"/>
      <c r="B251" s="9" t="s">
        <v>27</v>
      </c>
      <c r="C251" s="10">
        <v>4</v>
      </c>
      <c r="D251" s="10"/>
      <c r="E251" s="10">
        <v>4</v>
      </c>
      <c r="F251" s="10">
        <v>0</v>
      </c>
      <c r="G251" s="10">
        <f t="shared" si="6"/>
        <v>0</v>
      </c>
      <c r="H251" s="9"/>
      <c r="I251" s="10">
        <v>1</v>
      </c>
      <c r="J251" s="10">
        <f t="shared" si="7"/>
        <v>0</v>
      </c>
      <c r="K251" s="9">
        <f t="shared" si="2"/>
        <v>0</v>
      </c>
      <c r="L251" s="9" t="s">
        <v>138</v>
      </c>
      <c r="M251" s="9" t="s">
        <v>475</v>
      </c>
      <c r="N251" s="12" t="str">
        <f t="shared" si="3"/>
        <v>Imaging|Thorlabs|SM2L15</v>
      </c>
      <c r="O251" s="12">
        <f t="shared" si="4"/>
        <v>1</v>
      </c>
      <c r="P251" s="12"/>
      <c r="Q251" s="12"/>
      <c r="R251" s="12" t="s">
        <v>138</v>
      </c>
      <c r="S251" s="12" t="s">
        <v>475</v>
      </c>
      <c r="T251" s="13" t="s">
        <v>476</v>
      </c>
      <c r="U251" s="16" t="s">
        <v>477</v>
      </c>
      <c r="V251" s="11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  <c r="AO251" s="14"/>
      <c r="AP251" s="14"/>
    </row>
    <row r="252" spans="1:42" ht="22.5" customHeight="1">
      <c r="A252" s="8"/>
      <c r="B252" s="9" t="s">
        <v>27</v>
      </c>
      <c r="C252" s="10">
        <v>7</v>
      </c>
      <c r="D252" s="10"/>
      <c r="E252" s="10">
        <v>10</v>
      </c>
      <c r="F252" s="10"/>
      <c r="G252" s="10">
        <f t="shared" si="6"/>
        <v>0</v>
      </c>
      <c r="H252" s="9"/>
      <c r="I252" s="10">
        <v>1</v>
      </c>
      <c r="J252" s="10">
        <f t="shared" si="7"/>
        <v>0</v>
      </c>
      <c r="K252" s="9">
        <f t="shared" si="2"/>
        <v>0</v>
      </c>
      <c r="L252" s="9" t="s">
        <v>138</v>
      </c>
      <c r="M252" s="9" t="s">
        <v>478</v>
      </c>
      <c r="N252" s="12" t="str">
        <f t="shared" si="3"/>
        <v>Imaging|Thorlabs|SM2RR</v>
      </c>
      <c r="O252" s="12">
        <f t="shared" si="4"/>
        <v>1</v>
      </c>
      <c r="P252" s="12"/>
      <c r="Q252" s="12"/>
      <c r="R252" s="12" t="s">
        <v>138</v>
      </c>
      <c r="S252" s="12" t="s">
        <v>478</v>
      </c>
      <c r="T252" s="13"/>
      <c r="U252" s="11"/>
      <c r="V252" s="11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  <c r="AO252" s="14"/>
      <c r="AP252" s="14"/>
    </row>
    <row r="253" spans="1:42" ht="22.5" customHeight="1">
      <c r="A253" s="8"/>
      <c r="B253" s="9" t="s">
        <v>31</v>
      </c>
      <c r="C253" s="10">
        <v>2</v>
      </c>
      <c r="D253" s="10"/>
      <c r="E253" s="10">
        <v>3</v>
      </c>
      <c r="F253" s="10"/>
      <c r="G253" s="10">
        <f t="shared" si="6"/>
        <v>0</v>
      </c>
      <c r="H253" s="9"/>
      <c r="I253" s="10">
        <v>1</v>
      </c>
      <c r="J253" s="10">
        <f t="shared" si="7"/>
        <v>0</v>
      </c>
      <c r="K253" s="9">
        <f t="shared" si="2"/>
        <v>0</v>
      </c>
      <c r="L253" s="11" t="s">
        <v>138</v>
      </c>
      <c r="M253" s="11" t="s">
        <v>479</v>
      </c>
      <c r="N253" s="12" t="str">
        <f t="shared" si="3"/>
        <v>Illumination|Thorlabs|SPT1C</v>
      </c>
      <c r="O253" s="12">
        <f t="shared" si="4"/>
        <v>1</v>
      </c>
      <c r="P253" s="12" t="s">
        <v>38</v>
      </c>
      <c r="Q253" s="12"/>
      <c r="R253" s="13" t="s">
        <v>138</v>
      </c>
      <c r="S253" s="13" t="s">
        <v>479</v>
      </c>
      <c r="T253" s="13" t="s">
        <v>480</v>
      </c>
      <c r="U253" s="11" t="s">
        <v>26</v>
      </c>
      <c r="V253" s="11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  <c r="AO253" s="14"/>
      <c r="AP253" s="14"/>
    </row>
    <row r="254" spans="1:42" ht="22.5" customHeight="1">
      <c r="A254" s="8"/>
      <c r="B254" s="9"/>
      <c r="C254" s="10"/>
      <c r="D254" s="10"/>
      <c r="E254" s="10"/>
      <c r="F254" s="10"/>
      <c r="G254" s="10">
        <f t="shared" si="6"/>
        <v>0</v>
      </c>
      <c r="H254" s="9"/>
      <c r="I254" s="10">
        <v>1</v>
      </c>
      <c r="J254" s="10">
        <f t="shared" si="7"/>
        <v>0</v>
      </c>
      <c r="K254" s="9">
        <f t="shared" si="2"/>
        <v>0</v>
      </c>
      <c r="L254" s="11" t="s">
        <v>138</v>
      </c>
      <c r="M254" s="11" t="s">
        <v>481</v>
      </c>
      <c r="N254" s="12" t="str">
        <f t="shared" si="3"/>
        <v>|Thorlabs|SPT1CT</v>
      </c>
      <c r="O254" s="12">
        <f t="shared" si="4"/>
        <v>1</v>
      </c>
      <c r="P254" s="12" t="s">
        <v>38</v>
      </c>
      <c r="Q254" s="12"/>
      <c r="R254" s="13" t="s">
        <v>138</v>
      </c>
      <c r="S254" s="13" t="s">
        <v>481</v>
      </c>
      <c r="T254" s="12"/>
      <c r="U254" s="11"/>
      <c r="V254" s="9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  <c r="AO254" s="14"/>
      <c r="AP254" s="14"/>
    </row>
    <row r="255" spans="1:42" ht="22.5" customHeight="1">
      <c r="A255" s="8"/>
      <c r="B255" s="9"/>
      <c r="C255" s="10"/>
      <c r="D255" s="10"/>
      <c r="E255" s="10"/>
      <c r="F255" s="10"/>
      <c r="G255" s="10">
        <f t="shared" si="6"/>
        <v>0</v>
      </c>
      <c r="H255" s="9"/>
      <c r="I255" s="10">
        <v>1</v>
      </c>
      <c r="J255" s="10">
        <f t="shared" si="7"/>
        <v>0</v>
      </c>
      <c r="K255" s="9">
        <f t="shared" si="2"/>
        <v>0</v>
      </c>
      <c r="L255" s="11" t="s">
        <v>138</v>
      </c>
      <c r="M255" s="11" t="s">
        <v>482</v>
      </c>
      <c r="N255" s="12" t="str">
        <f t="shared" si="3"/>
        <v>|Thorlabs|SPT2</v>
      </c>
      <c r="O255" s="12">
        <f t="shared" si="4"/>
        <v>1</v>
      </c>
      <c r="P255" s="12" t="s">
        <v>279</v>
      </c>
      <c r="Q255" s="12" t="s">
        <v>331</v>
      </c>
      <c r="R255" s="13" t="s">
        <v>138</v>
      </c>
      <c r="S255" s="13" t="s">
        <v>482</v>
      </c>
      <c r="T255" s="13"/>
      <c r="U255" s="11"/>
      <c r="V255" s="9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 s="14"/>
      <c r="AP255" s="14"/>
    </row>
    <row r="256" spans="1:42" ht="22.5" customHeight="1">
      <c r="A256" s="8"/>
      <c r="B256" s="9" t="s">
        <v>27</v>
      </c>
      <c r="C256" s="10">
        <v>2</v>
      </c>
      <c r="D256" s="10"/>
      <c r="E256" s="10">
        <v>0</v>
      </c>
      <c r="F256" s="10"/>
      <c r="G256" s="10">
        <f t="shared" si="6"/>
        <v>2</v>
      </c>
      <c r="H256" s="9"/>
      <c r="I256" s="10">
        <v>1</v>
      </c>
      <c r="J256" s="10">
        <f t="shared" si="7"/>
        <v>2</v>
      </c>
      <c r="K256" s="9">
        <f t="shared" si="2"/>
        <v>0</v>
      </c>
      <c r="L256" s="11" t="s">
        <v>138</v>
      </c>
      <c r="M256" s="11" t="s">
        <v>483</v>
      </c>
      <c r="N256" s="12" t="str">
        <f t="shared" si="3"/>
        <v>Imaging|Thorlabs|SPT2C</v>
      </c>
      <c r="O256" s="12">
        <f t="shared" si="4"/>
        <v>1</v>
      </c>
      <c r="P256" s="12"/>
      <c r="Q256" s="12"/>
      <c r="R256" s="13"/>
      <c r="S256" s="13"/>
      <c r="T256" s="13"/>
      <c r="U256" s="11" t="s">
        <v>43</v>
      </c>
      <c r="V256" s="11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  <c r="AO256" s="14"/>
      <c r="AP256" s="14"/>
    </row>
    <row r="257" spans="1:42" ht="22.5" customHeight="1">
      <c r="A257" s="8"/>
      <c r="B257" s="9" t="s">
        <v>31</v>
      </c>
      <c r="C257" s="10">
        <v>1</v>
      </c>
      <c r="D257" s="10"/>
      <c r="E257" s="10">
        <v>1</v>
      </c>
      <c r="F257" s="10"/>
      <c r="G257" s="10">
        <f t="shared" si="6"/>
        <v>0</v>
      </c>
      <c r="H257" s="9"/>
      <c r="I257" s="10">
        <v>1</v>
      </c>
      <c r="J257" s="10">
        <f t="shared" si="7"/>
        <v>0</v>
      </c>
      <c r="K257" s="9">
        <f t="shared" ref="K257:K316" si="8">H257*G257</f>
        <v>0</v>
      </c>
      <c r="L257" s="11" t="s">
        <v>138</v>
      </c>
      <c r="M257" s="11" t="s">
        <v>484</v>
      </c>
      <c r="N257" s="12" t="str">
        <f t="shared" ref="N257:N316" si="9">B257&amp;"|"&amp;L257&amp;"|"&amp;M257</f>
        <v>Illumination|Thorlabs|ST1XY-A</v>
      </c>
      <c r="O257" s="12">
        <f t="shared" ref="O257:O316" si="10">COUNTIF($N$2:$N1184, N257)</f>
        <v>1</v>
      </c>
      <c r="P257" s="12" t="s">
        <v>38</v>
      </c>
      <c r="Q257" s="12"/>
      <c r="R257" s="13" t="s">
        <v>138</v>
      </c>
      <c r="S257" s="13" t="s">
        <v>484</v>
      </c>
      <c r="T257" s="13" t="s">
        <v>485</v>
      </c>
      <c r="U257" s="11" t="s">
        <v>26</v>
      </c>
      <c r="V257" s="11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</row>
    <row r="258" spans="1:42" ht="22.5" customHeight="1">
      <c r="A258" s="8"/>
      <c r="B258" s="9" t="s">
        <v>27</v>
      </c>
      <c r="C258" s="10">
        <v>1</v>
      </c>
      <c r="D258" s="10"/>
      <c r="E258" s="10">
        <v>0</v>
      </c>
      <c r="F258" s="10"/>
      <c r="G258" s="10">
        <f t="shared" si="6"/>
        <v>1</v>
      </c>
      <c r="H258" s="9"/>
      <c r="I258" s="10">
        <v>1</v>
      </c>
      <c r="J258" s="10">
        <f t="shared" si="7"/>
        <v>1</v>
      </c>
      <c r="K258" s="9">
        <f t="shared" si="8"/>
        <v>0</v>
      </c>
      <c r="L258" s="11" t="s">
        <v>138</v>
      </c>
      <c r="M258" s="11" t="s">
        <v>484</v>
      </c>
      <c r="N258" s="12" t="str">
        <f t="shared" si="9"/>
        <v>Imaging|Thorlabs|ST1XY-A</v>
      </c>
      <c r="O258" s="12">
        <f t="shared" si="10"/>
        <v>1</v>
      </c>
      <c r="P258" s="12"/>
      <c r="Q258" s="12"/>
      <c r="R258" s="13"/>
      <c r="S258" s="13"/>
      <c r="T258" s="13"/>
      <c r="U258" s="11" t="s">
        <v>43</v>
      </c>
      <c r="V258" s="11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  <c r="AO258" s="14"/>
      <c r="AP258" s="14"/>
    </row>
    <row r="259" spans="1:42" ht="22.5" customHeight="1">
      <c r="A259" s="8"/>
      <c r="B259" s="9" t="s">
        <v>31</v>
      </c>
      <c r="C259" s="10">
        <v>1</v>
      </c>
      <c r="D259" s="10"/>
      <c r="E259" s="10">
        <v>1</v>
      </c>
      <c r="F259" s="10"/>
      <c r="G259" s="10">
        <f t="shared" si="6"/>
        <v>0</v>
      </c>
      <c r="H259" s="9"/>
      <c r="I259" s="10">
        <v>1</v>
      </c>
      <c r="J259" s="10">
        <f t="shared" si="7"/>
        <v>0</v>
      </c>
      <c r="K259" s="9">
        <f t="shared" si="8"/>
        <v>0</v>
      </c>
      <c r="L259" s="11" t="s">
        <v>138</v>
      </c>
      <c r="M259" s="11" t="s">
        <v>486</v>
      </c>
      <c r="N259" s="12" t="str">
        <f t="shared" si="9"/>
        <v>Illumination|Thorlabs|ST1XY-D</v>
      </c>
      <c r="O259" s="12">
        <f t="shared" si="10"/>
        <v>1</v>
      </c>
      <c r="P259" s="12" t="s">
        <v>38</v>
      </c>
      <c r="Q259" s="12"/>
      <c r="R259" s="13" t="s">
        <v>138</v>
      </c>
      <c r="S259" s="13" t="s">
        <v>486</v>
      </c>
      <c r="T259" s="13" t="s">
        <v>487</v>
      </c>
      <c r="U259" s="11" t="s">
        <v>26</v>
      </c>
      <c r="V259" s="11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  <c r="AO259" s="14"/>
      <c r="AP259" s="14"/>
    </row>
    <row r="260" spans="1:42" ht="22.5" customHeight="1">
      <c r="A260" s="8"/>
      <c r="B260" s="9"/>
      <c r="C260" s="10"/>
      <c r="D260" s="10"/>
      <c r="E260" s="10"/>
      <c r="F260" s="10"/>
      <c r="G260" s="10">
        <f t="shared" si="6"/>
        <v>0</v>
      </c>
      <c r="H260" s="9"/>
      <c r="I260" s="10">
        <v>1</v>
      </c>
      <c r="J260" s="10">
        <f t="shared" si="7"/>
        <v>0</v>
      </c>
      <c r="K260" s="9">
        <f t="shared" si="8"/>
        <v>0</v>
      </c>
      <c r="L260" s="11" t="s">
        <v>138</v>
      </c>
      <c r="M260" s="11" t="s">
        <v>488</v>
      </c>
      <c r="N260" s="12" t="str">
        <f t="shared" si="9"/>
        <v>|Thorlabs|TCH002</v>
      </c>
      <c r="O260" s="12">
        <f t="shared" si="10"/>
        <v>1</v>
      </c>
      <c r="P260" s="12"/>
      <c r="Q260" s="12"/>
      <c r="R260" s="13" t="s">
        <v>138</v>
      </c>
      <c r="S260" s="13" t="s">
        <v>488</v>
      </c>
      <c r="T260" s="13" t="s">
        <v>489</v>
      </c>
      <c r="U260" s="15" t="s">
        <v>490</v>
      </c>
      <c r="V260" s="11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  <c r="AO260" s="14"/>
      <c r="AP260" s="14"/>
    </row>
    <row r="261" spans="1:42" ht="22.5" customHeight="1">
      <c r="A261" s="8"/>
      <c r="B261" s="9"/>
      <c r="C261" s="10"/>
      <c r="D261" s="10"/>
      <c r="E261" s="10">
        <v>2</v>
      </c>
      <c r="F261" s="10"/>
      <c r="G261" s="10">
        <f t="shared" si="6"/>
        <v>0</v>
      </c>
      <c r="H261" s="9"/>
      <c r="I261" s="10">
        <v>1</v>
      </c>
      <c r="J261" s="10">
        <f t="shared" si="7"/>
        <v>0</v>
      </c>
      <c r="K261" s="9">
        <f t="shared" si="8"/>
        <v>0</v>
      </c>
      <c r="L261" s="11" t="s">
        <v>138</v>
      </c>
      <c r="M261" s="11" t="s">
        <v>491</v>
      </c>
      <c r="N261" s="12" t="str">
        <f t="shared" si="9"/>
        <v>|Thorlabs|TDC001</v>
      </c>
      <c r="O261" s="12">
        <f t="shared" si="10"/>
        <v>1</v>
      </c>
      <c r="P261" s="12" t="s">
        <v>279</v>
      </c>
      <c r="Q261" s="12"/>
      <c r="R261" s="13" t="s">
        <v>138</v>
      </c>
      <c r="S261" s="17" t="s">
        <v>491</v>
      </c>
      <c r="T261" s="13" t="s">
        <v>492</v>
      </c>
      <c r="U261" s="15" t="s">
        <v>493</v>
      </c>
      <c r="V261" s="11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  <c r="AO261" s="14"/>
      <c r="AP261" s="14"/>
    </row>
    <row r="262" spans="1:42" ht="22.5" customHeight="1">
      <c r="A262" s="8"/>
      <c r="B262" s="9"/>
      <c r="C262" s="10"/>
      <c r="D262" s="10"/>
      <c r="E262" s="10"/>
      <c r="F262" s="10"/>
      <c r="G262" s="10">
        <f t="shared" si="6"/>
        <v>0</v>
      </c>
      <c r="H262" s="9"/>
      <c r="I262" s="10">
        <v>1</v>
      </c>
      <c r="J262" s="10">
        <f t="shared" si="7"/>
        <v>0</v>
      </c>
      <c r="K262" s="9">
        <f t="shared" si="8"/>
        <v>0</v>
      </c>
      <c r="L262" s="11" t="s">
        <v>138</v>
      </c>
      <c r="M262" s="11" t="s">
        <v>494</v>
      </c>
      <c r="N262" s="12" t="str">
        <f t="shared" si="9"/>
        <v>|Thorlabs|TH075</v>
      </c>
      <c r="O262" s="12">
        <f t="shared" si="10"/>
        <v>1</v>
      </c>
      <c r="P262" s="12" t="s">
        <v>38</v>
      </c>
      <c r="Q262" s="12" t="s">
        <v>331</v>
      </c>
      <c r="R262" s="13" t="s">
        <v>138</v>
      </c>
      <c r="S262" s="13" t="s">
        <v>494</v>
      </c>
      <c r="T262" s="13"/>
      <c r="U262" s="11"/>
      <c r="V262" s="9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  <c r="AO262" s="14"/>
      <c r="AP262" s="14"/>
    </row>
    <row r="263" spans="1:42" ht="22.5" customHeight="1">
      <c r="A263" s="8"/>
      <c r="B263" s="9" t="s">
        <v>27</v>
      </c>
      <c r="C263" s="10">
        <v>5</v>
      </c>
      <c r="D263" s="10">
        <v>3</v>
      </c>
      <c r="E263" s="10">
        <v>0</v>
      </c>
      <c r="F263" s="10"/>
      <c r="G263" s="10">
        <f t="shared" si="6"/>
        <v>8</v>
      </c>
      <c r="H263" s="9"/>
      <c r="I263" s="10">
        <v>1</v>
      </c>
      <c r="J263" s="10">
        <f t="shared" si="7"/>
        <v>8</v>
      </c>
      <c r="K263" s="9">
        <f t="shared" si="8"/>
        <v>0</v>
      </c>
      <c r="L263" s="11" t="s">
        <v>138</v>
      </c>
      <c r="M263" s="11" t="s">
        <v>494</v>
      </c>
      <c r="N263" s="12" t="str">
        <f t="shared" si="9"/>
        <v>Imaging|Thorlabs|TH075</v>
      </c>
      <c r="O263" s="12">
        <f t="shared" si="10"/>
        <v>1</v>
      </c>
      <c r="P263" s="12"/>
      <c r="Q263" s="12"/>
      <c r="R263" s="13"/>
      <c r="S263" s="13"/>
      <c r="T263" s="13"/>
      <c r="U263" s="11" t="s">
        <v>43</v>
      </c>
      <c r="V263" s="11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14"/>
      <c r="AP263" s="14"/>
    </row>
    <row r="264" spans="1:42" ht="22.5" customHeight="1">
      <c r="A264" s="8"/>
      <c r="B264" s="9"/>
      <c r="C264" s="10"/>
      <c r="D264" s="10"/>
      <c r="E264" s="10"/>
      <c r="F264" s="10"/>
      <c r="G264" s="10">
        <f t="shared" si="6"/>
        <v>0</v>
      </c>
      <c r="H264" s="9"/>
      <c r="I264" s="10">
        <v>1</v>
      </c>
      <c r="J264" s="10">
        <f t="shared" si="7"/>
        <v>0</v>
      </c>
      <c r="K264" s="9">
        <f t="shared" si="8"/>
        <v>0</v>
      </c>
      <c r="L264" s="11" t="s">
        <v>138</v>
      </c>
      <c r="M264" s="11" t="s">
        <v>495</v>
      </c>
      <c r="N264" s="12" t="str">
        <f t="shared" si="9"/>
        <v>|Thorlabs|TL4X-SAP</v>
      </c>
      <c r="O264" s="12">
        <f t="shared" si="10"/>
        <v>1</v>
      </c>
      <c r="P264" s="12" t="s">
        <v>38</v>
      </c>
      <c r="Q264" s="12" t="s">
        <v>81</v>
      </c>
      <c r="R264" s="13" t="s">
        <v>138</v>
      </c>
      <c r="S264" s="13" t="s">
        <v>495</v>
      </c>
      <c r="T264" s="13"/>
      <c r="U264" s="11"/>
      <c r="V264" s="9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  <c r="AO264" s="14"/>
      <c r="AP264" s="14"/>
    </row>
    <row r="265" spans="1:42" ht="22.5" customHeight="1">
      <c r="A265" s="8"/>
      <c r="B265" s="9" t="s">
        <v>31</v>
      </c>
      <c r="C265" s="10">
        <v>2</v>
      </c>
      <c r="D265" s="10"/>
      <c r="E265" s="10">
        <v>2</v>
      </c>
      <c r="F265" s="10"/>
      <c r="G265" s="10">
        <f t="shared" si="6"/>
        <v>0</v>
      </c>
      <c r="H265" s="9"/>
      <c r="I265" s="10">
        <v>1</v>
      </c>
      <c r="J265" s="10">
        <f t="shared" si="7"/>
        <v>0</v>
      </c>
      <c r="K265" s="9">
        <f t="shared" si="8"/>
        <v>0</v>
      </c>
      <c r="L265" s="11" t="s">
        <v>138</v>
      </c>
      <c r="M265" s="11" t="s">
        <v>496</v>
      </c>
      <c r="N265" s="12" t="str">
        <f t="shared" si="9"/>
        <v>Illumination|Thorlabs|TR075</v>
      </c>
      <c r="O265" s="12">
        <f t="shared" si="10"/>
        <v>1</v>
      </c>
      <c r="P265" s="12" t="s">
        <v>38</v>
      </c>
      <c r="Q265" s="12"/>
      <c r="R265" s="13" t="s">
        <v>138</v>
      </c>
      <c r="S265" s="13" t="s">
        <v>496</v>
      </c>
      <c r="T265" s="13" t="s">
        <v>497</v>
      </c>
      <c r="U265" s="11" t="s">
        <v>26</v>
      </c>
      <c r="V265" s="11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  <c r="AO265" s="14"/>
      <c r="AP265" s="14"/>
    </row>
    <row r="266" spans="1:42" ht="22.5" customHeight="1">
      <c r="A266" s="8"/>
      <c r="B266" s="9" t="s">
        <v>27</v>
      </c>
      <c r="C266" s="10">
        <v>3</v>
      </c>
      <c r="D266" s="10"/>
      <c r="E266" s="10">
        <v>2</v>
      </c>
      <c r="F266" s="10"/>
      <c r="G266" s="10">
        <f t="shared" si="6"/>
        <v>1</v>
      </c>
      <c r="H266" s="9"/>
      <c r="I266" s="10">
        <v>1</v>
      </c>
      <c r="J266" s="10">
        <f t="shared" si="7"/>
        <v>1</v>
      </c>
      <c r="K266" s="9">
        <f t="shared" si="8"/>
        <v>0</v>
      </c>
      <c r="L266" s="11" t="s">
        <v>138</v>
      </c>
      <c r="M266" s="11" t="s">
        <v>496</v>
      </c>
      <c r="N266" s="12" t="str">
        <f t="shared" si="9"/>
        <v>Imaging|Thorlabs|TR075</v>
      </c>
      <c r="O266" s="12">
        <f t="shared" si="10"/>
        <v>1</v>
      </c>
      <c r="P266" s="12"/>
      <c r="Q266" s="12"/>
      <c r="R266" s="13"/>
      <c r="S266" s="13"/>
      <c r="T266" s="13"/>
      <c r="U266" s="11" t="s">
        <v>43</v>
      </c>
      <c r="V266" s="11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  <c r="AO266" s="14"/>
      <c r="AP266" s="14"/>
    </row>
    <row r="267" spans="1:42" ht="22.5" customHeight="1">
      <c r="A267" s="8"/>
      <c r="B267" s="9" t="s">
        <v>31</v>
      </c>
      <c r="C267" s="10">
        <v>1</v>
      </c>
      <c r="D267" s="10"/>
      <c r="E267" s="10">
        <v>1</v>
      </c>
      <c r="F267" s="10"/>
      <c r="G267" s="10">
        <f t="shared" si="6"/>
        <v>0</v>
      </c>
      <c r="H267" s="9"/>
      <c r="I267" s="10">
        <v>1</v>
      </c>
      <c r="J267" s="10">
        <f t="shared" si="7"/>
        <v>0</v>
      </c>
      <c r="K267" s="9">
        <f t="shared" si="8"/>
        <v>0</v>
      </c>
      <c r="L267" s="11" t="s">
        <v>138</v>
      </c>
      <c r="M267" s="11" t="s">
        <v>498</v>
      </c>
      <c r="N267" s="12" t="str">
        <f t="shared" si="9"/>
        <v>Illumination|Thorlabs|TR1</v>
      </c>
      <c r="O267" s="12">
        <f t="shared" si="10"/>
        <v>1</v>
      </c>
      <c r="P267" s="12" t="s">
        <v>38</v>
      </c>
      <c r="Q267" s="12"/>
      <c r="R267" s="13" t="s">
        <v>138</v>
      </c>
      <c r="S267" s="13" t="s">
        <v>498</v>
      </c>
      <c r="T267" s="13" t="s">
        <v>499</v>
      </c>
      <c r="U267" s="15" t="s">
        <v>500</v>
      </c>
      <c r="V267" s="11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  <c r="AO267" s="14"/>
      <c r="AP267" s="14"/>
    </row>
    <row r="268" spans="1:42" ht="22.5" customHeight="1">
      <c r="A268" s="8"/>
      <c r="B268" s="9" t="s">
        <v>27</v>
      </c>
      <c r="C268" s="10">
        <v>7</v>
      </c>
      <c r="D268" s="10"/>
      <c r="E268" s="10">
        <v>0</v>
      </c>
      <c r="F268" s="10"/>
      <c r="G268" s="10">
        <f t="shared" si="6"/>
        <v>7</v>
      </c>
      <c r="H268" s="9"/>
      <c r="I268" s="10">
        <v>1</v>
      </c>
      <c r="J268" s="10">
        <f t="shared" si="7"/>
        <v>7</v>
      </c>
      <c r="K268" s="9">
        <f t="shared" si="8"/>
        <v>0</v>
      </c>
      <c r="L268" s="11" t="s">
        <v>138</v>
      </c>
      <c r="M268" s="11" t="s">
        <v>498</v>
      </c>
      <c r="N268" s="12" t="str">
        <f t="shared" si="9"/>
        <v>Imaging|Thorlabs|TR1</v>
      </c>
      <c r="O268" s="12">
        <f t="shared" si="10"/>
        <v>1</v>
      </c>
      <c r="P268" s="12"/>
      <c r="Q268" s="12"/>
      <c r="R268" s="13"/>
      <c r="S268" s="13"/>
      <c r="T268" s="13"/>
      <c r="U268" s="11" t="s">
        <v>43</v>
      </c>
      <c r="V268" s="11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  <c r="AO268" s="14"/>
      <c r="AP268" s="14"/>
    </row>
    <row r="269" spans="1:42" ht="22.5" customHeight="1">
      <c r="A269" s="8"/>
      <c r="B269" s="9" t="s">
        <v>27</v>
      </c>
      <c r="C269" s="10">
        <v>1</v>
      </c>
      <c r="D269" s="10"/>
      <c r="E269" s="10">
        <v>0</v>
      </c>
      <c r="F269" s="10"/>
      <c r="G269" s="10">
        <f t="shared" si="6"/>
        <v>1</v>
      </c>
      <c r="H269" s="9"/>
      <c r="I269" s="10">
        <v>1</v>
      </c>
      <c r="J269" s="10">
        <f t="shared" si="7"/>
        <v>1</v>
      </c>
      <c r="K269" s="9">
        <f t="shared" si="8"/>
        <v>0</v>
      </c>
      <c r="L269" s="11" t="s">
        <v>138</v>
      </c>
      <c r="M269" s="11" t="s">
        <v>501</v>
      </c>
      <c r="N269" s="12" t="str">
        <f t="shared" si="9"/>
        <v>Imaging|Thorlabs|TR1.5</v>
      </c>
      <c r="O269" s="12">
        <f t="shared" si="10"/>
        <v>1</v>
      </c>
      <c r="P269" s="12"/>
      <c r="Q269" s="12"/>
      <c r="R269" s="13"/>
      <c r="S269" s="13"/>
      <c r="T269" s="13"/>
      <c r="U269" s="11" t="s">
        <v>43</v>
      </c>
      <c r="V269" s="11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  <c r="AO269" s="14"/>
      <c r="AP269" s="14"/>
    </row>
    <row r="270" spans="1:42" ht="22.5" customHeight="1">
      <c r="A270" s="8"/>
      <c r="B270" s="9" t="s">
        <v>31</v>
      </c>
      <c r="C270" s="10">
        <v>2</v>
      </c>
      <c r="D270" s="10"/>
      <c r="E270" s="10">
        <v>2</v>
      </c>
      <c r="F270" s="10"/>
      <c r="G270" s="10">
        <f t="shared" si="6"/>
        <v>0</v>
      </c>
      <c r="H270" s="9"/>
      <c r="I270" s="10">
        <v>1</v>
      </c>
      <c r="J270" s="10">
        <f t="shared" si="7"/>
        <v>0</v>
      </c>
      <c r="K270" s="9">
        <f t="shared" si="8"/>
        <v>0</v>
      </c>
      <c r="L270" s="11" t="s">
        <v>138</v>
      </c>
      <c r="M270" s="11" t="s">
        <v>502</v>
      </c>
      <c r="N270" s="12" t="str">
        <f t="shared" si="9"/>
        <v>Illumination|Thorlabs|TR2</v>
      </c>
      <c r="O270" s="12">
        <f t="shared" si="10"/>
        <v>1</v>
      </c>
      <c r="P270" s="12" t="s">
        <v>38</v>
      </c>
      <c r="Q270" s="12"/>
      <c r="R270" s="13" t="s">
        <v>138</v>
      </c>
      <c r="S270" s="13" t="s">
        <v>502</v>
      </c>
      <c r="T270" s="13" t="s">
        <v>503</v>
      </c>
      <c r="U270" s="15" t="s">
        <v>504</v>
      </c>
      <c r="V270" s="11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  <c r="AO270" s="14"/>
      <c r="AP270" s="14"/>
    </row>
    <row r="271" spans="1:42" ht="22.5" customHeight="1">
      <c r="A271" s="8"/>
      <c r="B271" s="9" t="s">
        <v>31</v>
      </c>
      <c r="C271" s="10">
        <v>5</v>
      </c>
      <c r="D271" s="10"/>
      <c r="E271" s="10">
        <v>5</v>
      </c>
      <c r="F271" s="10"/>
      <c r="G271" s="10">
        <f t="shared" si="6"/>
        <v>0</v>
      </c>
      <c r="H271" s="9"/>
      <c r="I271" s="10">
        <v>1</v>
      </c>
      <c r="J271" s="10">
        <f t="shared" si="7"/>
        <v>0</v>
      </c>
      <c r="K271" s="9">
        <f t="shared" si="8"/>
        <v>0</v>
      </c>
      <c r="L271" s="11" t="s">
        <v>138</v>
      </c>
      <c r="M271" s="11" t="s">
        <v>505</v>
      </c>
      <c r="N271" s="12" t="str">
        <f t="shared" si="9"/>
        <v>Illumination|Thorlabs|TR3</v>
      </c>
      <c r="O271" s="12">
        <f t="shared" si="10"/>
        <v>1</v>
      </c>
      <c r="P271" s="12" t="s">
        <v>38</v>
      </c>
      <c r="Q271" s="12"/>
      <c r="R271" s="13" t="s">
        <v>138</v>
      </c>
      <c r="S271" s="13" t="s">
        <v>505</v>
      </c>
      <c r="T271" s="13" t="s">
        <v>506</v>
      </c>
      <c r="U271" s="11" t="s">
        <v>26</v>
      </c>
      <c r="V271" s="11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  <c r="AO271" s="14"/>
      <c r="AP271" s="14"/>
    </row>
    <row r="272" spans="1:42" ht="22.5" customHeight="1">
      <c r="A272" s="8"/>
      <c r="B272" s="9" t="s">
        <v>27</v>
      </c>
      <c r="C272" s="10">
        <v>1</v>
      </c>
      <c r="D272" s="10"/>
      <c r="E272" s="10">
        <v>0</v>
      </c>
      <c r="F272" s="10"/>
      <c r="G272" s="10">
        <f t="shared" si="6"/>
        <v>1</v>
      </c>
      <c r="H272" s="9"/>
      <c r="I272" s="10">
        <v>1</v>
      </c>
      <c r="J272" s="10">
        <f t="shared" si="7"/>
        <v>1</v>
      </c>
      <c r="K272" s="9">
        <f t="shared" si="8"/>
        <v>0</v>
      </c>
      <c r="L272" s="11" t="s">
        <v>138</v>
      </c>
      <c r="M272" s="11" t="s">
        <v>505</v>
      </c>
      <c r="N272" s="12" t="str">
        <f t="shared" si="9"/>
        <v>Imaging|Thorlabs|TR3</v>
      </c>
      <c r="O272" s="12">
        <f t="shared" si="10"/>
        <v>1</v>
      </c>
      <c r="P272" s="12"/>
      <c r="Q272" s="12"/>
      <c r="R272" s="13"/>
      <c r="S272" s="13"/>
      <c r="T272" s="13"/>
      <c r="U272" s="11" t="s">
        <v>43</v>
      </c>
      <c r="V272" s="11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  <c r="AO272" s="14"/>
      <c r="AP272" s="14"/>
    </row>
    <row r="273" spans="1:42" ht="22.5" customHeight="1">
      <c r="A273" s="8"/>
      <c r="B273" s="9" t="s">
        <v>31</v>
      </c>
      <c r="C273" s="10">
        <v>1</v>
      </c>
      <c r="D273" s="10"/>
      <c r="E273" s="10">
        <v>1</v>
      </c>
      <c r="F273" s="10"/>
      <c r="G273" s="10">
        <f t="shared" si="6"/>
        <v>0</v>
      </c>
      <c r="H273" s="9"/>
      <c r="I273" s="10">
        <v>1</v>
      </c>
      <c r="J273" s="10">
        <f t="shared" si="7"/>
        <v>0</v>
      </c>
      <c r="K273" s="9">
        <f t="shared" si="8"/>
        <v>0</v>
      </c>
      <c r="L273" s="11" t="s">
        <v>138</v>
      </c>
      <c r="M273" s="11" t="s">
        <v>507</v>
      </c>
      <c r="N273" s="12" t="str">
        <f t="shared" si="9"/>
        <v>Illumination|Thorlabs|TR4</v>
      </c>
      <c r="O273" s="12">
        <f t="shared" si="10"/>
        <v>1</v>
      </c>
      <c r="P273" s="12" t="s">
        <v>38</v>
      </c>
      <c r="Q273" s="12"/>
      <c r="R273" s="13" t="s">
        <v>138</v>
      </c>
      <c r="S273" s="13" t="s">
        <v>507</v>
      </c>
      <c r="T273" s="13" t="s">
        <v>508</v>
      </c>
      <c r="U273" s="11" t="s">
        <v>26</v>
      </c>
      <c r="V273" s="11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  <c r="AO273" s="14"/>
      <c r="AP273" s="14"/>
    </row>
    <row r="274" spans="1:42" ht="22.5" customHeight="1">
      <c r="A274" s="8"/>
      <c r="B274" s="9" t="s">
        <v>22</v>
      </c>
      <c r="C274" s="10">
        <v>3</v>
      </c>
      <c r="D274" s="10"/>
      <c r="E274" s="10">
        <v>3</v>
      </c>
      <c r="F274" s="10"/>
      <c r="G274" s="10">
        <f t="shared" si="6"/>
        <v>0</v>
      </c>
      <c r="H274" s="9"/>
      <c r="I274" s="10">
        <v>1</v>
      </c>
      <c r="J274" s="10">
        <f t="shared" si="7"/>
        <v>0</v>
      </c>
      <c r="K274" s="9">
        <f t="shared" si="8"/>
        <v>0</v>
      </c>
      <c r="L274" s="11" t="s">
        <v>138</v>
      </c>
      <c r="M274" s="11" t="s">
        <v>507</v>
      </c>
      <c r="N274" s="12" t="str">
        <f t="shared" si="9"/>
        <v>Sample Hold|Thorlabs|TR4</v>
      </c>
      <c r="O274" s="12">
        <f t="shared" si="10"/>
        <v>1</v>
      </c>
      <c r="P274" s="12" t="s">
        <v>38</v>
      </c>
      <c r="Q274" s="12"/>
      <c r="R274" s="13" t="s">
        <v>138</v>
      </c>
      <c r="S274" s="13" t="s">
        <v>507</v>
      </c>
      <c r="T274" s="13" t="s">
        <v>508</v>
      </c>
      <c r="U274" s="11" t="s">
        <v>26</v>
      </c>
      <c r="V274" s="11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  <c r="AO274" s="14"/>
      <c r="AP274" s="14"/>
    </row>
    <row r="275" spans="1:42" ht="22.5" customHeight="1">
      <c r="A275" s="8"/>
      <c r="B275" s="9" t="s">
        <v>27</v>
      </c>
      <c r="C275" s="10">
        <v>4</v>
      </c>
      <c r="D275" s="10">
        <v>1</v>
      </c>
      <c r="E275" s="10">
        <v>0</v>
      </c>
      <c r="F275" s="10"/>
      <c r="G275" s="10">
        <f t="shared" si="6"/>
        <v>5</v>
      </c>
      <c r="H275" s="9"/>
      <c r="I275" s="10">
        <v>1</v>
      </c>
      <c r="J275" s="10">
        <f t="shared" si="7"/>
        <v>5</v>
      </c>
      <c r="K275" s="9">
        <f t="shared" si="8"/>
        <v>0</v>
      </c>
      <c r="L275" s="11" t="s">
        <v>138</v>
      </c>
      <c r="M275" s="11" t="s">
        <v>509</v>
      </c>
      <c r="N275" s="12" t="str">
        <f t="shared" si="9"/>
        <v>Imaging|Thorlabs|TR40/M</v>
      </c>
      <c r="O275" s="12">
        <f t="shared" si="10"/>
        <v>1</v>
      </c>
      <c r="P275" s="12"/>
      <c r="Q275" s="12"/>
      <c r="R275" s="13"/>
      <c r="S275" s="13"/>
      <c r="T275" s="13"/>
      <c r="U275" s="11" t="s">
        <v>43</v>
      </c>
      <c r="V275" s="11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  <c r="AO275" s="14"/>
      <c r="AP275" s="14"/>
    </row>
    <row r="276" spans="1:42" ht="22.5" customHeight="1">
      <c r="A276" s="8"/>
      <c r="B276" s="9" t="s">
        <v>31</v>
      </c>
      <c r="C276" s="10">
        <v>2</v>
      </c>
      <c r="D276" s="10"/>
      <c r="E276" s="10">
        <v>2</v>
      </c>
      <c r="F276" s="10"/>
      <c r="G276" s="10">
        <f t="shared" si="6"/>
        <v>0</v>
      </c>
      <c r="H276" s="9"/>
      <c r="I276" s="10">
        <v>1</v>
      </c>
      <c r="J276" s="10">
        <f t="shared" si="7"/>
        <v>0</v>
      </c>
      <c r="K276" s="9">
        <f t="shared" si="8"/>
        <v>0</v>
      </c>
      <c r="L276" s="11" t="s">
        <v>138</v>
      </c>
      <c r="M276" s="11" t="s">
        <v>510</v>
      </c>
      <c r="N276" s="12" t="str">
        <f t="shared" si="9"/>
        <v>Illumination|Thorlabs|TR6</v>
      </c>
      <c r="O276" s="12">
        <f t="shared" si="10"/>
        <v>1</v>
      </c>
      <c r="P276" s="12" t="s">
        <v>38</v>
      </c>
      <c r="Q276" s="12"/>
      <c r="R276" s="13" t="s">
        <v>138</v>
      </c>
      <c r="S276" s="13" t="s">
        <v>510</v>
      </c>
      <c r="T276" s="13" t="s">
        <v>511</v>
      </c>
      <c r="U276" s="11" t="s">
        <v>26</v>
      </c>
      <c r="V276" s="11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  <c r="AO276" s="14"/>
      <c r="AP276" s="14"/>
    </row>
    <row r="277" spans="1:42" ht="22.5" customHeight="1">
      <c r="A277" s="8"/>
      <c r="B277" s="9" t="s">
        <v>31</v>
      </c>
      <c r="C277" s="10">
        <v>2</v>
      </c>
      <c r="D277" s="10"/>
      <c r="E277" s="10">
        <v>2</v>
      </c>
      <c r="F277" s="10"/>
      <c r="G277" s="10">
        <f t="shared" si="6"/>
        <v>0</v>
      </c>
      <c r="H277" s="9"/>
      <c r="I277" s="10">
        <v>1</v>
      </c>
      <c r="J277" s="10">
        <f t="shared" si="7"/>
        <v>0</v>
      </c>
      <c r="K277" s="9">
        <f t="shared" si="8"/>
        <v>0</v>
      </c>
      <c r="L277" s="11" t="s">
        <v>138</v>
      </c>
      <c r="M277" s="11" t="s">
        <v>512</v>
      </c>
      <c r="N277" s="12" t="str">
        <f t="shared" si="9"/>
        <v>Illumination|Thorlabs|TR8</v>
      </c>
      <c r="O277" s="12">
        <f t="shared" si="10"/>
        <v>1</v>
      </c>
      <c r="P277" s="12" t="s">
        <v>38</v>
      </c>
      <c r="Q277" s="12"/>
      <c r="R277" s="13" t="s">
        <v>138</v>
      </c>
      <c r="S277" s="13" t="s">
        <v>512</v>
      </c>
      <c r="T277" s="13" t="s">
        <v>513</v>
      </c>
      <c r="U277" s="11" t="s">
        <v>26</v>
      </c>
      <c r="V277" s="11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  <c r="AO277" s="14"/>
      <c r="AP277" s="14"/>
    </row>
    <row r="278" spans="1:42" ht="22.5" customHeight="1">
      <c r="A278" s="8"/>
      <c r="B278" s="9" t="s">
        <v>27</v>
      </c>
      <c r="C278" s="10">
        <v>6</v>
      </c>
      <c r="D278" s="10"/>
      <c r="E278" s="10">
        <v>0</v>
      </c>
      <c r="F278" s="10"/>
      <c r="G278" s="10">
        <f t="shared" si="6"/>
        <v>10</v>
      </c>
      <c r="H278" s="9"/>
      <c r="I278" s="10">
        <v>5</v>
      </c>
      <c r="J278" s="10">
        <f t="shared" si="7"/>
        <v>2</v>
      </c>
      <c r="K278" s="9">
        <f t="shared" si="8"/>
        <v>0</v>
      </c>
      <c r="L278" s="11" t="s">
        <v>138</v>
      </c>
      <c r="M278" s="11" t="s">
        <v>514</v>
      </c>
      <c r="N278" s="12" t="str">
        <f t="shared" si="9"/>
        <v>Imaging|Thorlabs|TR3M</v>
      </c>
      <c r="O278" s="12">
        <f t="shared" si="10"/>
        <v>1</v>
      </c>
      <c r="P278" s="12"/>
      <c r="Q278" s="12"/>
      <c r="R278" s="13"/>
      <c r="S278" s="13"/>
      <c r="T278" s="13"/>
      <c r="U278" s="11" t="s">
        <v>43</v>
      </c>
      <c r="V278" s="11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  <c r="AO278" s="14"/>
      <c r="AP278" s="14"/>
    </row>
    <row r="279" spans="1:42" ht="22.5" customHeight="1">
      <c r="A279" s="8"/>
      <c r="B279" s="9" t="s">
        <v>27</v>
      </c>
      <c r="C279" s="10">
        <v>1</v>
      </c>
      <c r="D279" s="10"/>
      <c r="E279" s="10">
        <v>1</v>
      </c>
      <c r="F279" s="10"/>
      <c r="G279" s="10">
        <f t="shared" si="6"/>
        <v>0</v>
      </c>
      <c r="H279" s="9"/>
      <c r="I279" s="10">
        <v>1</v>
      </c>
      <c r="J279" s="10">
        <f t="shared" si="7"/>
        <v>0</v>
      </c>
      <c r="K279" s="9">
        <f t="shared" si="8"/>
        <v>0</v>
      </c>
      <c r="L279" s="11" t="s">
        <v>138</v>
      </c>
      <c r="M279" s="11" t="s">
        <v>515</v>
      </c>
      <c r="N279" s="12" t="str">
        <f t="shared" si="9"/>
        <v>Imaging|Thorlabs|TTL200-A</v>
      </c>
      <c r="O279" s="12">
        <f t="shared" si="10"/>
        <v>1</v>
      </c>
      <c r="P279" s="12"/>
      <c r="Q279" s="12"/>
      <c r="R279" s="13" t="s">
        <v>138</v>
      </c>
      <c r="S279" s="13" t="s">
        <v>515</v>
      </c>
      <c r="T279" s="13" t="s">
        <v>516</v>
      </c>
      <c r="U279" s="18" t="s">
        <v>517</v>
      </c>
      <c r="V279" s="11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  <c r="AO279" s="14"/>
      <c r="AP279" s="14"/>
    </row>
    <row r="280" spans="1:42" ht="22.5" customHeight="1">
      <c r="A280" s="8"/>
      <c r="B280" s="9" t="s">
        <v>27</v>
      </c>
      <c r="C280" s="10">
        <v>1</v>
      </c>
      <c r="D280" s="10"/>
      <c r="E280" s="10">
        <v>1</v>
      </c>
      <c r="F280" s="10"/>
      <c r="G280" s="10">
        <f t="shared" si="6"/>
        <v>0</v>
      </c>
      <c r="H280" s="9"/>
      <c r="I280" s="10">
        <v>1</v>
      </c>
      <c r="J280" s="10">
        <f t="shared" si="7"/>
        <v>0</v>
      </c>
      <c r="K280" s="9">
        <f t="shared" si="8"/>
        <v>0</v>
      </c>
      <c r="L280" s="11" t="s">
        <v>138</v>
      </c>
      <c r="M280" s="11" t="s">
        <v>518</v>
      </c>
      <c r="N280" s="12" t="str">
        <f t="shared" si="9"/>
        <v>Imaging|Thorlabs|TTL200MP</v>
      </c>
      <c r="O280" s="12">
        <f t="shared" si="10"/>
        <v>1</v>
      </c>
      <c r="P280" s="12" t="s">
        <v>38</v>
      </c>
      <c r="Q280" s="12" t="s">
        <v>331</v>
      </c>
      <c r="R280" s="13" t="s">
        <v>138</v>
      </c>
      <c r="S280" s="13" t="s">
        <v>518</v>
      </c>
      <c r="T280" s="13" t="s">
        <v>519</v>
      </c>
      <c r="U280" s="16" t="s">
        <v>520</v>
      </c>
      <c r="V280" s="11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  <c r="AO280" s="14"/>
      <c r="AP280" s="14"/>
    </row>
    <row r="281" spans="1:42" ht="22.5" customHeight="1">
      <c r="A281" s="22"/>
      <c r="B281" s="23" t="s">
        <v>27</v>
      </c>
      <c r="C281" s="24">
        <v>1</v>
      </c>
      <c r="D281" s="25"/>
      <c r="E281" s="24">
        <v>0</v>
      </c>
      <c r="F281" s="25"/>
      <c r="G281" s="26">
        <f t="shared" si="6"/>
        <v>1</v>
      </c>
      <c r="H281" s="25"/>
      <c r="I281" s="24">
        <v>1</v>
      </c>
      <c r="J281" s="24">
        <f t="shared" si="7"/>
        <v>1</v>
      </c>
      <c r="K281" s="27">
        <f t="shared" si="8"/>
        <v>0</v>
      </c>
      <c r="L281" s="28" t="s">
        <v>138</v>
      </c>
      <c r="M281" s="28" t="s">
        <v>521</v>
      </c>
      <c r="N281" s="29" t="str">
        <f t="shared" si="9"/>
        <v>Imaging|Thorlabs|TTL200MP2</v>
      </c>
      <c r="O281" s="30">
        <f t="shared" si="10"/>
        <v>1</v>
      </c>
      <c r="P281" s="31" t="s">
        <v>38</v>
      </c>
      <c r="Q281" s="29" t="s">
        <v>331</v>
      </c>
      <c r="R281" s="32" t="s">
        <v>138</v>
      </c>
      <c r="S281" s="32" t="s">
        <v>518</v>
      </c>
      <c r="T281" s="32" t="s">
        <v>522</v>
      </c>
      <c r="U281" s="33" t="s">
        <v>520</v>
      </c>
      <c r="V281" s="34"/>
      <c r="W281" s="35"/>
      <c r="X281" s="35"/>
      <c r="Y281" s="35"/>
      <c r="Z281" s="35"/>
      <c r="AA281" s="35"/>
      <c r="AB281" s="35"/>
      <c r="AC281" s="35"/>
      <c r="AD281" s="35"/>
      <c r="AE281" s="35"/>
      <c r="AF281" s="35"/>
      <c r="AG281" s="35"/>
      <c r="AH281" s="35"/>
      <c r="AI281" s="35"/>
      <c r="AJ281" s="35"/>
      <c r="AK281" s="35"/>
      <c r="AL281" s="35"/>
      <c r="AM281" s="35"/>
      <c r="AN281" s="35"/>
      <c r="AO281" s="35"/>
      <c r="AP281" s="35"/>
    </row>
    <row r="282" spans="1:42" ht="22.5" customHeight="1">
      <c r="A282" s="8"/>
      <c r="B282" s="9" t="s">
        <v>27</v>
      </c>
      <c r="C282" s="10">
        <v>1</v>
      </c>
      <c r="D282" s="10"/>
      <c r="E282" s="10">
        <v>1</v>
      </c>
      <c r="F282" s="10"/>
      <c r="G282" s="10">
        <f t="shared" si="6"/>
        <v>0</v>
      </c>
      <c r="H282" s="9"/>
      <c r="I282" s="10">
        <v>1</v>
      </c>
      <c r="J282" s="10">
        <f t="shared" si="7"/>
        <v>0</v>
      </c>
      <c r="K282" s="9">
        <f t="shared" si="8"/>
        <v>0</v>
      </c>
      <c r="L282" s="11" t="s">
        <v>138</v>
      </c>
      <c r="M282" s="11" t="s">
        <v>523</v>
      </c>
      <c r="N282" s="12" t="str">
        <f t="shared" si="9"/>
        <v>Imaging|Thorlabs|UBP2</v>
      </c>
      <c r="O282" s="12">
        <f t="shared" si="10"/>
        <v>1</v>
      </c>
      <c r="P282" s="12"/>
      <c r="Q282" s="12"/>
      <c r="R282" s="13"/>
      <c r="S282" s="13"/>
      <c r="T282" s="13"/>
      <c r="U282" s="11" t="s">
        <v>43</v>
      </c>
      <c r="V282" s="11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  <c r="AO282" s="14"/>
      <c r="AP282" s="14"/>
    </row>
    <row r="283" spans="1:42" ht="22.5" customHeight="1">
      <c r="A283" s="8"/>
      <c r="B283" s="9"/>
      <c r="C283" s="10"/>
      <c r="D283" s="10"/>
      <c r="E283" s="10"/>
      <c r="F283" s="10"/>
      <c r="G283" s="10">
        <f t="shared" ref="G283:G316" si="11">CEILING(MAX(C283-E283+D283-F283, 0)/I283,1)*I283</f>
        <v>0</v>
      </c>
      <c r="H283" s="9"/>
      <c r="I283" s="10">
        <v>1</v>
      </c>
      <c r="J283" s="10">
        <f t="shared" si="7"/>
        <v>0</v>
      </c>
      <c r="K283" s="9">
        <f t="shared" si="8"/>
        <v>0</v>
      </c>
      <c r="L283" s="11" t="s">
        <v>138</v>
      </c>
      <c r="M283" s="11" t="s">
        <v>524</v>
      </c>
      <c r="N283" s="12" t="str">
        <f t="shared" si="9"/>
        <v>|Thorlabs|UBP3</v>
      </c>
      <c r="O283" s="12">
        <f t="shared" si="10"/>
        <v>1</v>
      </c>
      <c r="P283" s="12" t="s">
        <v>38</v>
      </c>
      <c r="Q283" s="12" t="s">
        <v>331</v>
      </c>
      <c r="R283" s="13" t="s">
        <v>138</v>
      </c>
      <c r="S283" s="13" t="s">
        <v>524</v>
      </c>
      <c r="T283" s="13"/>
      <c r="U283" s="11"/>
      <c r="V283" s="9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  <c r="AO283" s="14"/>
      <c r="AP283" s="14"/>
    </row>
    <row r="284" spans="1:42" ht="22.5" customHeight="1">
      <c r="A284" s="8"/>
      <c r="B284" s="9"/>
      <c r="C284" s="10"/>
      <c r="D284" s="10"/>
      <c r="E284" s="10"/>
      <c r="F284" s="10"/>
      <c r="G284" s="10">
        <f t="shared" si="11"/>
        <v>0</v>
      </c>
      <c r="H284" s="9"/>
      <c r="I284" s="10">
        <v>1</v>
      </c>
      <c r="J284" s="10">
        <f t="shared" si="7"/>
        <v>0</v>
      </c>
      <c r="K284" s="9">
        <f t="shared" si="8"/>
        <v>0</v>
      </c>
      <c r="L284" s="11" t="s">
        <v>138</v>
      </c>
      <c r="M284" s="11" t="s">
        <v>525</v>
      </c>
      <c r="N284" s="12" t="str">
        <f t="shared" si="9"/>
        <v>|Thorlabs|UPH1</v>
      </c>
      <c r="O284" s="12">
        <f t="shared" si="10"/>
        <v>1</v>
      </c>
      <c r="P284" s="12" t="s">
        <v>38</v>
      </c>
      <c r="Q284" s="12" t="s">
        <v>331</v>
      </c>
      <c r="R284" s="13" t="s">
        <v>138</v>
      </c>
      <c r="S284" s="13" t="s">
        <v>525</v>
      </c>
      <c r="T284" s="13"/>
      <c r="U284" s="11"/>
      <c r="V284" s="9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  <c r="AO284" s="14"/>
      <c r="AP284" s="14"/>
    </row>
    <row r="285" spans="1:42" ht="22.5" customHeight="1">
      <c r="A285" s="8"/>
      <c r="B285" s="9" t="s">
        <v>27</v>
      </c>
      <c r="C285" s="10">
        <v>4</v>
      </c>
      <c r="D285" s="10"/>
      <c r="E285" s="10">
        <v>0</v>
      </c>
      <c r="F285" s="10"/>
      <c r="G285" s="10">
        <f t="shared" si="11"/>
        <v>4</v>
      </c>
      <c r="H285" s="9"/>
      <c r="I285" s="10">
        <v>1</v>
      </c>
      <c r="J285" s="10">
        <f t="shared" si="7"/>
        <v>4</v>
      </c>
      <c r="K285" s="9">
        <f t="shared" si="8"/>
        <v>0</v>
      </c>
      <c r="L285" s="11" t="s">
        <v>138</v>
      </c>
      <c r="M285" s="11" t="s">
        <v>526</v>
      </c>
      <c r="N285" s="12" t="str">
        <f t="shared" si="9"/>
        <v>Imaging|Thorlabs|UPH1.5</v>
      </c>
      <c r="O285" s="12">
        <f t="shared" si="10"/>
        <v>1</v>
      </c>
      <c r="P285" s="12"/>
      <c r="Q285" s="12"/>
      <c r="R285" s="13"/>
      <c r="S285" s="13"/>
      <c r="T285" s="13"/>
      <c r="U285" s="11" t="s">
        <v>43</v>
      </c>
      <c r="V285" s="11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  <c r="AO285" s="14"/>
      <c r="AP285" s="14"/>
    </row>
    <row r="286" spans="1:42" ht="22.5" customHeight="1">
      <c r="A286" s="8"/>
      <c r="B286" s="9"/>
      <c r="C286" s="10"/>
      <c r="D286" s="10"/>
      <c r="E286" s="10">
        <v>1</v>
      </c>
      <c r="F286" s="10"/>
      <c r="G286" s="10">
        <f t="shared" si="11"/>
        <v>0</v>
      </c>
      <c r="H286" s="9"/>
      <c r="I286" s="10">
        <v>1</v>
      </c>
      <c r="J286" s="10">
        <f t="shared" si="7"/>
        <v>0</v>
      </c>
      <c r="K286" s="9">
        <f t="shared" si="8"/>
        <v>0</v>
      </c>
      <c r="L286" s="11" t="s">
        <v>138</v>
      </c>
      <c r="M286" s="11" t="s">
        <v>527</v>
      </c>
      <c r="N286" s="12" t="str">
        <f t="shared" si="9"/>
        <v>|Thorlabs|UPHA</v>
      </c>
      <c r="O286" s="12">
        <f t="shared" si="10"/>
        <v>1</v>
      </c>
      <c r="P286" s="12" t="s">
        <v>38</v>
      </c>
      <c r="Q286" s="12"/>
      <c r="R286" s="13" t="s">
        <v>138</v>
      </c>
      <c r="S286" s="13" t="s">
        <v>527</v>
      </c>
      <c r="T286" s="13" t="s">
        <v>528</v>
      </c>
      <c r="U286" s="15" t="s">
        <v>529</v>
      </c>
      <c r="V286" s="11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  <c r="AO286" s="14"/>
      <c r="AP286" s="14"/>
    </row>
    <row r="287" spans="1:42" ht="22.5" customHeight="1">
      <c r="A287" s="8"/>
      <c r="B287" s="9" t="s">
        <v>31</v>
      </c>
      <c r="C287" s="10">
        <v>1</v>
      </c>
      <c r="D287" s="10"/>
      <c r="E287" s="10">
        <v>1</v>
      </c>
      <c r="F287" s="10"/>
      <c r="G287" s="10">
        <f t="shared" si="11"/>
        <v>0</v>
      </c>
      <c r="H287" s="9"/>
      <c r="I287" s="10">
        <v>1</v>
      </c>
      <c r="J287" s="10">
        <f t="shared" si="7"/>
        <v>0</v>
      </c>
      <c r="K287" s="9">
        <f t="shared" si="8"/>
        <v>0</v>
      </c>
      <c r="L287" s="11" t="s">
        <v>138</v>
      </c>
      <c r="M287" s="11" t="s">
        <v>530</v>
      </c>
      <c r="N287" s="12" t="str">
        <f t="shared" si="9"/>
        <v>Illumination|Thorlabs|VRC3CPT</v>
      </c>
      <c r="O287" s="12">
        <f t="shared" si="10"/>
        <v>1</v>
      </c>
      <c r="P287" s="12" t="s">
        <v>38</v>
      </c>
      <c r="Q287" s="12"/>
      <c r="R287" s="13" t="s">
        <v>138</v>
      </c>
      <c r="S287" s="13" t="s">
        <v>530</v>
      </c>
      <c r="T287" s="13" t="s">
        <v>531</v>
      </c>
      <c r="U287" s="11" t="s">
        <v>26</v>
      </c>
      <c r="V287" s="11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  <c r="AO287" s="14"/>
      <c r="AP287" s="14"/>
    </row>
    <row r="288" spans="1:42" ht="22.5" customHeight="1">
      <c r="A288" s="8"/>
      <c r="B288" s="9" t="s">
        <v>22</v>
      </c>
      <c r="C288" s="10">
        <v>1</v>
      </c>
      <c r="D288" s="10"/>
      <c r="E288" s="10">
        <v>1</v>
      </c>
      <c r="F288" s="10"/>
      <c r="G288" s="10">
        <f t="shared" si="11"/>
        <v>0</v>
      </c>
      <c r="H288" s="9"/>
      <c r="I288" s="10">
        <v>1</v>
      </c>
      <c r="J288" s="10">
        <f t="shared" si="7"/>
        <v>0</v>
      </c>
      <c r="K288" s="9">
        <f t="shared" si="8"/>
        <v>0</v>
      </c>
      <c r="L288" s="11" t="s">
        <v>138</v>
      </c>
      <c r="M288" s="11" t="s">
        <v>532</v>
      </c>
      <c r="N288" s="12" t="str">
        <f t="shared" si="9"/>
        <v>Sample Hold|Thorlabs|XRN-B1</v>
      </c>
      <c r="O288" s="12">
        <f t="shared" si="10"/>
        <v>1</v>
      </c>
      <c r="P288" s="12" t="s">
        <v>38</v>
      </c>
      <c r="Q288" s="12"/>
      <c r="R288" s="13" t="s">
        <v>138</v>
      </c>
      <c r="S288" s="13" t="s">
        <v>532</v>
      </c>
      <c r="T288" s="13" t="s">
        <v>533</v>
      </c>
      <c r="U288" s="11" t="s">
        <v>26</v>
      </c>
      <c r="V288" s="11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  <c r="AO288" s="14"/>
      <c r="AP288" s="14"/>
    </row>
    <row r="289" spans="1:42" ht="22.5" customHeight="1">
      <c r="A289" s="8"/>
      <c r="B289" s="9" t="s">
        <v>22</v>
      </c>
      <c r="C289" s="10">
        <v>2</v>
      </c>
      <c r="D289" s="10"/>
      <c r="E289" s="10">
        <v>2</v>
      </c>
      <c r="F289" s="10"/>
      <c r="G289" s="10">
        <f t="shared" si="11"/>
        <v>0</v>
      </c>
      <c r="H289" s="9"/>
      <c r="I289" s="10">
        <v>1</v>
      </c>
      <c r="J289" s="10">
        <f t="shared" si="7"/>
        <v>0</v>
      </c>
      <c r="K289" s="9">
        <f t="shared" si="8"/>
        <v>0</v>
      </c>
      <c r="L289" s="11" t="s">
        <v>138</v>
      </c>
      <c r="M289" s="11" t="s">
        <v>534</v>
      </c>
      <c r="N289" s="12" t="str">
        <f t="shared" si="9"/>
        <v>Sample Hold|Thorlabs|XRN25P</v>
      </c>
      <c r="O289" s="12">
        <f t="shared" si="10"/>
        <v>1</v>
      </c>
      <c r="P289" s="12" t="s">
        <v>38</v>
      </c>
      <c r="Q289" s="12"/>
      <c r="R289" s="13" t="s">
        <v>138</v>
      </c>
      <c r="S289" s="13" t="s">
        <v>534</v>
      </c>
      <c r="T289" s="13" t="s">
        <v>535</v>
      </c>
      <c r="U289" s="11" t="s">
        <v>26</v>
      </c>
      <c r="V289" s="11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  <c r="AO289" s="14"/>
      <c r="AP289" s="14"/>
    </row>
    <row r="290" spans="1:42" ht="22.5" customHeight="1">
      <c r="A290" s="8"/>
      <c r="B290" s="9"/>
      <c r="C290" s="10"/>
      <c r="D290" s="10"/>
      <c r="E290" s="10"/>
      <c r="F290" s="10"/>
      <c r="G290" s="10">
        <f t="shared" si="11"/>
        <v>0</v>
      </c>
      <c r="H290" s="9"/>
      <c r="I290" s="10">
        <v>1</v>
      </c>
      <c r="J290" s="10">
        <f t="shared" si="7"/>
        <v>0</v>
      </c>
      <c r="K290" s="9">
        <f t="shared" si="8"/>
        <v>0</v>
      </c>
      <c r="L290" s="11" t="s">
        <v>138</v>
      </c>
      <c r="M290" s="11" t="s">
        <v>536</v>
      </c>
      <c r="N290" s="12" t="str">
        <f t="shared" si="9"/>
        <v>|Thorlabs|XT66-500</v>
      </c>
      <c r="O290" s="12">
        <f t="shared" si="10"/>
        <v>1</v>
      </c>
      <c r="P290" s="12" t="s">
        <v>38</v>
      </c>
      <c r="Q290" s="12"/>
      <c r="R290" s="13" t="s">
        <v>138</v>
      </c>
      <c r="S290" s="13" t="s">
        <v>536</v>
      </c>
      <c r="T290" s="12"/>
      <c r="U290" s="11"/>
      <c r="V290" s="9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  <c r="AO290" s="14"/>
      <c r="AP290" s="14"/>
    </row>
    <row r="291" spans="1:42" ht="22.5" customHeight="1">
      <c r="A291" s="8"/>
      <c r="B291" s="9"/>
      <c r="C291" s="10"/>
      <c r="D291" s="10"/>
      <c r="E291" s="10"/>
      <c r="F291" s="10"/>
      <c r="G291" s="10">
        <f t="shared" si="11"/>
        <v>0</v>
      </c>
      <c r="H291" s="9"/>
      <c r="I291" s="10">
        <v>1</v>
      </c>
      <c r="J291" s="10">
        <f t="shared" si="7"/>
        <v>0</v>
      </c>
      <c r="K291" s="9">
        <f t="shared" si="8"/>
        <v>0</v>
      </c>
      <c r="L291" s="11" t="s">
        <v>138</v>
      </c>
      <c r="M291" s="11" t="s">
        <v>537</v>
      </c>
      <c r="N291" s="12" t="str">
        <f t="shared" si="9"/>
        <v>|Thorlabs|XT66P1</v>
      </c>
      <c r="O291" s="12">
        <f t="shared" si="10"/>
        <v>1</v>
      </c>
      <c r="P291" s="12" t="s">
        <v>38</v>
      </c>
      <c r="Q291" s="12"/>
      <c r="R291" s="13" t="s">
        <v>138</v>
      </c>
      <c r="S291" s="13" t="s">
        <v>537</v>
      </c>
      <c r="T291" s="12"/>
      <c r="U291" s="11"/>
      <c r="V291" s="9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  <c r="AO291" s="14"/>
      <c r="AP291" s="14"/>
    </row>
    <row r="292" spans="1:42" ht="22.5" customHeight="1">
      <c r="A292" s="8"/>
      <c r="B292" s="9" t="s">
        <v>22</v>
      </c>
      <c r="C292" s="10">
        <v>1</v>
      </c>
      <c r="D292" s="10"/>
      <c r="E292" s="10">
        <v>1</v>
      </c>
      <c r="F292" s="10"/>
      <c r="G292" s="10">
        <f t="shared" si="11"/>
        <v>0</v>
      </c>
      <c r="H292" s="9"/>
      <c r="I292" s="10">
        <v>1</v>
      </c>
      <c r="J292" s="10">
        <f t="shared" si="7"/>
        <v>0</v>
      </c>
      <c r="K292" s="9">
        <f t="shared" si="8"/>
        <v>0</v>
      </c>
      <c r="L292" s="11" t="s">
        <v>138</v>
      </c>
      <c r="M292" s="11" t="s">
        <v>538</v>
      </c>
      <c r="N292" s="12" t="str">
        <f t="shared" si="9"/>
        <v>Sample Hold|Thorlabs|Z812B</v>
      </c>
      <c r="O292" s="12">
        <f t="shared" si="10"/>
        <v>1</v>
      </c>
      <c r="P292" s="12" t="s">
        <v>279</v>
      </c>
      <c r="Q292" s="12"/>
      <c r="R292" s="13" t="s">
        <v>138</v>
      </c>
      <c r="S292" s="13" t="s">
        <v>538</v>
      </c>
      <c r="T292" s="13" t="s">
        <v>539</v>
      </c>
      <c r="U292" s="15" t="s">
        <v>540</v>
      </c>
      <c r="V292" s="11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  <c r="AO292" s="14"/>
      <c r="AP292" s="14"/>
    </row>
    <row r="293" spans="1:42" ht="22.5" customHeight="1">
      <c r="A293" s="8"/>
      <c r="B293" s="9"/>
      <c r="C293" s="10">
        <v>2</v>
      </c>
      <c r="D293" s="10"/>
      <c r="E293" s="10">
        <v>2</v>
      </c>
      <c r="F293" s="10"/>
      <c r="G293" s="10">
        <f t="shared" si="11"/>
        <v>0</v>
      </c>
      <c r="H293" s="9"/>
      <c r="I293" s="10">
        <v>1</v>
      </c>
      <c r="J293" s="10">
        <f t="shared" si="7"/>
        <v>0</v>
      </c>
      <c r="K293" s="9">
        <f t="shared" si="8"/>
        <v>0</v>
      </c>
      <c r="L293" s="11" t="s">
        <v>541</v>
      </c>
      <c r="M293" s="11" t="s">
        <v>542</v>
      </c>
      <c r="N293" s="12" t="str">
        <f t="shared" si="9"/>
        <v>|Ximea|CB024CG-GP-X8G3</v>
      </c>
      <c r="O293" s="12">
        <f t="shared" si="10"/>
        <v>1</v>
      </c>
      <c r="P293" s="12"/>
      <c r="Q293" s="12"/>
      <c r="R293" s="13"/>
      <c r="S293" s="13"/>
      <c r="T293" s="13" t="s">
        <v>543</v>
      </c>
      <c r="U293" s="16" t="s">
        <v>544</v>
      </c>
      <c r="V293" s="11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  <c r="AO293" s="14"/>
      <c r="AP293" s="14"/>
    </row>
    <row r="294" spans="1:42" ht="22.5" customHeight="1">
      <c r="A294" s="8"/>
      <c r="B294" s="9"/>
      <c r="C294" s="10">
        <v>2</v>
      </c>
      <c r="D294" s="10"/>
      <c r="E294" s="10">
        <v>2</v>
      </c>
      <c r="F294" s="10"/>
      <c r="G294" s="10">
        <f t="shared" si="11"/>
        <v>0</v>
      </c>
      <c r="H294" s="9"/>
      <c r="I294" s="10">
        <v>1</v>
      </c>
      <c r="J294" s="10">
        <f t="shared" si="7"/>
        <v>0</v>
      </c>
      <c r="K294" s="9">
        <f t="shared" si="8"/>
        <v>0</v>
      </c>
      <c r="L294" s="9" t="s">
        <v>541</v>
      </c>
      <c r="M294" s="11" t="s">
        <v>545</v>
      </c>
      <c r="N294" s="12" t="str">
        <f t="shared" si="9"/>
        <v>|Ximea|CB209MG-GP-X8G3</v>
      </c>
      <c r="O294" s="12">
        <f t="shared" si="10"/>
        <v>1</v>
      </c>
      <c r="P294" s="12"/>
      <c r="Q294" s="12"/>
      <c r="R294" s="13"/>
      <c r="S294" s="13"/>
      <c r="T294" s="12"/>
      <c r="U294" s="11"/>
      <c r="V294" s="9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  <c r="AO294" s="14"/>
      <c r="AP294" s="14"/>
    </row>
    <row r="295" spans="1:42" ht="22.5" customHeight="1">
      <c r="A295" s="8"/>
      <c r="B295" s="9" t="s">
        <v>253</v>
      </c>
      <c r="C295" s="10">
        <v>0</v>
      </c>
      <c r="D295" s="10">
        <v>1</v>
      </c>
      <c r="E295" s="10"/>
      <c r="F295" s="10"/>
      <c r="G295" s="10">
        <f t="shared" si="11"/>
        <v>1</v>
      </c>
      <c r="H295" s="9"/>
      <c r="I295" s="10">
        <v>1</v>
      </c>
      <c r="J295" s="10">
        <f t="shared" si="7"/>
        <v>1</v>
      </c>
      <c r="K295" s="9">
        <f t="shared" si="8"/>
        <v>0</v>
      </c>
      <c r="L295" s="9" t="s">
        <v>138</v>
      </c>
      <c r="M295" s="11" t="s">
        <v>546</v>
      </c>
      <c r="N295" s="12" t="str">
        <f t="shared" si="9"/>
        <v>Gen Hardware|Thorlabs|HKTS-KIT</v>
      </c>
      <c r="O295" s="12">
        <f t="shared" si="10"/>
        <v>1</v>
      </c>
      <c r="P295" s="12"/>
      <c r="Q295" s="12"/>
      <c r="R295" s="13"/>
      <c r="S295" s="13"/>
      <c r="T295" s="12"/>
      <c r="U295" s="11"/>
      <c r="V295" s="9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  <c r="AO295" s="14"/>
      <c r="AP295" s="14"/>
    </row>
    <row r="296" spans="1:42" ht="22.5" customHeight="1">
      <c r="A296" s="8"/>
      <c r="B296" s="9" t="s">
        <v>253</v>
      </c>
      <c r="C296" s="10">
        <v>0</v>
      </c>
      <c r="D296" s="10">
        <v>1</v>
      </c>
      <c r="E296" s="10"/>
      <c r="F296" s="10"/>
      <c r="G296" s="10">
        <f t="shared" si="11"/>
        <v>1</v>
      </c>
      <c r="H296" s="9"/>
      <c r="I296" s="10">
        <v>1</v>
      </c>
      <c r="J296" s="10">
        <f t="shared" si="7"/>
        <v>1</v>
      </c>
      <c r="K296" s="9">
        <f t="shared" si="8"/>
        <v>0</v>
      </c>
      <c r="L296" s="9" t="s">
        <v>138</v>
      </c>
      <c r="M296" s="11" t="s">
        <v>547</v>
      </c>
      <c r="N296" s="12" t="str">
        <f t="shared" si="9"/>
        <v>Gen Hardware|Thorlabs|TC2</v>
      </c>
      <c r="O296" s="12">
        <f t="shared" si="10"/>
        <v>1</v>
      </c>
      <c r="P296" s="12"/>
      <c r="Q296" s="12"/>
      <c r="R296" s="13"/>
      <c r="S296" s="13"/>
      <c r="T296" s="12"/>
      <c r="U296" s="11"/>
      <c r="V296" s="9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  <c r="AO296" s="14"/>
      <c r="AP296" s="14"/>
    </row>
    <row r="297" spans="1:42" ht="22.5" customHeight="1">
      <c r="A297" s="8"/>
      <c r="B297" s="9" t="s">
        <v>253</v>
      </c>
      <c r="C297" s="10">
        <v>0</v>
      </c>
      <c r="D297" s="10">
        <v>1</v>
      </c>
      <c r="E297" s="10"/>
      <c r="F297" s="10"/>
      <c r="G297" s="10">
        <f t="shared" si="11"/>
        <v>1</v>
      </c>
      <c r="H297" s="9"/>
      <c r="I297" s="10">
        <v>1</v>
      </c>
      <c r="J297" s="10">
        <f t="shared" si="7"/>
        <v>1</v>
      </c>
      <c r="K297" s="9">
        <f t="shared" si="8"/>
        <v>0</v>
      </c>
      <c r="L297" s="9" t="s">
        <v>138</v>
      </c>
      <c r="M297" s="11" t="s">
        <v>548</v>
      </c>
      <c r="N297" s="12" t="str">
        <f t="shared" si="9"/>
        <v>Gen Hardware|Thorlabs|SPW301</v>
      </c>
      <c r="O297" s="12">
        <f t="shared" si="10"/>
        <v>1</v>
      </c>
      <c r="P297" s="12"/>
      <c r="Q297" s="12"/>
      <c r="R297" s="13"/>
      <c r="S297" s="13"/>
      <c r="T297" s="12"/>
      <c r="U297" s="11"/>
      <c r="V297" s="9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  <c r="AO297" s="14"/>
      <c r="AP297" s="14"/>
    </row>
    <row r="298" spans="1:42" ht="22.5" customHeight="1">
      <c r="A298" s="8"/>
      <c r="B298" s="9" t="s">
        <v>83</v>
      </c>
      <c r="C298" s="10">
        <v>0</v>
      </c>
      <c r="D298" s="10">
        <v>0</v>
      </c>
      <c r="E298" s="10"/>
      <c r="F298" s="10"/>
      <c r="G298" s="10">
        <f t="shared" si="11"/>
        <v>0</v>
      </c>
      <c r="H298" s="9"/>
      <c r="I298" s="10">
        <v>1</v>
      </c>
      <c r="J298" s="10">
        <f t="shared" si="7"/>
        <v>0</v>
      </c>
      <c r="K298" s="9">
        <f t="shared" si="8"/>
        <v>0</v>
      </c>
      <c r="L298" s="9" t="s">
        <v>138</v>
      </c>
      <c r="M298" s="11" t="s">
        <v>549</v>
      </c>
      <c r="N298" s="12" t="str">
        <f t="shared" si="9"/>
        <v>Obselete/None|Thorlabs|SPW801</v>
      </c>
      <c r="O298" s="12">
        <f t="shared" si="10"/>
        <v>1</v>
      </c>
      <c r="P298" s="12"/>
      <c r="Q298" s="12"/>
      <c r="R298" s="13"/>
      <c r="S298" s="13"/>
      <c r="T298" s="12"/>
      <c r="U298" s="11"/>
      <c r="V298" s="9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  <c r="AO298" s="14"/>
      <c r="AP298" s="14"/>
    </row>
    <row r="299" spans="1:42" ht="22.5" customHeight="1">
      <c r="A299" s="8"/>
      <c r="B299" s="9" t="s">
        <v>253</v>
      </c>
      <c r="C299" s="10">
        <v>0</v>
      </c>
      <c r="D299" s="10">
        <v>1</v>
      </c>
      <c r="E299" s="10"/>
      <c r="F299" s="10"/>
      <c r="G299" s="10">
        <f t="shared" si="11"/>
        <v>1</v>
      </c>
      <c r="H299" s="9"/>
      <c r="I299" s="10">
        <v>1</v>
      </c>
      <c r="J299" s="10">
        <f t="shared" si="7"/>
        <v>1</v>
      </c>
      <c r="K299" s="9">
        <f t="shared" si="8"/>
        <v>0</v>
      </c>
      <c r="L299" s="9" t="s">
        <v>138</v>
      </c>
      <c r="M299" s="11" t="s">
        <v>550</v>
      </c>
      <c r="N299" s="12" t="str">
        <f t="shared" si="9"/>
        <v>Gen Hardware|Thorlabs|CA4-US</v>
      </c>
      <c r="O299" s="12">
        <f t="shared" si="10"/>
        <v>1</v>
      </c>
      <c r="P299" s="12"/>
      <c r="Q299" s="12"/>
      <c r="R299" s="13"/>
      <c r="S299" s="13"/>
      <c r="T299" s="12"/>
      <c r="U299" s="11"/>
      <c r="V299" s="9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  <c r="AO299" s="14"/>
      <c r="AP299" s="14"/>
    </row>
    <row r="300" spans="1:42" ht="22.5" customHeight="1">
      <c r="A300" s="8"/>
      <c r="B300" s="9" t="s">
        <v>253</v>
      </c>
      <c r="C300" s="10">
        <v>0</v>
      </c>
      <c r="D300" s="10">
        <v>1</v>
      </c>
      <c r="E300" s="10"/>
      <c r="F300" s="10"/>
      <c r="G300" s="10">
        <f t="shared" si="11"/>
        <v>1</v>
      </c>
      <c r="H300" s="9"/>
      <c r="I300" s="10">
        <v>1</v>
      </c>
      <c r="J300" s="10">
        <f t="shared" si="7"/>
        <v>1</v>
      </c>
      <c r="K300" s="9">
        <f t="shared" si="8"/>
        <v>0</v>
      </c>
      <c r="L300" s="9" t="s">
        <v>138</v>
      </c>
      <c r="M300" s="11" t="s">
        <v>551</v>
      </c>
      <c r="N300" s="12" t="str">
        <f t="shared" si="9"/>
        <v>Gen Hardware|Thorlabs|PLW33</v>
      </c>
      <c r="O300" s="12">
        <f t="shared" si="10"/>
        <v>1</v>
      </c>
      <c r="P300" s="12"/>
      <c r="Q300" s="12"/>
      <c r="R300" s="13"/>
      <c r="S300" s="13"/>
      <c r="T300" s="12"/>
      <c r="U300" s="11"/>
      <c r="V300" s="9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  <c r="AO300" s="14"/>
      <c r="AP300" s="14"/>
    </row>
    <row r="301" spans="1:42" ht="22.5" customHeight="1">
      <c r="A301" s="8"/>
      <c r="B301" s="9" t="s">
        <v>253</v>
      </c>
      <c r="C301" s="10">
        <v>0</v>
      </c>
      <c r="D301" s="10">
        <v>1</v>
      </c>
      <c r="E301" s="10"/>
      <c r="F301" s="10"/>
      <c r="G301" s="10">
        <f t="shared" si="11"/>
        <v>1</v>
      </c>
      <c r="H301" s="9"/>
      <c r="I301" s="10">
        <v>1</v>
      </c>
      <c r="J301" s="10">
        <f t="shared" si="7"/>
        <v>1</v>
      </c>
      <c r="K301" s="9">
        <f t="shared" si="8"/>
        <v>0</v>
      </c>
      <c r="L301" s="9" t="s">
        <v>138</v>
      </c>
      <c r="M301" s="11" t="s">
        <v>552</v>
      </c>
      <c r="N301" s="12" t="str">
        <f t="shared" si="9"/>
        <v>Gen Hardware|Thorlabs|VRC3</v>
      </c>
      <c r="O301" s="12">
        <f t="shared" si="10"/>
        <v>1</v>
      </c>
      <c r="P301" s="12"/>
      <c r="Q301" s="12"/>
      <c r="R301" s="13"/>
      <c r="S301" s="13"/>
      <c r="T301" s="12"/>
      <c r="U301" s="11"/>
      <c r="V301" s="9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  <c r="AO301" s="14"/>
      <c r="AP301" s="14"/>
    </row>
    <row r="302" spans="1:42" ht="22.5" customHeight="1">
      <c r="A302" s="8"/>
      <c r="B302" s="9" t="s">
        <v>253</v>
      </c>
      <c r="C302" s="10">
        <v>0</v>
      </c>
      <c r="D302" s="10">
        <v>1</v>
      </c>
      <c r="E302" s="10"/>
      <c r="F302" s="10"/>
      <c r="G302" s="10">
        <f t="shared" si="11"/>
        <v>1</v>
      </c>
      <c r="H302" s="9"/>
      <c r="I302" s="10">
        <v>1</v>
      </c>
      <c r="J302" s="10">
        <f t="shared" si="7"/>
        <v>1</v>
      </c>
      <c r="K302" s="9">
        <f t="shared" si="8"/>
        <v>0</v>
      </c>
      <c r="L302" s="9" t="s">
        <v>106</v>
      </c>
      <c r="M302" s="11" t="s">
        <v>553</v>
      </c>
      <c r="N302" s="12" t="str">
        <f t="shared" si="9"/>
        <v>Gen Hardware|McMaster-Carr|1992T41</v>
      </c>
      <c r="O302" s="12">
        <f t="shared" si="10"/>
        <v>1</v>
      </c>
      <c r="P302" s="12"/>
      <c r="Q302" s="12"/>
      <c r="R302" s="13"/>
      <c r="S302" s="13"/>
      <c r="T302" s="12" t="s">
        <v>554</v>
      </c>
      <c r="U302" s="11"/>
      <c r="V302" s="9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  <c r="AO302" s="14"/>
      <c r="AP302" s="14"/>
    </row>
    <row r="303" spans="1:42" ht="22.5" customHeight="1">
      <c r="A303" s="8"/>
      <c r="B303" s="9" t="s">
        <v>27</v>
      </c>
      <c r="C303" s="10">
        <v>5</v>
      </c>
      <c r="D303" s="10">
        <v>0</v>
      </c>
      <c r="E303" s="10"/>
      <c r="F303" s="10"/>
      <c r="G303" s="10">
        <f t="shared" si="11"/>
        <v>100</v>
      </c>
      <c r="H303" s="9"/>
      <c r="I303" s="10">
        <v>100</v>
      </c>
      <c r="J303" s="10">
        <f t="shared" si="7"/>
        <v>1</v>
      </c>
      <c r="K303" s="9">
        <f t="shared" si="8"/>
        <v>0</v>
      </c>
      <c r="L303" s="9" t="s">
        <v>138</v>
      </c>
      <c r="M303" s="11" t="s">
        <v>555</v>
      </c>
      <c r="N303" s="12" t="str">
        <f t="shared" si="9"/>
        <v>Imaging|Thorlabs|SH25LP38</v>
      </c>
      <c r="O303" s="12">
        <f t="shared" si="10"/>
        <v>1</v>
      </c>
      <c r="P303" s="12"/>
      <c r="Q303" s="12"/>
      <c r="R303" s="13"/>
      <c r="S303" s="13"/>
      <c r="T303" s="12"/>
      <c r="U303" s="11"/>
      <c r="V303" s="9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  <c r="AO303" s="14"/>
      <c r="AP303" s="14"/>
    </row>
    <row r="304" spans="1:42" ht="22.5" customHeight="1">
      <c r="A304" s="8"/>
      <c r="B304" s="9" t="s">
        <v>253</v>
      </c>
      <c r="C304" s="10">
        <v>0</v>
      </c>
      <c r="D304" s="10">
        <v>0</v>
      </c>
      <c r="E304" s="10"/>
      <c r="F304" s="10"/>
      <c r="G304" s="10">
        <f t="shared" si="11"/>
        <v>0</v>
      </c>
      <c r="H304" s="9"/>
      <c r="I304" s="10">
        <v>50</v>
      </c>
      <c r="J304" s="10">
        <f t="shared" si="7"/>
        <v>0</v>
      </c>
      <c r="K304" s="9">
        <f t="shared" si="8"/>
        <v>0</v>
      </c>
      <c r="L304" s="9" t="s">
        <v>138</v>
      </c>
      <c r="M304" s="11" t="s">
        <v>556</v>
      </c>
      <c r="N304" s="12" t="str">
        <f t="shared" si="9"/>
        <v>Gen Hardware|Thorlabs|SH25LP63</v>
      </c>
      <c r="O304" s="12">
        <f t="shared" si="10"/>
        <v>1</v>
      </c>
      <c r="P304" s="12"/>
      <c r="Q304" s="12"/>
      <c r="R304" s="13"/>
      <c r="S304" s="13"/>
      <c r="T304" s="12"/>
      <c r="U304" s="11"/>
      <c r="V304" s="9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  <c r="AO304" s="14"/>
      <c r="AP304" s="14"/>
    </row>
    <row r="305" spans="1:42" ht="22.5" customHeight="1">
      <c r="A305" s="8"/>
      <c r="B305" s="9" t="s">
        <v>27</v>
      </c>
      <c r="C305" s="10">
        <v>8</v>
      </c>
      <c r="D305" s="10"/>
      <c r="E305" s="10">
        <v>54</v>
      </c>
      <c r="F305" s="10"/>
      <c r="G305" s="10">
        <f t="shared" si="11"/>
        <v>0</v>
      </c>
      <c r="H305" s="9"/>
      <c r="I305" s="10">
        <v>50</v>
      </c>
      <c r="J305" s="10">
        <f t="shared" si="7"/>
        <v>0</v>
      </c>
      <c r="K305" s="9">
        <f t="shared" si="8"/>
        <v>0</v>
      </c>
      <c r="L305" s="9" t="s">
        <v>106</v>
      </c>
      <c r="M305" s="11" t="s">
        <v>557</v>
      </c>
      <c r="N305" s="12" t="str">
        <f t="shared" si="9"/>
        <v>Imaging|McMaster-Carr|98381A469</v>
      </c>
      <c r="O305" s="12">
        <f t="shared" si="10"/>
        <v>1</v>
      </c>
      <c r="P305" s="12"/>
      <c r="Q305" s="12"/>
      <c r="R305" s="13"/>
      <c r="S305" s="13"/>
      <c r="T305" s="12" t="s">
        <v>558</v>
      </c>
      <c r="U305" s="11"/>
      <c r="V305" s="9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  <c r="AO305" s="14"/>
      <c r="AP305" s="14"/>
    </row>
    <row r="306" spans="1:42" ht="22.5" customHeight="1">
      <c r="A306" s="8"/>
      <c r="B306" s="9" t="s">
        <v>559</v>
      </c>
      <c r="C306" s="10">
        <v>1</v>
      </c>
      <c r="D306" s="10"/>
      <c r="E306" s="10">
        <v>1</v>
      </c>
      <c r="F306" s="10">
        <v>1</v>
      </c>
      <c r="G306" s="10">
        <f t="shared" si="11"/>
        <v>0</v>
      </c>
      <c r="H306" s="9"/>
      <c r="I306" s="10">
        <v>1</v>
      </c>
      <c r="J306" s="10">
        <f t="shared" si="7"/>
        <v>0</v>
      </c>
      <c r="K306" s="9">
        <f t="shared" si="8"/>
        <v>0</v>
      </c>
      <c r="L306" s="9" t="s">
        <v>560</v>
      </c>
      <c r="M306" s="36" t="s">
        <v>561</v>
      </c>
      <c r="N306" s="12" t="str">
        <f t="shared" si="9"/>
        <v>Integration|DigiKey|RMHD19003BK</v>
      </c>
      <c r="O306" s="12">
        <f t="shared" si="10"/>
        <v>1</v>
      </c>
      <c r="P306" s="12"/>
      <c r="Q306" s="12"/>
      <c r="R306" s="13"/>
      <c r="S306" s="13"/>
      <c r="T306" s="12"/>
      <c r="U306" s="11"/>
      <c r="V306" s="9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  <c r="AO306" s="14"/>
      <c r="AP306" s="14"/>
    </row>
    <row r="307" spans="1:42" ht="22.5" customHeight="1">
      <c r="A307" s="8"/>
      <c r="B307" s="9" t="s">
        <v>559</v>
      </c>
      <c r="C307" s="10">
        <v>1</v>
      </c>
      <c r="D307" s="10"/>
      <c r="E307" s="10">
        <v>1</v>
      </c>
      <c r="F307" s="10">
        <v>1</v>
      </c>
      <c r="G307" s="10">
        <f t="shared" si="11"/>
        <v>0</v>
      </c>
      <c r="H307" s="9"/>
      <c r="I307" s="10">
        <v>1</v>
      </c>
      <c r="J307" s="10">
        <f t="shared" si="7"/>
        <v>0</v>
      </c>
      <c r="K307" s="9">
        <f t="shared" si="8"/>
        <v>0</v>
      </c>
      <c r="L307" s="9" t="s">
        <v>106</v>
      </c>
      <c r="M307" s="36" t="s">
        <v>562</v>
      </c>
      <c r="N307" s="12" t="str">
        <f t="shared" si="9"/>
        <v>Integration|McMaster-Carr|71145K51</v>
      </c>
      <c r="O307" s="12">
        <f t="shared" si="10"/>
        <v>1</v>
      </c>
      <c r="P307" s="12"/>
      <c r="Q307" s="12"/>
      <c r="R307" s="13"/>
      <c r="S307" s="13"/>
      <c r="T307" s="12" t="s">
        <v>563</v>
      </c>
      <c r="U307" s="11"/>
      <c r="V307" s="9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  <c r="AO307" s="14"/>
      <c r="AP307" s="14"/>
    </row>
    <row r="308" spans="1:42" ht="22.5" customHeight="1">
      <c r="A308" s="8"/>
      <c r="B308" s="9" t="s">
        <v>559</v>
      </c>
      <c r="C308" s="10">
        <v>1</v>
      </c>
      <c r="D308" s="10"/>
      <c r="E308" s="10">
        <v>1</v>
      </c>
      <c r="F308" s="10">
        <v>1</v>
      </c>
      <c r="G308" s="10">
        <f t="shared" si="11"/>
        <v>0</v>
      </c>
      <c r="H308" s="9"/>
      <c r="I308" s="10">
        <v>1</v>
      </c>
      <c r="J308" s="10">
        <f t="shared" si="7"/>
        <v>0</v>
      </c>
      <c r="K308" s="9">
        <f t="shared" si="8"/>
        <v>0</v>
      </c>
      <c r="L308" s="9" t="s">
        <v>560</v>
      </c>
      <c r="M308" s="36" t="s">
        <v>564</v>
      </c>
      <c r="N308" s="12" t="str">
        <f t="shared" si="9"/>
        <v>Integration|DigiKey|5214-CLPSCRW1032-ND</v>
      </c>
      <c r="O308" s="12">
        <f t="shared" si="10"/>
        <v>1</v>
      </c>
      <c r="P308" s="12"/>
      <c r="Q308" s="12"/>
      <c r="R308" s="13"/>
      <c r="S308" s="13"/>
      <c r="T308" s="12"/>
      <c r="U308" s="11"/>
      <c r="V308" s="9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  <c r="AO308" s="14"/>
      <c r="AP308" s="14"/>
    </row>
    <row r="309" spans="1:42" ht="22.5" customHeight="1">
      <c r="A309" s="8"/>
      <c r="B309" s="9" t="s">
        <v>559</v>
      </c>
      <c r="C309" s="10">
        <v>2</v>
      </c>
      <c r="D309" s="10"/>
      <c r="E309" s="10">
        <v>2</v>
      </c>
      <c r="F309" s="10">
        <v>2</v>
      </c>
      <c r="G309" s="10">
        <f t="shared" si="11"/>
        <v>0</v>
      </c>
      <c r="H309" s="9"/>
      <c r="I309" s="10">
        <v>1</v>
      </c>
      <c r="J309" s="10">
        <f t="shared" si="7"/>
        <v>0</v>
      </c>
      <c r="K309" s="9">
        <f t="shared" si="8"/>
        <v>0</v>
      </c>
      <c r="L309" s="9" t="s">
        <v>106</v>
      </c>
      <c r="M309" s="36" t="s">
        <v>565</v>
      </c>
      <c r="N309" s="12" t="str">
        <f t="shared" si="9"/>
        <v>Integration|McMaster-Carr|2584N223</v>
      </c>
      <c r="O309" s="12">
        <f t="shared" si="10"/>
        <v>1</v>
      </c>
      <c r="P309" s="12"/>
      <c r="Q309" s="12"/>
      <c r="R309" s="13"/>
      <c r="S309" s="13"/>
      <c r="T309" s="12"/>
      <c r="U309" s="11"/>
      <c r="V309" s="9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  <c r="AO309" s="14"/>
      <c r="AP309" s="14"/>
    </row>
    <row r="310" spans="1:42" ht="22.5" customHeight="1">
      <c r="A310" s="8"/>
      <c r="B310" s="9" t="s">
        <v>559</v>
      </c>
      <c r="C310" s="10">
        <v>1</v>
      </c>
      <c r="D310" s="10"/>
      <c r="E310" s="10">
        <v>1</v>
      </c>
      <c r="F310" s="10">
        <v>1</v>
      </c>
      <c r="G310" s="10">
        <f t="shared" si="11"/>
        <v>0</v>
      </c>
      <c r="H310" s="9"/>
      <c r="I310" s="10">
        <v>1</v>
      </c>
      <c r="J310" s="10">
        <f t="shared" si="7"/>
        <v>0</v>
      </c>
      <c r="K310" s="9">
        <f t="shared" si="8"/>
        <v>0</v>
      </c>
      <c r="L310" s="9" t="s">
        <v>106</v>
      </c>
      <c r="M310" s="37" t="s">
        <v>566</v>
      </c>
      <c r="N310" s="12" t="str">
        <f t="shared" si="9"/>
        <v>Integration|McMaster-Carr|8357T61</v>
      </c>
      <c r="O310" s="12">
        <f t="shared" si="10"/>
        <v>1</v>
      </c>
      <c r="P310" s="12"/>
      <c r="Q310" s="12"/>
      <c r="R310" s="13"/>
      <c r="S310" s="13"/>
      <c r="T310" s="12"/>
      <c r="U310" s="11"/>
      <c r="V310" s="9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  <c r="AO310" s="14"/>
      <c r="AP310" s="14"/>
    </row>
    <row r="311" spans="1:42" ht="22.5" customHeight="1">
      <c r="A311" s="8"/>
      <c r="B311" s="9" t="s">
        <v>559</v>
      </c>
      <c r="C311" s="10">
        <v>1</v>
      </c>
      <c r="D311" s="10"/>
      <c r="E311" s="10">
        <v>1</v>
      </c>
      <c r="F311" s="10">
        <v>1</v>
      </c>
      <c r="G311" s="10">
        <f t="shared" si="11"/>
        <v>0</v>
      </c>
      <c r="H311" s="9"/>
      <c r="I311" s="10">
        <v>1</v>
      </c>
      <c r="J311" s="10">
        <f t="shared" si="7"/>
        <v>0</v>
      </c>
      <c r="K311" s="9">
        <f t="shared" si="8"/>
        <v>0</v>
      </c>
      <c r="L311" s="9" t="s">
        <v>106</v>
      </c>
      <c r="M311" s="37" t="s">
        <v>567</v>
      </c>
      <c r="N311" s="12" t="str">
        <f t="shared" si="9"/>
        <v>Integration|McMaster-Carr|7815N11</v>
      </c>
      <c r="O311" s="12">
        <f t="shared" si="10"/>
        <v>1</v>
      </c>
      <c r="P311" s="12"/>
      <c r="Q311" s="12"/>
      <c r="R311" s="13"/>
      <c r="S311" s="13"/>
      <c r="T311" s="12"/>
      <c r="U311" s="11"/>
      <c r="V311" s="9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  <c r="AO311" s="14"/>
      <c r="AP311" s="14"/>
    </row>
    <row r="312" spans="1:42" ht="22.5" customHeight="1">
      <c r="A312" s="8"/>
      <c r="B312" s="9" t="s">
        <v>559</v>
      </c>
      <c r="C312" s="10">
        <v>1</v>
      </c>
      <c r="D312" s="10"/>
      <c r="E312" s="10">
        <v>1</v>
      </c>
      <c r="F312" s="10">
        <v>1</v>
      </c>
      <c r="G312" s="10">
        <f t="shared" si="11"/>
        <v>0</v>
      </c>
      <c r="H312" s="9"/>
      <c r="I312" s="10">
        <v>1</v>
      </c>
      <c r="J312" s="10">
        <f t="shared" si="7"/>
        <v>0</v>
      </c>
      <c r="K312" s="9">
        <f t="shared" si="8"/>
        <v>0</v>
      </c>
      <c r="L312" s="9" t="s">
        <v>560</v>
      </c>
      <c r="M312" s="36" t="s">
        <v>568</v>
      </c>
      <c r="N312" s="12" t="str">
        <f t="shared" si="9"/>
        <v>Integration|DigiKey|2770-786411-01-ND</v>
      </c>
      <c r="O312" s="12">
        <f t="shared" si="10"/>
        <v>1</v>
      </c>
      <c r="P312" s="12"/>
      <c r="Q312" s="12"/>
      <c r="R312" s="13"/>
      <c r="S312" s="13"/>
      <c r="T312" s="12"/>
      <c r="U312" s="11"/>
      <c r="V312" s="9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  <c r="AO312" s="14"/>
      <c r="AP312" s="14"/>
    </row>
    <row r="313" spans="1:42" ht="22.5" customHeight="1">
      <c r="A313" s="8"/>
      <c r="B313" s="9" t="s">
        <v>559</v>
      </c>
      <c r="C313" s="10">
        <v>2</v>
      </c>
      <c r="D313" s="10"/>
      <c r="E313" s="10">
        <v>2</v>
      </c>
      <c r="F313" s="10">
        <v>2</v>
      </c>
      <c r="G313" s="10">
        <f t="shared" si="11"/>
        <v>0</v>
      </c>
      <c r="H313" s="9"/>
      <c r="I313" s="10">
        <v>1</v>
      </c>
      <c r="J313" s="10">
        <f t="shared" si="7"/>
        <v>0</v>
      </c>
      <c r="K313" s="9">
        <f t="shared" si="8"/>
        <v>0</v>
      </c>
      <c r="L313" s="9" t="s">
        <v>106</v>
      </c>
      <c r="M313" s="36" t="s">
        <v>569</v>
      </c>
      <c r="N313" s="12" t="str">
        <f t="shared" si="9"/>
        <v>Integration|McMaster-Carr|1133A4</v>
      </c>
      <c r="O313" s="12">
        <f t="shared" si="10"/>
        <v>1</v>
      </c>
      <c r="P313" s="12"/>
      <c r="Q313" s="12"/>
      <c r="R313" s="13"/>
      <c r="S313" s="13"/>
      <c r="T313" s="12"/>
      <c r="U313" s="11"/>
      <c r="V313" s="9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  <c r="AO313" s="14"/>
      <c r="AP313" s="14"/>
    </row>
    <row r="314" spans="1:42" ht="22.5" customHeight="1">
      <c r="A314" s="8"/>
      <c r="B314" s="9"/>
      <c r="C314" s="10"/>
      <c r="D314" s="10"/>
      <c r="E314" s="10"/>
      <c r="F314" s="10"/>
      <c r="G314" s="10">
        <f t="shared" si="11"/>
        <v>0</v>
      </c>
      <c r="H314" s="9"/>
      <c r="I314" s="10">
        <v>1</v>
      </c>
      <c r="J314" s="10">
        <f t="shared" si="7"/>
        <v>0</v>
      </c>
      <c r="K314" s="9">
        <f t="shared" si="8"/>
        <v>0</v>
      </c>
      <c r="L314" s="9"/>
      <c r="M314" s="36"/>
      <c r="N314" s="12" t="str">
        <f t="shared" si="9"/>
        <v>||</v>
      </c>
      <c r="O314" s="12">
        <f t="shared" si="10"/>
        <v>3</v>
      </c>
      <c r="P314" s="12"/>
      <c r="Q314" s="12"/>
      <c r="R314" s="13"/>
      <c r="S314" s="13"/>
      <c r="T314" s="12"/>
      <c r="U314" s="11"/>
      <c r="V314" s="9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  <c r="AO314" s="14"/>
      <c r="AP314" s="14"/>
    </row>
    <row r="315" spans="1:42" ht="22.5" customHeight="1">
      <c r="A315" s="8"/>
      <c r="B315" s="9"/>
      <c r="C315" s="10"/>
      <c r="D315" s="10"/>
      <c r="E315" s="10"/>
      <c r="F315" s="10"/>
      <c r="G315" s="10">
        <f t="shared" si="11"/>
        <v>0</v>
      </c>
      <c r="H315" s="9"/>
      <c r="I315" s="10">
        <v>1</v>
      </c>
      <c r="J315" s="10">
        <f t="shared" si="7"/>
        <v>0</v>
      </c>
      <c r="K315" s="9">
        <f t="shared" si="8"/>
        <v>0</v>
      </c>
      <c r="L315" s="9"/>
      <c r="M315" s="11"/>
      <c r="N315" s="12" t="str">
        <f t="shared" si="9"/>
        <v>||</v>
      </c>
      <c r="O315" s="12">
        <f t="shared" si="10"/>
        <v>3</v>
      </c>
      <c r="P315" s="12"/>
      <c r="Q315" s="12"/>
      <c r="R315" s="13"/>
      <c r="S315" s="13"/>
      <c r="T315" s="12"/>
      <c r="U315" s="11"/>
      <c r="V315" s="9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  <c r="AO315" s="14"/>
      <c r="AP315" s="14"/>
    </row>
    <row r="316" spans="1:42" ht="22.5" customHeight="1">
      <c r="A316" s="8"/>
      <c r="B316" s="9"/>
      <c r="C316" s="10"/>
      <c r="D316" s="10"/>
      <c r="E316" s="10"/>
      <c r="F316" s="10"/>
      <c r="G316" s="10">
        <f t="shared" si="11"/>
        <v>0</v>
      </c>
      <c r="H316" s="9"/>
      <c r="I316" s="10">
        <v>1</v>
      </c>
      <c r="J316" s="10">
        <f t="shared" si="7"/>
        <v>0</v>
      </c>
      <c r="K316" s="9">
        <f t="shared" si="8"/>
        <v>0</v>
      </c>
      <c r="L316" s="9"/>
      <c r="M316" s="11"/>
      <c r="N316" s="12" t="str">
        <f t="shared" si="9"/>
        <v>||</v>
      </c>
      <c r="O316" s="12">
        <f t="shared" si="10"/>
        <v>3</v>
      </c>
      <c r="P316" s="12"/>
      <c r="Q316" s="12"/>
      <c r="R316" s="13"/>
      <c r="S316" s="13"/>
      <c r="T316" s="12"/>
      <c r="U316" s="11"/>
      <c r="V316" s="9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  <c r="AO316" s="14"/>
      <c r="AP316" s="14"/>
    </row>
    <row r="317" spans="1:42" ht="13">
      <c r="A317" s="38"/>
      <c r="B317" s="14"/>
      <c r="C317" s="38"/>
      <c r="D317" s="38"/>
      <c r="E317" s="38"/>
      <c r="F317" s="38"/>
      <c r="G317" s="38"/>
      <c r="H317" s="14"/>
      <c r="I317" s="38"/>
      <c r="J317" s="38"/>
      <c r="K317" s="14"/>
      <c r="L317" s="14"/>
      <c r="M317" s="14"/>
      <c r="N317" s="39"/>
      <c r="O317" s="39"/>
      <c r="P317" s="39"/>
      <c r="Q317" s="39"/>
      <c r="R317" s="39"/>
      <c r="S317" s="39"/>
      <c r="T317" s="39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  <c r="AO317" s="14"/>
      <c r="AP317" s="14"/>
    </row>
    <row r="318" spans="1:42" ht="13">
      <c r="A318" s="38"/>
      <c r="B318" s="14"/>
      <c r="C318" s="38"/>
      <c r="D318" s="38"/>
      <c r="E318" s="38"/>
      <c r="F318" s="38"/>
      <c r="G318" s="38"/>
      <c r="H318" s="14"/>
      <c r="I318" s="38"/>
      <c r="J318" s="38"/>
      <c r="K318" s="14"/>
      <c r="L318" s="14"/>
      <c r="M318" s="14"/>
      <c r="N318" s="39"/>
      <c r="O318" s="39"/>
      <c r="P318" s="39"/>
      <c r="Q318" s="39"/>
      <c r="R318" s="39"/>
      <c r="S318" s="39"/>
      <c r="T318" s="39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  <c r="AO318" s="14"/>
      <c r="AP318" s="14"/>
    </row>
    <row r="319" spans="1:42" ht="13">
      <c r="A319" s="38"/>
      <c r="B319" s="14"/>
      <c r="C319" s="38"/>
      <c r="D319" s="38"/>
      <c r="E319" s="38"/>
      <c r="F319" s="38"/>
      <c r="G319" s="38"/>
      <c r="H319" s="14"/>
      <c r="I319" s="38"/>
      <c r="J319" s="38"/>
      <c r="K319" s="14"/>
      <c r="L319" s="14"/>
      <c r="M319" s="14"/>
      <c r="N319" s="39"/>
      <c r="O319" s="39"/>
      <c r="P319" s="39"/>
      <c r="Q319" s="39"/>
      <c r="R319" s="39"/>
      <c r="S319" s="39"/>
      <c r="T319" s="39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  <c r="AO319" s="14"/>
      <c r="AP319" s="14"/>
    </row>
    <row r="320" spans="1:42" ht="13">
      <c r="A320" s="38"/>
      <c r="B320" s="14"/>
      <c r="C320" s="38"/>
      <c r="D320" s="38"/>
      <c r="E320" s="38"/>
      <c r="F320" s="38"/>
      <c r="G320" s="38"/>
      <c r="H320" s="14"/>
      <c r="I320" s="38"/>
      <c r="J320" s="38"/>
      <c r="K320" s="14"/>
      <c r="L320" s="14"/>
      <c r="M320" s="14"/>
      <c r="N320" s="39"/>
      <c r="O320" s="39"/>
      <c r="P320" s="39"/>
      <c r="Q320" s="39"/>
      <c r="R320" s="39"/>
      <c r="S320" s="39"/>
      <c r="T320" s="39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  <c r="AO320" s="14"/>
      <c r="AP320" s="14"/>
    </row>
    <row r="321" spans="1:42" ht="13">
      <c r="A321" s="38"/>
      <c r="B321" s="14"/>
      <c r="C321" s="38"/>
      <c r="D321" s="38"/>
      <c r="E321" s="38"/>
      <c r="F321" s="38"/>
      <c r="G321" s="38"/>
      <c r="H321" s="14"/>
      <c r="I321" s="38"/>
      <c r="J321" s="38"/>
      <c r="K321" s="14"/>
      <c r="L321" s="14"/>
      <c r="M321" s="14"/>
      <c r="N321" s="39"/>
      <c r="O321" s="39"/>
      <c r="P321" s="39"/>
      <c r="Q321" s="39"/>
      <c r="R321" s="39"/>
      <c r="S321" s="39"/>
      <c r="T321" s="39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  <c r="AO321" s="14"/>
      <c r="AP321" s="14"/>
    </row>
    <row r="322" spans="1:42" ht="13">
      <c r="A322" s="38"/>
      <c r="B322" s="14"/>
      <c r="C322" s="38"/>
      <c r="D322" s="38"/>
      <c r="E322" s="38"/>
      <c r="F322" s="38"/>
      <c r="G322" s="38"/>
      <c r="H322" s="14"/>
      <c r="I322" s="38"/>
      <c r="J322" s="38"/>
      <c r="K322" s="14"/>
      <c r="L322" s="14"/>
      <c r="M322" s="14"/>
      <c r="N322" s="39"/>
      <c r="O322" s="39"/>
      <c r="P322" s="39"/>
      <c r="Q322" s="39"/>
      <c r="R322" s="39"/>
      <c r="S322" s="39"/>
      <c r="T322" s="39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  <c r="AO322" s="14"/>
      <c r="AP322" s="14"/>
    </row>
    <row r="323" spans="1:42" ht="13">
      <c r="A323" s="38"/>
      <c r="B323" s="14"/>
      <c r="C323" s="38"/>
      <c r="D323" s="38"/>
      <c r="E323" s="38"/>
      <c r="F323" s="38"/>
      <c r="G323" s="38"/>
      <c r="H323" s="14"/>
      <c r="I323" s="38"/>
      <c r="J323" s="38"/>
      <c r="K323" s="14"/>
      <c r="L323" s="14"/>
      <c r="M323" s="14"/>
      <c r="N323" s="39"/>
      <c r="O323" s="39"/>
      <c r="P323" s="39"/>
      <c r="Q323" s="39"/>
      <c r="R323" s="39"/>
      <c r="S323" s="39"/>
      <c r="T323" s="39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  <c r="AO323" s="14"/>
      <c r="AP323" s="14"/>
    </row>
    <row r="324" spans="1:42" ht="13">
      <c r="A324" s="38"/>
      <c r="B324" s="14"/>
      <c r="C324" s="38"/>
      <c r="D324" s="38"/>
      <c r="E324" s="38"/>
      <c r="F324" s="38"/>
      <c r="G324" s="38"/>
      <c r="H324" s="14"/>
      <c r="I324" s="38"/>
      <c r="J324" s="38"/>
      <c r="K324" s="14"/>
      <c r="L324" s="14"/>
      <c r="M324" s="14"/>
      <c r="N324" s="39"/>
      <c r="O324" s="39"/>
      <c r="P324" s="39"/>
      <c r="Q324" s="39"/>
      <c r="R324" s="39"/>
      <c r="S324" s="39"/>
      <c r="T324" s="39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  <c r="AO324" s="14"/>
      <c r="AP324" s="14"/>
    </row>
    <row r="325" spans="1:42" ht="13">
      <c r="A325" s="38"/>
      <c r="B325" s="14"/>
      <c r="C325" s="38"/>
      <c r="D325" s="38"/>
      <c r="E325" s="38"/>
      <c r="F325" s="38"/>
      <c r="G325" s="38"/>
      <c r="H325" s="14"/>
      <c r="I325" s="38"/>
      <c r="J325" s="38"/>
      <c r="K325" s="14"/>
      <c r="L325" s="14"/>
      <c r="M325" s="14"/>
      <c r="N325" s="39"/>
      <c r="O325" s="39"/>
      <c r="P325" s="39"/>
      <c r="Q325" s="39"/>
      <c r="R325" s="39"/>
      <c r="S325" s="39"/>
      <c r="T325" s="39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  <c r="AO325" s="14"/>
      <c r="AP325" s="14"/>
    </row>
    <row r="326" spans="1:42" ht="13">
      <c r="A326" s="38"/>
      <c r="B326" s="14"/>
      <c r="C326" s="38"/>
      <c r="D326" s="38"/>
      <c r="E326" s="38"/>
      <c r="F326" s="38"/>
      <c r="G326" s="38"/>
      <c r="H326" s="14"/>
      <c r="I326" s="38"/>
      <c r="J326" s="38"/>
      <c r="K326" s="14"/>
      <c r="L326" s="14"/>
      <c r="M326" s="14"/>
      <c r="N326" s="39"/>
      <c r="O326" s="39"/>
      <c r="P326" s="39"/>
      <c r="Q326" s="39"/>
      <c r="R326" s="39"/>
      <c r="S326" s="39"/>
      <c r="T326" s="39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  <c r="AO326" s="14"/>
      <c r="AP326" s="14"/>
    </row>
    <row r="327" spans="1:42" ht="13">
      <c r="A327" s="38"/>
      <c r="B327" s="14"/>
      <c r="C327" s="38"/>
      <c r="D327" s="38"/>
      <c r="E327" s="38"/>
      <c r="F327" s="38"/>
      <c r="G327" s="38"/>
      <c r="H327" s="14"/>
      <c r="I327" s="38"/>
      <c r="J327" s="38"/>
      <c r="K327" s="14"/>
      <c r="L327" s="14"/>
      <c r="M327" s="14"/>
      <c r="N327" s="39"/>
      <c r="O327" s="39"/>
      <c r="P327" s="39"/>
      <c r="Q327" s="39"/>
      <c r="R327" s="39"/>
      <c r="S327" s="39"/>
      <c r="T327" s="39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  <c r="AO327" s="14"/>
      <c r="AP327" s="14"/>
    </row>
    <row r="328" spans="1:42" ht="13">
      <c r="A328" s="38"/>
      <c r="B328" s="14"/>
      <c r="C328" s="38"/>
      <c r="D328" s="38"/>
      <c r="E328" s="38"/>
      <c r="F328" s="38"/>
      <c r="G328" s="38"/>
      <c r="H328" s="14"/>
      <c r="I328" s="38"/>
      <c r="J328" s="38"/>
      <c r="K328" s="14"/>
      <c r="L328" s="14"/>
      <c r="M328" s="14"/>
      <c r="N328" s="39"/>
      <c r="O328" s="39"/>
      <c r="P328" s="39"/>
      <c r="Q328" s="39"/>
      <c r="R328" s="39"/>
      <c r="S328" s="39"/>
      <c r="T328" s="39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  <c r="AO328" s="14"/>
      <c r="AP328" s="14"/>
    </row>
    <row r="329" spans="1:42" ht="13">
      <c r="A329" s="38"/>
      <c r="B329" s="14"/>
      <c r="C329" s="38"/>
      <c r="D329" s="38"/>
      <c r="E329" s="38"/>
      <c r="F329" s="38"/>
      <c r="G329" s="38"/>
      <c r="H329" s="14"/>
      <c r="I329" s="38"/>
      <c r="J329" s="38"/>
      <c r="K329" s="14"/>
      <c r="L329" s="14"/>
      <c r="M329" s="14"/>
      <c r="N329" s="39"/>
      <c r="O329" s="39"/>
      <c r="P329" s="39"/>
      <c r="Q329" s="39"/>
      <c r="R329" s="39"/>
      <c r="S329" s="39"/>
      <c r="T329" s="39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  <c r="AO329" s="14"/>
      <c r="AP329" s="14"/>
    </row>
    <row r="330" spans="1:42" ht="13">
      <c r="A330" s="38"/>
      <c r="B330" s="14"/>
      <c r="C330" s="38"/>
      <c r="D330" s="38"/>
      <c r="E330" s="38"/>
      <c r="F330" s="38"/>
      <c r="G330" s="38"/>
      <c r="H330" s="14"/>
      <c r="I330" s="38"/>
      <c r="J330" s="38"/>
      <c r="K330" s="14"/>
      <c r="L330" s="14"/>
      <c r="M330" s="14"/>
      <c r="N330" s="39"/>
      <c r="O330" s="39"/>
      <c r="P330" s="39"/>
      <c r="Q330" s="39"/>
      <c r="R330" s="39"/>
      <c r="S330" s="39"/>
      <c r="T330" s="39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  <c r="AO330" s="14"/>
      <c r="AP330" s="14"/>
    </row>
    <row r="331" spans="1:42" ht="13">
      <c r="A331" s="38"/>
      <c r="B331" s="14"/>
      <c r="C331" s="38"/>
      <c r="D331" s="38"/>
      <c r="E331" s="38"/>
      <c r="F331" s="38"/>
      <c r="G331" s="38"/>
      <c r="H331" s="14"/>
      <c r="I331" s="38"/>
      <c r="J331" s="38"/>
      <c r="K331" s="14"/>
      <c r="L331" s="14"/>
      <c r="M331" s="14"/>
      <c r="N331" s="39"/>
      <c r="O331" s="39"/>
      <c r="P331" s="39"/>
      <c r="Q331" s="39"/>
      <c r="R331" s="39"/>
      <c r="S331" s="39"/>
      <c r="T331" s="39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  <c r="AO331" s="14"/>
      <c r="AP331" s="14"/>
    </row>
    <row r="332" spans="1:42" ht="13">
      <c r="A332" s="38"/>
      <c r="B332" s="14"/>
      <c r="C332" s="38"/>
      <c r="D332" s="38"/>
      <c r="E332" s="38"/>
      <c r="F332" s="38"/>
      <c r="G332" s="38"/>
      <c r="H332" s="14"/>
      <c r="I332" s="38"/>
      <c r="J332" s="38"/>
      <c r="K332" s="14"/>
      <c r="L332" s="14"/>
      <c r="M332" s="14"/>
      <c r="N332" s="39"/>
      <c r="O332" s="39"/>
      <c r="P332" s="39"/>
      <c r="Q332" s="39"/>
      <c r="R332" s="39"/>
      <c r="S332" s="39"/>
      <c r="T332" s="39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  <c r="AO332" s="14"/>
      <c r="AP332" s="14"/>
    </row>
    <row r="333" spans="1:42" ht="13">
      <c r="A333" s="38"/>
      <c r="B333" s="14"/>
      <c r="C333" s="38"/>
      <c r="D333" s="38"/>
      <c r="E333" s="38"/>
      <c r="F333" s="38"/>
      <c r="G333" s="38"/>
      <c r="H333" s="14"/>
      <c r="I333" s="38"/>
      <c r="J333" s="38"/>
      <c r="K333" s="14"/>
      <c r="L333" s="14"/>
      <c r="M333" s="14"/>
      <c r="N333" s="39"/>
      <c r="O333" s="39"/>
      <c r="P333" s="39"/>
      <c r="Q333" s="39"/>
      <c r="R333" s="39"/>
      <c r="S333" s="39"/>
      <c r="T333" s="39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  <c r="AO333" s="14"/>
      <c r="AP333" s="14"/>
    </row>
    <row r="334" spans="1:42" ht="13">
      <c r="A334" s="38"/>
      <c r="B334" s="14"/>
      <c r="C334" s="38"/>
      <c r="D334" s="38"/>
      <c r="E334" s="38"/>
      <c r="F334" s="38"/>
      <c r="G334" s="38"/>
      <c r="H334" s="14"/>
      <c r="I334" s="38"/>
      <c r="J334" s="38"/>
      <c r="K334" s="14"/>
      <c r="L334" s="14"/>
      <c r="M334" s="14"/>
      <c r="N334" s="39"/>
      <c r="O334" s="39"/>
      <c r="P334" s="39"/>
      <c r="Q334" s="39"/>
      <c r="R334" s="39"/>
      <c r="S334" s="39"/>
      <c r="T334" s="39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  <c r="AO334" s="14"/>
      <c r="AP334" s="14"/>
    </row>
    <row r="335" spans="1:42" ht="13">
      <c r="A335" s="38"/>
      <c r="B335" s="14"/>
      <c r="C335" s="38"/>
      <c r="D335" s="38"/>
      <c r="E335" s="38"/>
      <c r="F335" s="38"/>
      <c r="G335" s="38"/>
      <c r="H335" s="14"/>
      <c r="I335" s="38"/>
      <c r="J335" s="38"/>
      <c r="K335" s="14"/>
      <c r="L335" s="14"/>
      <c r="M335" s="14"/>
      <c r="N335" s="39"/>
      <c r="O335" s="39"/>
      <c r="P335" s="39"/>
      <c r="Q335" s="39"/>
      <c r="R335" s="39"/>
      <c r="S335" s="39"/>
      <c r="T335" s="39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  <c r="AO335" s="14"/>
      <c r="AP335" s="14"/>
    </row>
    <row r="336" spans="1:42" ht="13">
      <c r="A336" s="38"/>
      <c r="B336" s="14"/>
      <c r="C336" s="38"/>
      <c r="D336" s="38"/>
      <c r="E336" s="38"/>
      <c r="F336" s="38"/>
      <c r="G336" s="38"/>
      <c r="H336" s="14"/>
      <c r="I336" s="38"/>
      <c r="J336" s="38"/>
      <c r="K336" s="14"/>
      <c r="L336" s="14"/>
      <c r="M336" s="14"/>
      <c r="N336" s="39"/>
      <c r="O336" s="39"/>
      <c r="P336" s="39"/>
      <c r="Q336" s="39"/>
      <c r="R336" s="39"/>
      <c r="S336" s="39"/>
      <c r="T336" s="39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  <c r="AO336" s="14"/>
      <c r="AP336" s="14"/>
    </row>
    <row r="337" spans="1:42" ht="13">
      <c r="A337" s="38"/>
      <c r="B337" s="14"/>
      <c r="C337" s="38"/>
      <c r="D337" s="38"/>
      <c r="E337" s="38"/>
      <c r="F337" s="38"/>
      <c r="G337" s="38"/>
      <c r="H337" s="14"/>
      <c r="I337" s="38"/>
      <c r="J337" s="38"/>
      <c r="K337" s="14"/>
      <c r="L337" s="14"/>
      <c r="M337" s="14"/>
      <c r="N337" s="39"/>
      <c r="O337" s="39"/>
      <c r="P337" s="39"/>
      <c r="Q337" s="39"/>
      <c r="R337" s="39"/>
      <c r="S337" s="39"/>
      <c r="T337" s="39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  <c r="AO337" s="14"/>
      <c r="AP337" s="14"/>
    </row>
    <row r="338" spans="1:42" ht="13">
      <c r="A338" s="38"/>
      <c r="B338" s="14"/>
      <c r="C338" s="38"/>
      <c r="D338" s="38"/>
      <c r="E338" s="38"/>
      <c r="F338" s="38"/>
      <c r="G338" s="38"/>
      <c r="H338" s="14"/>
      <c r="I338" s="38"/>
      <c r="J338" s="38"/>
      <c r="K338" s="14"/>
      <c r="L338" s="14"/>
      <c r="M338" s="14"/>
      <c r="N338" s="39"/>
      <c r="O338" s="39"/>
      <c r="P338" s="39"/>
      <c r="Q338" s="39"/>
      <c r="R338" s="39"/>
      <c r="S338" s="39"/>
      <c r="T338" s="39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  <c r="AO338" s="14"/>
      <c r="AP338" s="14"/>
    </row>
    <row r="339" spans="1:42" ht="13">
      <c r="A339" s="38"/>
      <c r="B339" s="14"/>
      <c r="C339" s="38"/>
      <c r="D339" s="38"/>
      <c r="E339" s="38"/>
      <c r="F339" s="38"/>
      <c r="G339" s="38"/>
      <c r="H339" s="14"/>
      <c r="I339" s="38"/>
      <c r="J339" s="38"/>
      <c r="K339" s="14"/>
      <c r="L339" s="14"/>
      <c r="M339" s="14"/>
      <c r="N339" s="39"/>
      <c r="O339" s="39"/>
      <c r="P339" s="39"/>
      <c r="Q339" s="39"/>
      <c r="R339" s="39"/>
      <c r="S339" s="39"/>
      <c r="T339" s="39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  <c r="AO339" s="14"/>
      <c r="AP339" s="14"/>
    </row>
    <row r="340" spans="1:42" ht="13">
      <c r="A340" s="38"/>
      <c r="B340" s="14"/>
      <c r="C340" s="38"/>
      <c r="D340" s="38"/>
      <c r="E340" s="38"/>
      <c r="F340" s="38"/>
      <c r="G340" s="38"/>
      <c r="H340" s="14"/>
      <c r="I340" s="38"/>
      <c r="J340" s="38"/>
      <c r="K340" s="14"/>
      <c r="L340" s="14"/>
      <c r="M340" s="14"/>
      <c r="N340" s="39"/>
      <c r="O340" s="39"/>
      <c r="P340" s="39"/>
      <c r="Q340" s="39"/>
      <c r="R340" s="39"/>
      <c r="S340" s="39"/>
      <c r="T340" s="39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  <c r="AO340" s="14"/>
      <c r="AP340" s="14"/>
    </row>
    <row r="341" spans="1:42" ht="13">
      <c r="A341" s="38"/>
      <c r="B341" s="14"/>
      <c r="C341" s="38"/>
      <c r="D341" s="38"/>
      <c r="E341" s="38"/>
      <c r="F341" s="38"/>
      <c r="G341" s="38"/>
      <c r="H341" s="14"/>
      <c r="I341" s="38"/>
      <c r="J341" s="38"/>
      <c r="K341" s="14"/>
      <c r="L341" s="14"/>
      <c r="M341" s="14"/>
      <c r="N341" s="39"/>
      <c r="O341" s="39"/>
      <c r="P341" s="39"/>
      <c r="Q341" s="39"/>
      <c r="R341" s="39"/>
      <c r="S341" s="39"/>
      <c r="T341" s="39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  <c r="AO341" s="14"/>
      <c r="AP341" s="14"/>
    </row>
    <row r="342" spans="1:42" ht="13">
      <c r="A342" s="38"/>
      <c r="B342" s="14"/>
      <c r="C342" s="38"/>
      <c r="D342" s="38"/>
      <c r="E342" s="38"/>
      <c r="F342" s="38"/>
      <c r="G342" s="38"/>
      <c r="H342" s="14"/>
      <c r="I342" s="38"/>
      <c r="J342" s="38"/>
      <c r="K342" s="14"/>
      <c r="L342" s="14"/>
      <c r="M342" s="14"/>
      <c r="N342" s="39"/>
      <c r="O342" s="39"/>
      <c r="P342" s="39"/>
      <c r="Q342" s="39"/>
      <c r="R342" s="39"/>
      <c r="S342" s="39"/>
      <c r="T342" s="39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  <c r="AO342" s="14"/>
      <c r="AP342" s="14"/>
    </row>
    <row r="343" spans="1:42" ht="13">
      <c r="A343" s="38"/>
      <c r="B343" s="14"/>
      <c r="C343" s="38"/>
      <c r="D343" s="38"/>
      <c r="E343" s="38"/>
      <c r="F343" s="38"/>
      <c r="G343" s="38"/>
      <c r="H343" s="14"/>
      <c r="I343" s="38"/>
      <c r="J343" s="38"/>
      <c r="K343" s="14"/>
      <c r="L343" s="14"/>
      <c r="M343" s="14"/>
      <c r="N343" s="39"/>
      <c r="O343" s="39"/>
      <c r="P343" s="39"/>
      <c r="Q343" s="39"/>
      <c r="R343" s="39"/>
      <c r="S343" s="39"/>
      <c r="T343" s="39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  <c r="AO343" s="14"/>
      <c r="AP343" s="14"/>
    </row>
    <row r="344" spans="1:42" ht="13">
      <c r="A344" s="38"/>
      <c r="B344" s="14"/>
      <c r="C344" s="38"/>
      <c r="D344" s="38"/>
      <c r="E344" s="38"/>
      <c r="F344" s="38"/>
      <c r="G344" s="38"/>
      <c r="H344" s="14"/>
      <c r="I344" s="38"/>
      <c r="J344" s="38"/>
      <c r="K344" s="14"/>
      <c r="L344" s="14"/>
      <c r="M344" s="14"/>
      <c r="N344" s="39"/>
      <c r="O344" s="39"/>
      <c r="P344" s="39"/>
      <c r="Q344" s="39"/>
      <c r="R344" s="39"/>
      <c r="S344" s="39"/>
      <c r="T344" s="39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  <c r="AO344" s="14"/>
      <c r="AP344" s="14"/>
    </row>
    <row r="345" spans="1:42" ht="13">
      <c r="A345" s="38"/>
      <c r="B345" s="14"/>
      <c r="C345" s="38"/>
      <c r="D345" s="38"/>
      <c r="E345" s="38"/>
      <c r="F345" s="38"/>
      <c r="G345" s="38"/>
      <c r="H345" s="14"/>
      <c r="I345" s="38"/>
      <c r="J345" s="38"/>
      <c r="K345" s="14"/>
      <c r="L345" s="14"/>
      <c r="M345" s="14"/>
      <c r="N345" s="39"/>
      <c r="O345" s="39"/>
      <c r="P345" s="39"/>
      <c r="Q345" s="39"/>
      <c r="R345" s="39"/>
      <c r="S345" s="39"/>
      <c r="T345" s="39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  <c r="AO345" s="14"/>
      <c r="AP345" s="14"/>
    </row>
    <row r="346" spans="1:42" ht="13">
      <c r="A346" s="38"/>
      <c r="B346" s="14"/>
      <c r="C346" s="38"/>
      <c r="D346" s="38"/>
      <c r="E346" s="38"/>
      <c r="F346" s="38"/>
      <c r="G346" s="38"/>
      <c r="H346" s="14"/>
      <c r="I346" s="38"/>
      <c r="J346" s="38"/>
      <c r="K346" s="14"/>
      <c r="L346" s="14"/>
      <c r="M346" s="14"/>
      <c r="N346" s="39"/>
      <c r="O346" s="39"/>
      <c r="P346" s="39"/>
      <c r="Q346" s="39"/>
      <c r="R346" s="39"/>
      <c r="S346" s="39"/>
      <c r="T346" s="39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  <c r="AO346" s="14"/>
      <c r="AP346" s="14"/>
    </row>
    <row r="347" spans="1:42" ht="13">
      <c r="A347" s="38"/>
      <c r="B347" s="14"/>
      <c r="C347" s="38"/>
      <c r="D347" s="38"/>
      <c r="E347" s="38"/>
      <c r="F347" s="38"/>
      <c r="G347" s="38"/>
      <c r="H347" s="14"/>
      <c r="I347" s="38"/>
      <c r="J347" s="38"/>
      <c r="K347" s="14"/>
      <c r="L347" s="14"/>
      <c r="M347" s="14"/>
      <c r="N347" s="39"/>
      <c r="O347" s="39"/>
      <c r="P347" s="39"/>
      <c r="Q347" s="39"/>
      <c r="R347" s="39"/>
      <c r="S347" s="39"/>
      <c r="T347" s="39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  <c r="AO347" s="14"/>
      <c r="AP347" s="14"/>
    </row>
    <row r="348" spans="1:42" ht="13">
      <c r="A348" s="38"/>
      <c r="B348" s="14"/>
      <c r="C348" s="38"/>
      <c r="D348" s="38"/>
      <c r="E348" s="38"/>
      <c r="F348" s="38"/>
      <c r="G348" s="38"/>
      <c r="H348" s="14"/>
      <c r="I348" s="38"/>
      <c r="J348" s="38"/>
      <c r="K348" s="14"/>
      <c r="L348" s="14"/>
      <c r="M348" s="14"/>
      <c r="N348" s="39"/>
      <c r="O348" s="39"/>
      <c r="P348" s="39"/>
      <c r="Q348" s="39"/>
      <c r="R348" s="39"/>
      <c r="S348" s="39"/>
      <c r="T348" s="39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  <c r="AO348" s="14"/>
      <c r="AP348" s="14"/>
    </row>
    <row r="349" spans="1:42" ht="13">
      <c r="A349" s="38"/>
      <c r="B349" s="14"/>
      <c r="C349" s="38"/>
      <c r="D349" s="38"/>
      <c r="E349" s="38"/>
      <c r="F349" s="38"/>
      <c r="G349" s="38"/>
      <c r="H349" s="14"/>
      <c r="I349" s="38"/>
      <c r="J349" s="38"/>
      <c r="K349" s="14"/>
      <c r="L349" s="14"/>
      <c r="M349" s="14"/>
      <c r="N349" s="39"/>
      <c r="O349" s="39"/>
      <c r="P349" s="39"/>
      <c r="Q349" s="39"/>
      <c r="R349" s="39"/>
      <c r="S349" s="39"/>
      <c r="T349" s="39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  <c r="AO349" s="14"/>
      <c r="AP349" s="14"/>
    </row>
    <row r="350" spans="1:42" ht="13">
      <c r="A350" s="38"/>
      <c r="B350" s="14"/>
      <c r="C350" s="38"/>
      <c r="D350" s="38"/>
      <c r="E350" s="38"/>
      <c r="F350" s="38"/>
      <c r="G350" s="38"/>
      <c r="H350" s="14"/>
      <c r="I350" s="38"/>
      <c r="J350" s="38"/>
      <c r="K350" s="14"/>
      <c r="L350" s="14"/>
      <c r="M350" s="14"/>
      <c r="N350" s="39"/>
      <c r="O350" s="39"/>
      <c r="P350" s="39"/>
      <c r="Q350" s="39"/>
      <c r="R350" s="39"/>
      <c r="S350" s="39"/>
      <c r="T350" s="39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  <c r="AO350" s="14"/>
      <c r="AP350" s="14"/>
    </row>
    <row r="351" spans="1:42" ht="13">
      <c r="A351" s="38"/>
      <c r="B351" s="14"/>
      <c r="C351" s="38"/>
      <c r="D351" s="38"/>
      <c r="E351" s="38"/>
      <c r="F351" s="38"/>
      <c r="G351" s="38"/>
      <c r="H351" s="14"/>
      <c r="I351" s="38"/>
      <c r="J351" s="38"/>
      <c r="K351" s="14"/>
      <c r="L351" s="14"/>
      <c r="M351" s="14"/>
      <c r="N351" s="39"/>
      <c r="O351" s="39"/>
      <c r="P351" s="39"/>
      <c r="Q351" s="39"/>
      <c r="R351" s="39"/>
      <c r="S351" s="39"/>
      <c r="T351" s="39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  <c r="AO351" s="14"/>
      <c r="AP351" s="14"/>
    </row>
    <row r="352" spans="1:42" ht="13">
      <c r="A352" s="38"/>
      <c r="B352" s="14"/>
      <c r="C352" s="38"/>
      <c r="D352" s="38"/>
      <c r="E352" s="38"/>
      <c r="F352" s="38"/>
      <c r="G352" s="38"/>
      <c r="H352" s="14"/>
      <c r="I352" s="38"/>
      <c r="J352" s="38"/>
      <c r="K352" s="14"/>
      <c r="L352" s="14"/>
      <c r="M352" s="14"/>
      <c r="N352" s="39"/>
      <c r="O352" s="39"/>
      <c r="P352" s="39"/>
      <c r="Q352" s="39"/>
      <c r="R352" s="39"/>
      <c r="S352" s="39"/>
      <c r="T352" s="39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  <c r="AO352" s="14"/>
      <c r="AP352" s="14"/>
    </row>
    <row r="353" spans="1:42" ht="13">
      <c r="A353" s="38"/>
      <c r="B353" s="14"/>
      <c r="C353" s="38"/>
      <c r="D353" s="38"/>
      <c r="E353" s="38"/>
      <c r="F353" s="38"/>
      <c r="G353" s="38"/>
      <c r="H353" s="14"/>
      <c r="I353" s="38"/>
      <c r="J353" s="38"/>
      <c r="K353" s="14"/>
      <c r="L353" s="14"/>
      <c r="M353" s="14"/>
      <c r="N353" s="39"/>
      <c r="O353" s="39"/>
      <c r="P353" s="39"/>
      <c r="Q353" s="39"/>
      <c r="R353" s="39"/>
      <c r="S353" s="39"/>
      <c r="T353" s="39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  <c r="AO353" s="14"/>
      <c r="AP353" s="14"/>
    </row>
    <row r="354" spans="1:42" ht="13">
      <c r="A354" s="38"/>
      <c r="B354" s="14"/>
      <c r="C354" s="38"/>
      <c r="D354" s="38"/>
      <c r="E354" s="38"/>
      <c r="F354" s="38"/>
      <c r="G354" s="38"/>
      <c r="H354" s="14"/>
      <c r="I354" s="38"/>
      <c r="J354" s="38"/>
      <c r="K354" s="14"/>
      <c r="L354" s="14"/>
      <c r="M354" s="14"/>
      <c r="N354" s="39"/>
      <c r="O354" s="39"/>
      <c r="P354" s="39"/>
      <c r="Q354" s="39"/>
      <c r="R354" s="39"/>
      <c r="S354" s="39"/>
      <c r="T354" s="39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  <c r="AO354" s="14"/>
      <c r="AP354" s="14"/>
    </row>
    <row r="355" spans="1:42" ht="13">
      <c r="A355" s="38"/>
      <c r="B355" s="14"/>
      <c r="C355" s="38"/>
      <c r="D355" s="38"/>
      <c r="E355" s="38"/>
      <c r="F355" s="38"/>
      <c r="G355" s="38"/>
      <c r="H355" s="14"/>
      <c r="I355" s="38"/>
      <c r="J355" s="38"/>
      <c r="K355" s="14"/>
      <c r="L355" s="14"/>
      <c r="M355" s="14"/>
      <c r="N355" s="39"/>
      <c r="O355" s="39"/>
      <c r="P355" s="39"/>
      <c r="Q355" s="39"/>
      <c r="R355" s="39"/>
      <c r="S355" s="39"/>
      <c r="T355" s="39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  <c r="AL355" s="14"/>
      <c r="AM355" s="14"/>
      <c r="AN355" s="14"/>
      <c r="AO355" s="14"/>
      <c r="AP355" s="14"/>
    </row>
    <row r="356" spans="1:42" ht="13">
      <c r="A356" s="38"/>
      <c r="B356" s="14"/>
      <c r="C356" s="38"/>
      <c r="D356" s="38"/>
      <c r="E356" s="38"/>
      <c r="F356" s="38"/>
      <c r="G356" s="38"/>
      <c r="H356" s="14"/>
      <c r="I356" s="38"/>
      <c r="J356" s="38"/>
      <c r="K356" s="14"/>
      <c r="L356" s="14"/>
      <c r="M356" s="14"/>
      <c r="N356" s="39"/>
      <c r="O356" s="39"/>
      <c r="P356" s="39"/>
      <c r="Q356" s="39"/>
      <c r="R356" s="39"/>
      <c r="S356" s="39"/>
      <c r="T356" s="39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  <c r="AK356" s="14"/>
      <c r="AL356" s="14"/>
      <c r="AM356" s="14"/>
      <c r="AN356" s="14"/>
      <c r="AO356" s="14"/>
      <c r="AP356" s="14"/>
    </row>
    <row r="357" spans="1:42" ht="13">
      <c r="A357" s="38"/>
      <c r="B357" s="14"/>
      <c r="C357" s="38"/>
      <c r="D357" s="38"/>
      <c r="E357" s="38"/>
      <c r="F357" s="38"/>
      <c r="G357" s="38"/>
      <c r="H357" s="14"/>
      <c r="I357" s="38"/>
      <c r="J357" s="38"/>
      <c r="K357" s="14"/>
      <c r="L357" s="14"/>
      <c r="M357" s="14"/>
      <c r="N357" s="39"/>
      <c r="O357" s="39"/>
      <c r="P357" s="39"/>
      <c r="Q357" s="39"/>
      <c r="R357" s="39"/>
      <c r="S357" s="39"/>
      <c r="T357" s="39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  <c r="AL357" s="14"/>
      <c r="AM357" s="14"/>
      <c r="AN357" s="14"/>
      <c r="AO357" s="14"/>
      <c r="AP357" s="14"/>
    </row>
    <row r="358" spans="1:42" ht="13">
      <c r="A358" s="38"/>
      <c r="B358" s="14"/>
      <c r="C358" s="38"/>
      <c r="D358" s="38"/>
      <c r="E358" s="38"/>
      <c r="F358" s="38"/>
      <c r="G358" s="38"/>
      <c r="H358" s="14"/>
      <c r="I358" s="38"/>
      <c r="J358" s="38"/>
      <c r="K358" s="14"/>
      <c r="L358" s="14"/>
      <c r="M358" s="14"/>
      <c r="N358" s="39"/>
      <c r="O358" s="39"/>
      <c r="P358" s="39"/>
      <c r="Q358" s="39"/>
      <c r="R358" s="39"/>
      <c r="S358" s="39"/>
      <c r="T358" s="39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  <c r="AM358" s="14"/>
      <c r="AN358" s="14"/>
      <c r="AO358" s="14"/>
      <c r="AP358" s="14"/>
    </row>
    <row r="359" spans="1:42" ht="13">
      <c r="A359" s="38"/>
      <c r="B359" s="14"/>
      <c r="C359" s="38"/>
      <c r="D359" s="38"/>
      <c r="E359" s="38"/>
      <c r="F359" s="38"/>
      <c r="G359" s="38"/>
      <c r="H359" s="14"/>
      <c r="I359" s="38"/>
      <c r="J359" s="38"/>
      <c r="K359" s="14"/>
      <c r="L359" s="14"/>
      <c r="M359" s="14"/>
      <c r="N359" s="39"/>
      <c r="O359" s="39"/>
      <c r="P359" s="39"/>
      <c r="Q359" s="39"/>
      <c r="R359" s="39"/>
      <c r="S359" s="39"/>
      <c r="T359" s="39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  <c r="AL359" s="14"/>
      <c r="AM359" s="14"/>
      <c r="AN359" s="14"/>
      <c r="AO359" s="14"/>
      <c r="AP359" s="14"/>
    </row>
    <row r="360" spans="1:42" ht="13">
      <c r="A360" s="38"/>
      <c r="B360" s="14"/>
      <c r="C360" s="38"/>
      <c r="D360" s="38"/>
      <c r="E360" s="38"/>
      <c r="F360" s="38"/>
      <c r="G360" s="38"/>
      <c r="H360" s="14"/>
      <c r="I360" s="38"/>
      <c r="J360" s="38"/>
      <c r="K360" s="14"/>
      <c r="L360" s="14"/>
      <c r="M360" s="14"/>
      <c r="N360" s="39"/>
      <c r="O360" s="39"/>
      <c r="P360" s="39"/>
      <c r="Q360" s="39"/>
      <c r="R360" s="39"/>
      <c r="S360" s="39"/>
      <c r="T360" s="39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  <c r="AL360" s="14"/>
      <c r="AM360" s="14"/>
      <c r="AN360" s="14"/>
      <c r="AO360" s="14"/>
      <c r="AP360" s="14"/>
    </row>
    <row r="361" spans="1:42" ht="13">
      <c r="A361" s="38"/>
      <c r="B361" s="14"/>
      <c r="C361" s="38"/>
      <c r="D361" s="38"/>
      <c r="E361" s="38"/>
      <c r="F361" s="38"/>
      <c r="G361" s="38"/>
      <c r="H361" s="14"/>
      <c r="I361" s="38"/>
      <c r="J361" s="38"/>
      <c r="K361" s="14"/>
      <c r="L361" s="14"/>
      <c r="M361" s="14"/>
      <c r="N361" s="39"/>
      <c r="O361" s="39"/>
      <c r="P361" s="39"/>
      <c r="Q361" s="39"/>
      <c r="R361" s="39"/>
      <c r="S361" s="39"/>
      <c r="T361" s="39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  <c r="AL361" s="14"/>
      <c r="AM361" s="14"/>
      <c r="AN361" s="14"/>
      <c r="AO361" s="14"/>
      <c r="AP361" s="14"/>
    </row>
    <row r="362" spans="1:42" ht="13">
      <c r="A362" s="38"/>
      <c r="B362" s="14"/>
      <c r="C362" s="38"/>
      <c r="D362" s="38"/>
      <c r="E362" s="38"/>
      <c r="F362" s="38"/>
      <c r="G362" s="38"/>
      <c r="H362" s="14"/>
      <c r="I362" s="38"/>
      <c r="J362" s="38"/>
      <c r="K362" s="14"/>
      <c r="L362" s="14"/>
      <c r="M362" s="14"/>
      <c r="N362" s="39"/>
      <c r="O362" s="39"/>
      <c r="P362" s="39"/>
      <c r="Q362" s="39"/>
      <c r="R362" s="39"/>
      <c r="S362" s="39"/>
      <c r="T362" s="39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  <c r="AL362" s="14"/>
      <c r="AM362" s="14"/>
      <c r="AN362" s="14"/>
      <c r="AO362" s="14"/>
      <c r="AP362" s="14"/>
    </row>
    <row r="363" spans="1:42" ht="13">
      <c r="A363" s="38"/>
      <c r="B363" s="14"/>
      <c r="C363" s="38"/>
      <c r="D363" s="38"/>
      <c r="E363" s="38"/>
      <c r="F363" s="38"/>
      <c r="G363" s="38"/>
      <c r="H363" s="14"/>
      <c r="I363" s="38"/>
      <c r="J363" s="38"/>
      <c r="K363" s="14"/>
      <c r="L363" s="14"/>
      <c r="M363" s="14"/>
      <c r="N363" s="39"/>
      <c r="O363" s="39"/>
      <c r="P363" s="39"/>
      <c r="Q363" s="39"/>
      <c r="R363" s="39"/>
      <c r="S363" s="39"/>
      <c r="T363" s="39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  <c r="AL363" s="14"/>
      <c r="AM363" s="14"/>
      <c r="AN363" s="14"/>
      <c r="AO363" s="14"/>
      <c r="AP363" s="14"/>
    </row>
    <row r="364" spans="1:42" ht="13">
      <c r="A364" s="38"/>
      <c r="B364" s="14"/>
      <c r="C364" s="38"/>
      <c r="D364" s="38"/>
      <c r="E364" s="38"/>
      <c r="F364" s="38"/>
      <c r="G364" s="38"/>
      <c r="H364" s="14"/>
      <c r="I364" s="38"/>
      <c r="J364" s="38"/>
      <c r="K364" s="14"/>
      <c r="L364" s="14"/>
      <c r="M364" s="14"/>
      <c r="N364" s="39"/>
      <c r="O364" s="39"/>
      <c r="P364" s="39"/>
      <c r="Q364" s="39"/>
      <c r="R364" s="39"/>
      <c r="S364" s="39"/>
      <c r="T364" s="39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  <c r="AL364" s="14"/>
      <c r="AM364" s="14"/>
      <c r="AN364" s="14"/>
      <c r="AO364" s="14"/>
      <c r="AP364" s="14"/>
    </row>
    <row r="365" spans="1:42" ht="13">
      <c r="A365" s="38"/>
      <c r="B365" s="14"/>
      <c r="C365" s="38"/>
      <c r="D365" s="38"/>
      <c r="E365" s="38"/>
      <c r="F365" s="38"/>
      <c r="G365" s="38"/>
      <c r="H365" s="14"/>
      <c r="I365" s="38"/>
      <c r="J365" s="38"/>
      <c r="K365" s="14"/>
      <c r="L365" s="14"/>
      <c r="M365" s="14"/>
      <c r="N365" s="39"/>
      <c r="O365" s="39"/>
      <c r="P365" s="39"/>
      <c r="Q365" s="39"/>
      <c r="R365" s="39"/>
      <c r="S365" s="39"/>
      <c r="T365" s="39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  <c r="AL365" s="14"/>
      <c r="AM365" s="14"/>
      <c r="AN365" s="14"/>
      <c r="AO365" s="14"/>
      <c r="AP365" s="14"/>
    </row>
    <row r="366" spans="1:42" ht="13">
      <c r="A366" s="38"/>
      <c r="B366" s="14"/>
      <c r="C366" s="38"/>
      <c r="D366" s="38"/>
      <c r="E366" s="38"/>
      <c r="F366" s="38"/>
      <c r="G366" s="38"/>
      <c r="H366" s="14"/>
      <c r="I366" s="38"/>
      <c r="J366" s="38"/>
      <c r="K366" s="14"/>
      <c r="L366" s="14"/>
      <c r="M366" s="14"/>
      <c r="N366" s="39"/>
      <c r="O366" s="39"/>
      <c r="P366" s="39"/>
      <c r="Q366" s="39"/>
      <c r="R366" s="39"/>
      <c r="S366" s="39"/>
      <c r="T366" s="39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  <c r="AM366" s="14"/>
      <c r="AN366" s="14"/>
      <c r="AO366" s="14"/>
      <c r="AP366" s="14"/>
    </row>
    <row r="367" spans="1:42" ht="13">
      <c r="A367" s="38"/>
      <c r="B367" s="14"/>
      <c r="C367" s="38"/>
      <c r="D367" s="38"/>
      <c r="E367" s="38"/>
      <c r="F367" s="38"/>
      <c r="G367" s="38"/>
      <c r="H367" s="14"/>
      <c r="I367" s="38"/>
      <c r="J367" s="38"/>
      <c r="K367" s="14"/>
      <c r="L367" s="14"/>
      <c r="M367" s="14"/>
      <c r="N367" s="39"/>
      <c r="O367" s="39"/>
      <c r="P367" s="39"/>
      <c r="Q367" s="39"/>
      <c r="R367" s="39"/>
      <c r="S367" s="39"/>
      <c r="T367" s="39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  <c r="AL367" s="14"/>
      <c r="AM367" s="14"/>
      <c r="AN367" s="14"/>
      <c r="AO367" s="14"/>
      <c r="AP367" s="14"/>
    </row>
    <row r="368" spans="1:42" ht="13">
      <c r="A368" s="38"/>
      <c r="B368" s="14"/>
      <c r="C368" s="38"/>
      <c r="D368" s="38"/>
      <c r="E368" s="38"/>
      <c r="F368" s="38"/>
      <c r="G368" s="38"/>
      <c r="H368" s="14"/>
      <c r="I368" s="38"/>
      <c r="J368" s="38"/>
      <c r="K368" s="14"/>
      <c r="L368" s="14"/>
      <c r="M368" s="14"/>
      <c r="N368" s="39"/>
      <c r="O368" s="39"/>
      <c r="P368" s="39"/>
      <c r="Q368" s="39"/>
      <c r="R368" s="39"/>
      <c r="S368" s="39"/>
      <c r="T368" s="39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14"/>
      <c r="AM368" s="14"/>
      <c r="AN368" s="14"/>
      <c r="AO368" s="14"/>
      <c r="AP368" s="14"/>
    </row>
    <row r="369" spans="1:42" ht="13">
      <c r="A369" s="38"/>
      <c r="B369" s="14"/>
      <c r="C369" s="38"/>
      <c r="D369" s="38"/>
      <c r="E369" s="38"/>
      <c r="F369" s="38"/>
      <c r="G369" s="38"/>
      <c r="H369" s="14"/>
      <c r="I369" s="38"/>
      <c r="J369" s="38"/>
      <c r="K369" s="14"/>
      <c r="L369" s="14"/>
      <c r="M369" s="14"/>
      <c r="N369" s="39"/>
      <c r="O369" s="39"/>
      <c r="P369" s="39"/>
      <c r="Q369" s="39"/>
      <c r="R369" s="39"/>
      <c r="S369" s="39"/>
      <c r="T369" s="39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  <c r="AO369" s="14"/>
      <c r="AP369" s="14"/>
    </row>
    <row r="370" spans="1:42" ht="13">
      <c r="A370" s="38"/>
      <c r="B370" s="14"/>
      <c r="C370" s="38"/>
      <c r="D370" s="38"/>
      <c r="E370" s="38"/>
      <c r="F370" s="38"/>
      <c r="G370" s="38"/>
      <c r="H370" s="14"/>
      <c r="I370" s="38"/>
      <c r="J370" s="38"/>
      <c r="K370" s="14"/>
      <c r="L370" s="14"/>
      <c r="M370" s="14"/>
      <c r="N370" s="39"/>
      <c r="O370" s="39"/>
      <c r="P370" s="39"/>
      <c r="Q370" s="39"/>
      <c r="R370" s="39"/>
      <c r="S370" s="39"/>
      <c r="T370" s="39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  <c r="AM370" s="14"/>
      <c r="AN370" s="14"/>
      <c r="AO370" s="14"/>
      <c r="AP370" s="14"/>
    </row>
    <row r="371" spans="1:42" ht="13">
      <c r="A371" s="38"/>
      <c r="B371" s="14"/>
      <c r="C371" s="38"/>
      <c r="D371" s="38"/>
      <c r="E371" s="38"/>
      <c r="F371" s="38"/>
      <c r="G371" s="38"/>
      <c r="H371" s="14"/>
      <c r="I371" s="38"/>
      <c r="J371" s="38"/>
      <c r="K371" s="14"/>
      <c r="L371" s="14"/>
      <c r="M371" s="14"/>
      <c r="N371" s="39"/>
      <c r="O371" s="39"/>
      <c r="P371" s="39"/>
      <c r="Q371" s="39"/>
      <c r="R371" s="39"/>
      <c r="S371" s="39"/>
      <c r="T371" s="39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  <c r="AN371" s="14"/>
      <c r="AO371" s="14"/>
      <c r="AP371" s="14"/>
    </row>
    <row r="372" spans="1:42" ht="13">
      <c r="A372" s="38"/>
      <c r="B372" s="14"/>
      <c r="C372" s="38"/>
      <c r="D372" s="38"/>
      <c r="E372" s="38"/>
      <c r="F372" s="38"/>
      <c r="G372" s="38"/>
      <c r="H372" s="14"/>
      <c r="I372" s="38"/>
      <c r="J372" s="38"/>
      <c r="K372" s="14"/>
      <c r="L372" s="14"/>
      <c r="M372" s="14"/>
      <c r="N372" s="39"/>
      <c r="O372" s="39"/>
      <c r="P372" s="39"/>
      <c r="Q372" s="39"/>
      <c r="R372" s="39"/>
      <c r="S372" s="39"/>
      <c r="T372" s="39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  <c r="AM372" s="14"/>
      <c r="AN372" s="14"/>
      <c r="AO372" s="14"/>
      <c r="AP372" s="14"/>
    </row>
    <row r="373" spans="1:42" ht="13">
      <c r="A373" s="38"/>
      <c r="B373" s="14"/>
      <c r="C373" s="38"/>
      <c r="D373" s="38"/>
      <c r="E373" s="38"/>
      <c r="F373" s="38"/>
      <c r="G373" s="38"/>
      <c r="H373" s="14"/>
      <c r="I373" s="38"/>
      <c r="J373" s="38"/>
      <c r="K373" s="14"/>
      <c r="L373" s="14"/>
      <c r="M373" s="14"/>
      <c r="N373" s="39"/>
      <c r="O373" s="39"/>
      <c r="P373" s="39"/>
      <c r="Q373" s="39"/>
      <c r="R373" s="39"/>
      <c r="S373" s="39"/>
      <c r="T373" s="39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  <c r="AN373" s="14"/>
      <c r="AO373" s="14"/>
      <c r="AP373" s="14"/>
    </row>
    <row r="374" spans="1:42" ht="13">
      <c r="A374" s="38"/>
      <c r="B374" s="14"/>
      <c r="C374" s="38"/>
      <c r="D374" s="38"/>
      <c r="E374" s="38"/>
      <c r="F374" s="38"/>
      <c r="G374" s="38"/>
      <c r="H374" s="14"/>
      <c r="I374" s="38"/>
      <c r="J374" s="38"/>
      <c r="K374" s="14"/>
      <c r="L374" s="14"/>
      <c r="M374" s="14"/>
      <c r="N374" s="39"/>
      <c r="O374" s="39"/>
      <c r="P374" s="39"/>
      <c r="Q374" s="39"/>
      <c r="R374" s="39"/>
      <c r="S374" s="39"/>
      <c r="T374" s="39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  <c r="AN374" s="14"/>
      <c r="AO374" s="14"/>
      <c r="AP374" s="14"/>
    </row>
    <row r="375" spans="1:42" ht="13">
      <c r="A375" s="38"/>
      <c r="B375" s="14"/>
      <c r="C375" s="38"/>
      <c r="D375" s="38"/>
      <c r="E375" s="38"/>
      <c r="F375" s="38"/>
      <c r="G375" s="38"/>
      <c r="H375" s="14"/>
      <c r="I375" s="38"/>
      <c r="J375" s="38"/>
      <c r="K375" s="14"/>
      <c r="L375" s="14"/>
      <c r="M375" s="14"/>
      <c r="N375" s="39"/>
      <c r="O375" s="39"/>
      <c r="P375" s="39"/>
      <c r="Q375" s="39"/>
      <c r="R375" s="39"/>
      <c r="S375" s="39"/>
      <c r="T375" s="39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  <c r="AO375" s="14"/>
      <c r="AP375" s="14"/>
    </row>
    <row r="376" spans="1:42" ht="13">
      <c r="A376" s="38"/>
      <c r="B376" s="14"/>
      <c r="C376" s="38"/>
      <c r="D376" s="38"/>
      <c r="E376" s="38"/>
      <c r="F376" s="38"/>
      <c r="G376" s="38"/>
      <c r="H376" s="14"/>
      <c r="I376" s="38"/>
      <c r="J376" s="38"/>
      <c r="K376" s="14"/>
      <c r="L376" s="14"/>
      <c r="M376" s="14"/>
      <c r="N376" s="39"/>
      <c r="O376" s="39"/>
      <c r="P376" s="39"/>
      <c r="Q376" s="39"/>
      <c r="R376" s="39"/>
      <c r="S376" s="39"/>
      <c r="T376" s="39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  <c r="AN376" s="14"/>
      <c r="AO376" s="14"/>
      <c r="AP376" s="14"/>
    </row>
    <row r="377" spans="1:42" ht="13">
      <c r="A377" s="38"/>
      <c r="B377" s="14"/>
      <c r="C377" s="38"/>
      <c r="D377" s="38"/>
      <c r="E377" s="38"/>
      <c r="F377" s="38"/>
      <c r="G377" s="38"/>
      <c r="H377" s="14"/>
      <c r="I377" s="38"/>
      <c r="J377" s="38"/>
      <c r="K377" s="14"/>
      <c r="L377" s="14"/>
      <c r="M377" s="14"/>
      <c r="N377" s="39"/>
      <c r="O377" s="39"/>
      <c r="P377" s="39"/>
      <c r="Q377" s="39"/>
      <c r="R377" s="39"/>
      <c r="S377" s="39"/>
      <c r="T377" s="39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  <c r="AO377" s="14"/>
      <c r="AP377" s="14"/>
    </row>
    <row r="378" spans="1:42" ht="13">
      <c r="A378" s="38"/>
      <c r="B378" s="14"/>
      <c r="C378" s="38"/>
      <c r="D378" s="38"/>
      <c r="E378" s="38"/>
      <c r="F378" s="38"/>
      <c r="G378" s="38"/>
      <c r="H378" s="14"/>
      <c r="I378" s="38"/>
      <c r="J378" s="38"/>
      <c r="K378" s="14"/>
      <c r="L378" s="14"/>
      <c r="M378" s="14"/>
      <c r="N378" s="39"/>
      <c r="O378" s="39"/>
      <c r="P378" s="39"/>
      <c r="Q378" s="39"/>
      <c r="R378" s="39"/>
      <c r="S378" s="39"/>
      <c r="T378" s="39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  <c r="AN378" s="14"/>
      <c r="AO378" s="14"/>
      <c r="AP378" s="14"/>
    </row>
    <row r="379" spans="1:42" ht="13">
      <c r="A379" s="38"/>
      <c r="B379" s="14"/>
      <c r="C379" s="38"/>
      <c r="D379" s="38"/>
      <c r="E379" s="38"/>
      <c r="F379" s="38"/>
      <c r="G379" s="38"/>
      <c r="H379" s="14"/>
      <c r="I379" s="38"/>
      <c r="J379" s="38"/>
      <c r="K379" s="14"/>
      <c r="L379" s="14"/>
      <c r="M379" s="14"/>
      <c r="N379" s="39"/>
      <c r="O379" s="39"/>
      <c r="P379" s="39"/>
      <c r="Q379" s="39"/>
      <c r="R379" s="39"/>
      <c r="S379" s="39"/>
      <c r="T379" s="39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/>
      <c r="AO379" s="14"/>
      <c r="AP379" s="14"/>
    </row>
    <row r="380" spans="1:42" ht="13">
      <c r="A380" s="38"/>
      <c r="B380" s="14"/>
      <c r="C380" s="38"/>
      <c r="D380" s="38"/>
      <c r="E380" s="38"/>
      <c r="F380" s="38"/>
      <c r="G380" s="38"/>
      <c r="H380" s="14"/>
      <c r="I380" s="38"/>
      <c r="J380" s="38"/>
      <c r="K380" s="14"/>
      <c r="L380" s="14"/>
      <c r="M380" s="14"/>
      <c r="N380" s="39"/>
      <c r="O380" s="39"/>
      <c r="P380" s="39"/>
      <c r="Q380" s="39"/>
      <c r="R380" s="39"/>
      <c r="S380" s="39"/>
      <c r="T380" s="39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  <c r="AM380" s="14"/>
      <c r="AN380" s="14"/>
      <c r="AO380" s="14"/>
      <c r="AP380" s="14"/>
    </row>
    <row r="381" spans="1:42" ht="13">
      <c r="A381" s="38"/>
      <c r="B381" s="14"/>
      <c r="C381" s="38"/>
      <c r="D381" s="38"/>
      <c r="E381" s="38"/>
      <c r="F381" s="38"/>
      <c r="G381" s="38"/>
      <c r="H381" s="14"/>
      <c r="I381" s="38"/>
      <c r="J381" s="38"/>
      <c r="K381" s="14"/>
      <c r="L381" s="14"/>
      <c r="M381" s="14"/>
      <c r="N381" s="39"/>
      <c r="O381" s="39"/>
      <c r="P381" s="39"/>
      <c r="Q381" s="39"/>
      <c r="R381" s="39"/>
      <c r="S381" s="39"/>
      <c r="T381" s="39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  <c r="AN381" s="14"/>
      <c r="AO381" s="14"/>
      <c r="AP381" s="14"/>
    </row>
    <row r="382" spans="1:42" ht="13">
      <c r="A382" s="38"/>
      <c r="B382" s="14"/>
      <c r="C382" s="38"/>
      <c r="D382" s="38"/>
      <c r="E382" s="38"/>
      <c r="F382" s="38"/>
      <c r="G382" s="38"/>
      <c r="H382" s="14"/>
      <c r="I382" s="38"/>
      <c r="J382" s="38"/>
      <c r="K382" s="14"/>
      <c r="L382" s="14"/>
      <c r="M382" s="14"/>
      <c r="N382" s="39"/>
      <c r="O382" s="39"/>
      <c r="P382" s="39"/>
      <c r="Q382" s="39"/>
      <c r="R382" s="39"/>
      <c r="S382" s="39"/>
      <c r="T382" s="39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  <c r="AN382" s="14"/>
      <c r="AO382" s="14"/>
      <c r="AP382" s="14"/>
    </row>
    <row r="383" spans="1:42" ht="13">
      <c r="A383" s="38"/>
      <c r="B383" s="14"/>
      <c r="C383" s="38"/>
      <c r="D383" s="38"/>
      <c r="E383" s="38"/>
      <c r="F383" s="38"/>
      <c r="G383" s="38"/>
      <c r="H383" s="14"/>
      <c r="I383" s="38"/>
      <c r="J383" s="38"/>
      <c r="K383" s="14"/>
      <c r="L383" s="14"/>
      <c r="M383" s="14"/>
      <c r="N383" s="39"/>
      <c r="O383" s="39"/>
      <c r="P383" s="39"/>
      <c r="Q383" s="39"/>
      <c r="R383" s="39"/>
      <c r="S383" s="39"/>
      <c r="T383" s="39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  <c r="AO383" s="14"/>
      <c r="AP383" s="14"/>
    </row>
    <row r="384" spans="1:42" ht="13">
      <c r="A384" s="38"/>
      <c r="B384" s="14"/>
      <c r="C384" s="38"/>
      <c r="D384" s="38"/>
      <c r="E384" s="38"/>
      <c r="F384" s="38"/>
      <c r="G384" s="38"/>
      <c r="H384" s="14"/>
      <c r="I384" s="38"/>
      <c r="J384" s="38"/>
      <c r="K384" s="14"/>
      <c r="L384" s="14"/>
      <c r="M384" s="14"/>
      <c r="N384" s="39"/>
      <c r="O384" s="39"/>
      <c r="P384" s="39"/>
      <c r="Q384" s="39"/>
      <c r="R384" s="39"/>
      <c r="S384" s="39"/>
      <c r="T384" s="39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  <c r="AM384" s="14"/>
      <c r="AN384" s="14"/>
      <c r="AO384" s="14"/>
      <c r="AP384" s="14"/>
    </row>
    <row r="385" spans="1:42" ht="13">
      <c r="A385" s="38"/>
      <c r="B385" s="14"/>
      <c r="C385" s="38"/>
      <c r="D385" s="38"/>
      <c r="E385" s="38"/>
      <c r="F385" s="38"/>
      <c r="G385" s="38"/>
      <c r="H385" s="14"/>
      <c r="I385" s="38"/>
      <c r="J385" s="38"/>
      <c r="K385" s="14"/>
      <c r="L385" s="14"/>
      <c r="M385" s="14"/>
      <c r="N385" s="39"/>
      <c r="O385" s="39"/>
      <c r="P385" s="39"/>
      <c r="Q385" s="39"/>
      <c r="R385" s="39"/>
      <c r="S385" s="39"/>
      <c r="T385" s="39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  <c r="AN385" s="14"/>
      <c r="AO385" s="14"/>
      <c r="AP385" s="14"/>
    </row>
    <row r="386" spans="1:42" ht="13">
      <c r="A386" s="38"/>
      <c r="B386" s="14"/>
      <c r="C386" s="38"/>
      <c r="D386" s="38"/>
      <c r="E386" s="38"/>
      <c r="F386" s="38"/>
      <c r="G386" s="38"/>
      <c r="H386" s="14"/>
      <c r="I386" s="38"/>
      <c r="J386" s="38"/>
      <c r="K386" s="14"/>
      <c r="L386" s="14"/>
      <c r="M386" s="14"/>
      <c r="N386" s="39"/>
      <c r="O386" s="39"/>
      <c r="P386" s="39"/>
      <c r="Q386" s="39"/>
      <c r="R386" s="39"/>
      <c r="S386" s="39"/>
      <c r="T386" s="39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  <c r="AN386" s="14"/>
      <c r="AO386" s="14"/>
      <c r="AP386" s="14"/>
    </row>
    <row r="387" spans="1:42" ht="13">
      <c r="A387" s="38"/>
      <c r="B387" s="14"/>
      <c r="C387" s="38"/>
      <c r="D387" s="38"/>
      <c r="E387" s="38"/>
      <c r="F387" s="38"/>
      <c r="G387" s="38"/>
      <c r="H387" s="14"/>
      <c r="I387" s="38"/>
      <c r="J387" s="38"/>
      <c r="K387" s="14"/>
      <c r="L387" s="14"/>
      <c r="M387" s="14"/>
      <c r="N387" s="39"/>
      <c r="O387" s="39"/>
      <c r="P387" s="39"/>
      <c r="Q387" s="39"/>
      <c r="R387" s="39"/>
      <c r="S387" s="39"/>
      <c r="T387" s="39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  <c r="AN387" s="14"/>
      <c r="AO387" s="14"/>
      <c r="AP387" s="14"/>
    </row>
    <row r="388" spans="1:42" ht="13">
      <c r="A388" s="38"/>
      <c r="B388" s="14"/>
      <c r="C388" s="38"/>
      <c r="D388" s="38"/>
      <c r="E388" s="38"/>
      <c r="F388" s="38"/>
      <c r="G388" s="38"/>
      <c r="H388" s="14"/>
      <c r="I388" s="38"/>
      <c r="J388" s="38"/>
      <c r="K388" s="14"/>
      <c r="L388" s="14"/>
      <c r="M388" s="14"/>
      <c r="N388" s="39"/>
      <c r="O388" s="39"/>
      <c r="P388" s="39"/>
      <c r="Q388" s="39"/>
      <c r="R388" s="39"/>
      <c r="S388" s="39"/>
      <c r="T388" s="39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  <c r="AM388" s="14"/>
      <c r="AN388" s="14"/>
      <c r="AO388" s="14"/>
      <c r="AP388" s="14"/>
    </row>
    <row r="389" spans="1:42" ht="13">
      <c r="A389" s="38"/>
      <c r="B389" s="14"/>
      <c r="C389" s="38"/>
      <c r="D389" s="38"/>
      <c r="E389" s="38"/>
      <c r="F389" s="38"/>
      <c r="G389" s="38"/>
      <c r="H389" s="14"/>
      <c r="I389" s="38"/>
      <c r="J389" s="38"/>
      <c r="K389" s="14"/>
      <c r="L389" s="14"/>
      <c r="M389" s="14"/>
      <c r="N389" s="39"/>
      <c r="O389" s="39"/>
      <c r="P389" s="39"/>
      <c r="Q389" s="39"/>
      <c r="R389" s="39"/>
      <c r="S389" s="39"/>
      <c r="T389" s="39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  <c r="AN389" s="14"/>
      <c r="AO389" s="14"/>
      <c r="AP389" s="14"/>
    </row>
    <row r="390" spans="1:42" ht="13">
      <c r="A390" s="38"/>
      <c r="B390" s="14"/>
      <c r="C390" s="38"/>
      <c r="D390" s="38"/>
      <c r="E390" s="38"/>
      <c r="F390" s="38"/>
      <c r="G390" s="38"/>
      <c r="H390" s="14"/>
      <c r="I390" s="38"/>
      <c r="J390" s="38"/>
      <c r="K390" s="14"/>
      <c r="L390" s="14"/>
      <c r="M390" s="14"/>
      <c r="N390" s="39"/>
      <c r="O390" s="39"/>
      <c r="P390" s="39"/>
      <c r="Q390" s="39"/>
      <c r="R390" s="39"/>
      <c r="S390" s="39"/>
      <c r="T390" s="39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  <c r="AL390" s="14"/>
      <c r="AM390" s="14"/>
      <c r="AN390" s="14"/>
      <c r="AO390" s="14"/>
      <c r="AP390" s="14"/>
    </row>
    <row r="391" spans="1:42" ht="13">
      <c r="A391" s="38"/>
      <c r="B391" s="14"/>
      <c r="C391" s="38"/>
      <c r="D391" s="38"/>
      <c r="E391" s="38"/>
      <c r="F391" s="38"/>
      <c r="G391" s="38"/>
      <c r="H391" s="14"/>
      <c r="I391" s="38"/>
      <c r="J391" s="38"/>
      <c r="K391" s="14"/>
      <c r="L391" s="14"/>
      <c r="M391" s="14"/>
      <c r="N391" s="39"/>
      <c r="O391" s="39"/>
      <c r="P391" s="39"/>
      <c r="Q391" s="39"/>
      <c r="R391" s="39"/>
      <c r="S391" s="39"/>
      <c r="T391" s="39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  <c r="AN391" s="14"/>
      <c r="AO391" s="14"/>
      <c r="AP391" s="14"/>
    </row>
    <row r="392" spans="1:42" ht="13">
      <c r="A392" s="38"/>
      <c r="B392" s="14"/>
      <c r="C392" s="38"/>
      <c r="D392" s="38"/>
      <c r="E392" s="38"/>
      <c r="F392" s="38"/>
      <c r="G392" s="38"/>
      <c r="H392" s="14"/>
      <c r="I392" s="38"/>
      <c r="J392" s="38"/>
      <c r="K392" s="14"/>
      <c r="L392" s="14"/>
      <c r="M392" s="14"/>
      <c r="N392" s="39"/>
      <c r="O392" s="39"/>
      <c r="P392" s="39"/>
      <c r="Q392" s="39"/>
      <c r="R392" s="39"/>
      <c r="S392" s="39"/>
      <c r="T392" s="39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  <c r="AM392" s="14"/>
      <c r="AN392" s="14"/>
      <c r="AO392" s="14"/>
      <c r="AP392" s="14"/>
    </row>
    <row r="393" spans="1:42" ht="13">
      <c r="A393" s="38"/>
      <c r="B393" s="14"/>
      <c r="C393" s="38"/>
      <c r="D393" s="38"/>
      <c r="E393" s="38"/>
      <c r="F393" s="38"/>
      <c r="G393" s="38"/>
      <c r="H393" s="14"/>
      <c r="I393" s="38"/>
      <c r="J393" s="38"/>
      <c r="K393" s="14"/>
      <c r="L393" s="14"/>
      <c r="M393" s="14"/>
      <c r="N393" s="39"/>
      <c r="O393" s="39"/>
      <c r="P393" s="39"/>
      <c r="Q393" s="39"/>
      <c r="R393" s="39"/>
      <c r="S393" s="39"/>
      <c r="T393" s="39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  <c r="AO393" s="14"/>
      <c r="AP393" s="14"/>
    </row>
    <row r="394" spans="1:42" ht="13">
      <c r="A394" s="38"/>
      <c r="B394" s="14"/>
      <c r="C394" s="38"/>
      <c r="D394" s="38"/>
      <c r="E394" s="38"/>
      <c r="F394" s="38"/>
      <c r="G394" s="38"/>
      <c r="H394" s="14"/>
      <c r="I394" s="38"/>
      <c r="J394" s="38"/>
      <c r="K394" s="14"/>
      <c r="L394" s="14"/>
      <c r="M394" s="14"/>
      <c r="N394" s="39"/>
      <c r="O394" s="39"/>
      <c r="P394" s="39"/>
      <c r="Q394" s="39"/>
      <c r="R394" s="39"/>
      <c r="S394" s="39"/>
      <c r="T394" s="39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  <c r="AL394" s="14"/>
      <c r="AM394" s="14"/>
      <c r="AN394" s="14"/>
      <c r="AO394" s="14"/>
      <c r="AP394" s="14"/>
    </row>
    <row r="395" spans="1:42" ht="13">
      <c r="A395" s="38"/>
      <c r="B395" s="14"/>
      <c r="C395" s="38"/>
      <c r="D395" s="38"/>
      <c r="E395" s="38"/>
      <c r="F395" s="38"/>
      <c r="G395" s="38"/>
      <c r="H395" s="14"/>
      <c r="I395" s="38"/>
      <c r="J395" s="38"/>
      <c r="K395" s="14"/>
      <c r="L395" s="14"/>
      <c r="M395" s="14"/>
      <c r="N395" s="39"/>
      <c r="O395" s="39"/>
      <c r="P395" s="39"/>
      <c r="Q395" s="39"/>
      <c r="R395" s="39"/>
      <c r="S395" s="39"/>
      <c r="T395" s="39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  <c r="AN395" s="14"/>
      <c r="AO395" s="14"/>
      <c r="AP395" s="14"/>
    </row>
    <row r="396" spans="1:42" ht="13">
      <c r="A396" s="38"/>
      <c r="B396" s="14"/>
      <c r="C396" s="38"/>
      <c r="D396" s="38"/>
      <c r="E396" s="38"/>
      <c r="F396" s="38"/>
      <c r="G396" s="38"/>
      <c r="H396" s="14"/>
      <c r="I396" s="38"/>
      <c r="J396" s="38"/>
      <c r="K396" s="14"/>
      <c r="L396" s="14"/>
      <c r="M396" s="14"/>
      <c r="N396" s="39"/>
      <c r="O396" s="39"/>
      <c r="P396" s="39"/>
      <c r="Q396" s="39"/>
      <c r="R396" s="39"/>
      <c r="S396" s="39"/>
      <c r="T396" s="39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  <c r="AM396" s="14"/>
      <c r="AN396" s="14"/>
      <c r="AO396" s="14"/>
      <c r="AP396" s="14"/>
    </row>
    <row r="397" spans="1:42" ht="13">
      <c r="A397" s="38"/>
      <c r="B397" s="14"/>
      <c r="C397" s="38"/>
      <c r="D397" s="38"/>
      <c r="E397" s="38"/>
      <c r="F397" s="38"/>
      <c r="G397" s="38"/>
      <c r="H397" s="14"/>
      <c r="I397" s="38"/>
      <c r="J397" s="38"/>
      <c r="K397" s="14"/>
      <c r="L397" s="14"/>
      <c r="M397" s="14"/>
      <c r="N397" s="39"/>
      <c r="O397" s="39"/>
      <c r="P397" s="39"/>
      <c r="Q397" s="39"/>
      <c r="R397" s="39"/>
      <c r="S397" s="39"/>
      <c r="T397" s="39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  <c r="AO397" s="14"/>
      <c r="AP397" s="14"/>
    </row>
    <row r="398" spans="1:42" ht="13">
      <c r="A398" s="38"/>
      <c r="B398" s="14"/>
      <c r="C398" s="38"/>
      <c r="D398" s="38"/>
      <c r="E398" s="38"/>
      <c r="F398" s="38"/>
      <c r="G398" s="38"/>
      <c r="H398" s="14"/>
      <c r="I398" s="38"/>
      <c r="J398" s="38"/>
      <c r="K398" s="14"/>
      <c r="L398" s="14"/>
      <c r="M398" s="14"/>
      <c r="N398" s="39"/>
      <c r="O398" s="39"/>
      <c r="P398" s="39"/>
      <c r="Q398" s="39"/>
      <c r="R398" s="39"/>
      <c r="S398" s="39"/>
      <c r="T398" s="39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  <c r="AM398" s="14"/>
      <c r="AN398" s="14"/>
      <c r="AO398" s="14"/>
      <c r="AP398" s="14"/>
    </row>
    <row r="399" spans="1:42" ht="13">
      <c r="A399" s="38"/>
      <c r="B399" s="14"/>
      <c r="C399" s="38"/>
      <c r="D399" s="38"/>
      <c r="E399" s="38"/>
      <c r="F399" s="38"/>
      <c r="G399" s="38"/>
      <c r="H399" s="14"/>
      <c r="I399" s="38"/>
      <c r="J399" s="38"/>
      <c r="K399" s="14"/>
      <c r="L399" s="14"/>
      <c r="M399" s="14"/>
      <c r="N399" s="39"/>
      <c r="O399" s="39"/>
      <c r="P399" s="39"/>
      <c r="Q399" s="39"/>
      <c r="R399" s="39"/>
      <c r="S399" s="39"/>
      <c r="T399" s="39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  <c r="AO399" s="14"/>
      <c r="AP399" s="14"/>
    </row>
    <row r="400" spans="1:42" ht="13">
      <c r="A400" s="38"/>
      <c r="B400" s="14"/>
      <c r="C400" s="38"/>
      <c r="D400" s="38"/>
      <c r="E400" s="38"/>
      <c r="F400" s="38"/>
      <c r="G400" s="38"/>
      <c r="H400" s="14"/>
      <c r="I400" s="38"/>
      <c r="J400" s="38"/>
      <c r="K400" s="14"/>
      <c r="L400" s="14"/>
      <c r="M400" s="14"/>
      <c r="N400" s="39"/>
      <c r="O400" s="39"/>
      <c r="P400" s="39"/>
      <c r="Q400" s="39"/>
      <c r="R400" s="39"/>
      <c r="S400" s="39"/>
      <c r="T400" s="39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  <c r="AM400" s="14"/>
      <c r="AN400" s="14"/>
      <c r="AO400" s="14"/>
      <c r="AP400" s="14"/>
    </row>
    <row r="401" spans="1:42" ht="13">
      <c r="A401" s="38"/>
      <c r="B401" s="14"/>
      <c r="C401" s="38"/>
      <c r="D401" s="38"/>
      <c r="E401" s="38"/>
      <c r="F401" s="38"/>
      <c r="G401" s="38"/>
      <c r="H401" s="14"/>
      <c r="I401" s="38"/>
      <c r="J401" s="38"/>
      <c r="K401" s="14"/>
      <c r="L401" s="14"/>
      <c r="M401" s="14"/>
      <c r="N401" s="39"/>
      <c r="O401" s="39"/>
      <c r="P401" s="39"/>
      <c r="Q401" s="39"/>
      <c r="R401" s="39"/>
      <c r="S401" s="39"/>
      <c r="T401" s="39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  <c r="AO401" s="14"/>
      <c r="AP401" s="14"/>
    </row>
    <row r="402" spans="1:42" ht="13">
      <c r="A402" s="38"/>
      <c r="B402" s="14"/>
      <c r="C402" s="38"/>
      <c r="D402" s="38"/>
      <c r="E402" s="38"/>
      <c r="F402" s="38"/>
      <c r="G402" s="38"/>
      <c r="H402" s="14"/>
      <c r="I402" s="38"/>
      <c r="J402" s="38"/>
      <c r="K402" s="14"/>
      <c r="L402" s="14"/>
      <c r="M402" s="14"/>
      <c r="N402" s="39"/>
      <c r="O402" s="39"/>
      <c r="P402" s="39"/>
      <c r="Q402" s="39"/>
      <c r="R402" s="39"/>
      <c r="S402" s="39"/>
      <c r="T402" s="39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  <c r="AM402" s="14"/>
      <c r="AN402" s="14"/>
      <c r="AO402" s="14"/>
      <c r="AP402" s="14"/>
    </row>
    <row r="403" spans="1:42" ht="13">
      <c r="A403" s="38"/>
      <c r="B403" s="14"/>
      <c r="C403" s="38"/>
      <c r="D403" s="38"/>
      <c r="E403" s="38"/>
      <c r="F403" s="38"/>
      <c r="G403" s="38"/>
      <c r="H403" s="14"/>
      <c r="I403" s="38"/>
      <c r="J403" s="38"/>
      <c r="K403" s="14"/>
      <c r="L403" s="14"/>
      <c r="M403" s="14"/>
      <c r="N403" s="39"/>
      <c r="O403" s="39"/>
      <c r="P403" s="39"/>
      <c r="Q403" s="39"/>
      <c r="R403" s="39"/>
      <c r="S403" s="39"/>
      <c r="T403" s="39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  <c r="AN403" s="14"/>
      <c r="AO403" s="14"/>
      <c r="AP403" s="14"/>
    </row>
    <row r="404" spans="1:42" ht="13">
      <c r="A404" s="38"/>
      <c r="B404" s="14"/>
      <c r="C404" s="38"/>
      <c r="D404" s="38"/>
      <c r="E404" s="38"/>
      <c r="F404" s="38"/>
      <c r="G404" s="38"/>
      <c r="H404" s="14"/>
      <c r="I404" s="38"/>
      <c r="J404" s="38"/>
      <c r="K404" s="14"/>
      <c r="L404" s="14"/>
      <c r="M404" s="14"/>
      <c r="N404" s="39"/>
      <c r="O404" s="39"/>
      <c r="P404" s="39"/>
      <c r="Q404" s="39"/>
      <c r="R404" s="39"/>
      <c r="S404" s="39"/>
      <c r="T404" s="39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  <c r="AM404" s="14"/>
      <c r="AN404" s="14"/>
      <c r="AO404" s="14"/>
      <c r="AP404" s="14"/>
    </row>
    <row r="405" spans="1:42" ht="13">
      <c r="A405" s="38"/>
      <c r="B405" s="14"/>
      <c r="C405" s="38"/>
      <c r="D405" s="38"/>
      <c r="E405" s="38"/>
      <c r="F405" s="38"/>
      <c r="G405" s="38"/>
      <c r="H405" s="14"/>
      <c r="I405" s="38"/>
      <c r="J405" s="38"/>
      <c r="K405" s="14"/>
      <c r="L405" s="14"/>
      <c r="M405" s="14"/>
      <c r="N405" s="39"/>
      <c r="O405" s="39"/>
      <c r="P405" s="39"/>
      <c r="Q405" s="39"/>
      <c r="R405" s="39"/>
      <c r="S405" s="39"/>
      <c r="T405" s="39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  <c r="AN405" s="14"/>
      <c r="AO405" s="14"/>
      <c r="AP405" s="14"/>
    </row>
    <row r="406" spans="1:42" ht="13">
      <c r="A406" s="38"/>
      <c r="B406" s="14"/>
      <c r="C406" s="38"/>
      <c r="D406" s="38"/>
      <c r="E406" s="38"/>
      <c r="F406" s="38"/>
      <c r="G406" s="38"/>
      <c r="H406" s="14"/>
      <c r="I406" s="38"/>
      <c r="J406" s="38"/>
      <c r="K406" s="14"/>
      <c r="L406" s="14"/>
      <c r="M406" s="14"/>
      <c r="N406" s="39"/>
      <c r="O406" s="39"/>
      <c r="P406" s="39"/>
      <c r="Q406" s="39"/>
      <c r="R406" s="39"/>
      <c r="S406" s="39"/>
      <c r="T406" s="39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  <c r="AM406" s="14"/>
      <c r="AN406" s="14"/>
      <c r="AO406" s="14"/>
      <c r="AP406" s="14"/>
    </row>
    <row r="407" spans="1:42" ht="13">
      <c r="A407" s="38"/>
      <c r="B407" s="14"/>
      <c r="C407" s="38"/>
      <c r="D407" s="38"/>
      <c r="E407" s="38"/>
      <c r="F407" s="38"/>
      <c r="G407" s="38"/>
      <c r="H407" s="14"/>
      <c r="I407" s="38"/>
      <c r="J407" s="38"/>
      <c r="K407" s="14"/>
      <c r="L407" s="14"/>
      <c r="M407" s="14"/>
      <c r="N407" s="39"/>
      <c r="O407" s="39"/>
      <c r="P407" s="39"/>
      <c r="Q407" s="39"/>
      <c r="R407" s="39"/>
      <c r="S407" s="39"/>
      <c r="T407" s="39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  <c r="AN407" s="14"/>
      <c r="AO407" s="14"/>
      <c r="AP407" s="14"/>
    </row>
    <row r="408" spans="1:42" ht="13">
      <c r="A408" s="38"/>
      <c r="B408" s="14"/>
      <c r="C408" s="38"/>
      <c r="D408" s="38"/>
      <c r="E408" s="38"/>
      <c r="F408" s="38"/>
      <c r="G408" s="38"/>
      <c r="H408" s="14"/>
      <c r="I408" s="38"/>
      <c r="J408" s="38"/>
      <c r="K408" s="14"/>
      <c r="L408" s="14"/>
      <c r="M408" s="14"/>
      <c r="N408" s="39"/>
      <c r="O408" s="39"/>
      <c r="P408" s="39"/>
      <c r="Q408" s="39"/>
      <c r="R408" s="39"/>
      <c r="S408" s="39"/>
      <c r="T408" s="39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  <c r="AL408" s="14"/>
      <c r="AM408" s="14"/>
      <c r="AN408" s="14"/>
      <c r="AO408" s="14"/>
      <c r="AP408" s="14"/>
    </row>
    <row r="409" spans="1:42" ht="13">
      <c r="A409" s="38"/>
      <c r="B409" s="14"/>
      <c r="C409" s="38"/>
      <c r="D409" s="38"/>
      <c r="E409" s="38"/>
      <c r="F409" s="38"/>
      <c r="G409" s="38"/>
      <c r="H409" s="14"/>
      <c r="I409" s="38"/>
      <c r="J409" s="38"/>
      <c r="K409" s="14"/>
      <c r="L409" s="14"/>
      <c r="M409" s="14"/>
      <c r="N409" s="39"/>
      <c r="O409" s="39"/>
      <c r="P409" s="39"/>
      <c r="Q409" s="39"/>
      <c r="R409" s="39"/>
      <c r="S409" s="39"/>
      <c r="T409" s="39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14"/>
      <c r="AN409" s="14"/>
      <c r="AO409" s="14"/>
      <c r="AP409" s="14"/>
    </row>
    <row r="410" spans="1:42" ht="13">
      <c r="A410" s="38"/>
      <c r="B410" s="14"/>
      <c r="C410" s="38"/>
      <c r="D410" s="38"/>
      <c r="E410" s="38"/>
      <c r="F410" s="38"/>
      <c r="G410" s="38"/>
      <c r="H410" s="14"/>
      <c r="I410" s="38"/>
      <c r="J410" s="38"/>
      <c r="K410" s="14"/>
      <c r="L410" s="14"/>
      <c r="M410" s="14"/>
      <c r="N410" s="39"/>
      <c r="O410" s="39"/>
      <c r="P410" s="39"/>
      <c r="Q410" s="39"/>
      <c r="R410" s="39"/>
      <c r="S410" s="39"/>
      <c r="T410" s="39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  <c r="AL410" s="14"/>
      <c r="AM410" s="14"/>
      <c r="AN410" s="14"/>
      <c r="AO410" s="14"/>
      <c r="AP410" s="14"/>
    </row>
    <row r="411" spans="1:42" ht="13">
      <c r="A411" s="38"/>
      <c r="B411" s="14"/>
      <c r="C411" s="38"/>
      <c r="D411" s="38"/>
      <c r="E411" s="38"/>
      <c r="F411" s="38"/>
      <c r="G411" s="38"/>
      <c r="H411" s="14"/>
      <c r="I411" s="38"/>
      <c r="J411" s="38"/>
      <c r="K411" s="14"/>
      <c r="L411" s="14"/>
      <c r="M411" s="14"/>
      <c r="N411" s="39"/>
      <c r="O411" s="39"/>
      <c r="P411" s="39"/>
      <c r="Q411" s="39"/>
      <c r="R411" s="39"/>
      <c r="S411" s="39"/>
      <c r="T411" s="39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  <c r="AM411" s="14"/>
      <c r="AN411" s="14"/>
      <c r="AO411" s="14"/>
      <c r="AP411" s="14"/>
    </row>
    <row r="412" spans="1:42" ht="13">
      <c r="A412" s="38"/>
      <c r="B412" s="14"/>
      <c r="C412" s="38"/>
      <c r="D412" s="38"/>
      <c r="E412" s="38"/>
      <c r="F412" s="38"/>
      <c r="G412" s="38"/>
      <c r="H412" s="14"/>
      <c r="I412" s="38"/>
      <c r="J412" s="38"/>
      <c r="K412" s="14"/>
      <c r="L412" s="14"/>
      <c r="M412" s="14"/>
      <c r="N412" s="39"/>
      <c r="O412" s="39"/>
      <c r="P412" s="39"/>
      <c r="Q412" s="39"/>
      <c r="R412" s="39"/>
      <c r="S412" s="39"/>
      <c r="T412" s="39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  <c r="AL412" s="14"/>
      <c r="AM412" s="14"/>
      <c r="AN412" s="14"/>
      <c r="AO412" s="14"/>
      <c r="AP412" s="14"/>
    </row>
    <row r="413" spans="1:42" ht="13">
      <c r="A413" s="38"/>
      <c r="B413" s="14"/>
      <c r="C413" s="38"/>
      <c r="D413" s="38"/>
      <c r="E413" s="38"/>
      <c r="F413" s="38"/>
      <c r="G413" s="38"/>
      <c r="H413" s="14"/>
      <c r="I413" s="38"/>
      <c r="J413" s="38"/>
      <c r="K413" s="14"/>
      <c r="L413" s="14"/>
      <c r="M413" s="14"/>
      <c r="N413" s="39"/>
      <c r="O413" s="39"/>
      <c r="P413" s="39"/>
      <c r="Q413" s="39"/>
      <c r="R413" s="39"/>
      <c r="S413" s="39"/>
      <c r="T413" s="39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  <c r="AN413" s="14"/>
      <c r="AO413" s="14"/>
      <c r="AP413" s="14"/>
    </row>
    <row r="414" spans="1:42" ht="13">
      <c r="A414" s="38"/>
      <c r="B414" s="14"/>
      <c r="C414" s="38"/>
      <c r="D414" s="38"/>
      <c r="E414" s="38"/>
      <c r="F414" s="38"/>
      <c r="G414" s="38"/>
      <c r="H414" s="14"/>
      <c r="I414" s="38"/>
      <c r="J414" s="38"/>
      <c r="K414" s="14"/>
      <c r="L414" s="14"/>
      <c r="M414" s="14"/>
      <c r="N414" s="39"/>
      <c r="O414" s="39"/>
      <c r="P414" s="39"/>
      <c r="Q414" s="39"/>
      <c r="R414" s="39"/>
      <c r="S414" s="39"/>
      <c r="T414" s="39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  <c r="AL414" s="14"/>
      <c r="AM414" s="14"/>
      <c r="AN414" s="14"/>
      <c r="AO414" s="14"/>
      <c r="AP414" s="14"/>
    </row>
    <row r="415" spans="1:42" ht="13">
      <c r="A415" s="38"/>
      <c r="B415" s="14"/>
      <c r="C415" s="38"/>
      <c r="D415" s="38"/>
      <c r="E415" s="38"/>
      <c r="F415" s="38"/>
      <c r="G415" s="38"/>
      <c r="H415" s="14"/>
      <c r="I415" s="38"/>
      <c r="J415" s="38"/>
      <c r="K415" s="14"/>
      <c r="L415" s="14"/>
      <c r="M415" s="14"/>
      <c r="N415" s="39"/>
      <c r="O415" s="39"/>
      <c r="P415" s="39"/>
      <c r="Q415" s="39"/>
      <c r="R415" s="39"/>
      <c r="S415" s="39"/>
      <c r="T415" s="39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  <c r="AM415" s="14"/>
      <c r="AN415" s="14"/>
      <c r="AO415" s="14"/>
      <c r="AP415" s="14"/>
    </row>
    <row r="416" spans="1:42" ht="13">
      <c r="A416" s="38"/>
      <c r="B416" s="14"/>
      <c r="C416" s="38"/>
      <c r="D416" s="38"/>
      <c r="E416" s="38"/>
      <c r="F416" s="38"/>
      <c r="G416" s="38"/>
      <c r="H416" s="14"/>
      <c r="I416" s="38"/>
      <c r="J416" s="38"/>
      <c r="K416" s="14"/>
      <c r="L416" s="14"/>
      <c r="M416" s="14"/>
      <c r="N416" s="39"/>
      <c r="O416" s="39"/>
      <c r="P416" s="39"/>
      <c r="Q416" s="39"/>
      <c r="R416" s="39"/>
      <c r="S416" s="39"/>
      <c r="T416" s="39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  <c r="AL416" s="14"/>
      <c r="AM416" s="14"/>
      <c r="AN416" s="14"/>
      <c r="AO416" s="14"/>
      <c r="AP416" s="14"/>
    </row>
    <row r="417" spans="1:42" ht="13">
      <c r="A417" s="38"/>
      <c r="B417" s="14"/>
      <c r="C417" s="38"/>
      <c r="D417" s="38"/>
      <c r="E417" s="38"/>
      <c r="F417" s="38"/>
      <c r="G417" s="38"/>
      <c r="H417" s="14"/>
      <c r="I417" s="38"/>
      <c r="J417" s="38"/>
      <c r="K417" s="14"/>
      <c r="L417" s="14"/>
      <c r="M417" s="14"/>
      <c r="N417" s="39"/>
      <c r="O417" s="39"/>
      <c r="P417" s="39"/>
      <c r="Q417" s="39"/>
      <c r="R417" s="39"/>
      <c r="S417" s="39"/>
      <c r="T417" s="39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  <c r="AN417" s="14"/>
      <c r="AO417" s="14"/>
      <c r="AP417" s="14"/>
    </row>
    <row r="418" spans="1:42" ht="13">
      <c r="A418" s="38"/>
      <c r="B418" s="14"/>
      <c r="C418" s="38"/>
      <c r="D418" s="38"/>
      <c r="E418" s="38"/>
      <c r="F418" s="38"/>
      <c r="G418" s="38"/>
      <c r="H418" s="14"/>
      <c r="I418" s="38"/>
      <c r="J418" s="38"/>
      <c r="K418" s="14"/>
      <c r="L418" s="14"/>
      <c r="M418" s="14"/>
      <c r="N418" s="39"/>
      <c r="O418" s="39"/>
      <c r="P418" s="39"/>
      <c r="Q418" s="39"/>
      <c r="R418" s="39"/>
      <c r="S418" s="39"/>
      <c r="T418" s="39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  <c r="AM418" s="14"/>
      <c r="AN418" s="14"/>
      <c r="AO418" s="14"/>
      <c r="AP418" s="14"/>
    </row>
    <row r="419" spans="1:42" ht="13">
      <c r="A419" s="38"/>
      <c r="B419" s="14"/>
      <c r="C419" s="38"/>
      <c r="D419" s="38"/>
      <c r="E419" s="38"/>
      <c r="F419" s="38"/>
      <c r="G419" s="38"/>
      <c r="H419" s="14"/>
      <c r="I419" s="38"/>
      <c r="J419" s="38"/>
      <c r="K419" s="14"/>
      <c r="L419" s="14"/>
      <c r="M419" s="14"/>
      <c r="N419" s="39"/>
      <c r="O419" s="39"/>
      <c r="P419" s="39"/>
      <c r="Q419" s="39"/>
      <c r="R419" s="39"/>
      <c r="S419" s="39"/>
      <c r="T419" s="39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  <c r="AN419" s="14"/>
      <c r="AO419" s="14"/>
      <c r="AP419" s="14"/>
    </row>
    <row r="420" spans="1:42" ht="13">
      <c r="A420" s="38"/>
      <c r="B420" s="14"/>
      <c r="C420" s="38"/>
      <c r="D420" s="38"/>
      <c r="E420" s="38"/>
      <c r="F420" s="38"/>
      <c r="G420" s="38"/>
      <c r="H420" s="14"/>
      <c r="I420" s="38"/>
      <c r="J420" s="38"/>
      <c r="K420" s="14"/>
      <c r="L420" s="14"/>
      <c r="M420" s="14"/>
      <c r="N420" s="39"/>
      <c r="O420" s="39"/>
      <c r="P420" s="39"/>
      <c r="Q420" s="39"/>
      <c r="R420" s="39"/>
      <c r="S420" s="39"/>
      <c r="T420" s="39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  <c r="AM420" s="14"/>
      <c r="AN420" s="14"/>
      <c r="AO420" s="14"/>
      <c r="AP420" s="14"/>
    </row>
    <row r="421" spans="1:42" ht="13">
      <c r="A421" s="38"/>
      <c r="B421" s="14"/>
      <c r="C421" s="38"/>
      <c r="D421" s="38"/>
      <c r="E421" s="38"/>
      <c r="F421" s="38"/>
      <c r="G421" s="38"/>
      <c r="H421" s="14"/>
      <c r="I421" s="38"/>
      <c r="J421" s="38"/>
      <c r="K421" s="14"/>
      <c r="L421" s="14"/>
      <c r="M421" s="14"/>
      <c r="N421" s="39"/>
      <c r="O421" s="39"/>
      <c r="P421" s="39"/>
      <c r="Q421" s="39"/>
      <c r="R421" s="39"/>
      <c r="S421" s="39"/>
      <c r="T421" s="39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  <c r="AO421" s="14"/>
      <c r="AP421" s="14"/>
    </row>
    <row r="422" spans="1:42" ht="13">
      <c r="A422" s="38"/>
      <c r="B422" s="14"/>
      <c r="C422" s="38"/>
      <c r="D422" s="38"/>
      <c r="E422" s="38"/>
      <c r="F422" s="38"/>
      <c r="G422" s="38"/>
      <c r="H422" s="14"/>
      <c r="I422" s="38"/>
      <c r="J422" s="38"/>
      <c r="K422" s="14"/>
      <c r="L422" s="14"/>
      <c r="M422" s="14"/>
      <c r="N422" s="39"/>
      <c r="O422" s="39"/>
      <c r="P422" s="39"/>
      <c r="Q422" s="39"/>
      <c r="R422" s="39"/>
      <c r="S422" s="39"/>
      <c r="T422" s="39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  <c r="AN422" s="14"/>
      <c r="AO422" s="14"/>
      <c r="AP422" s="14"/>
    </row>
    <row r="423" spans="1:42" ht="13">
      <c r="A423" s="38"/>
      <c r="B423" s="14"/>
      <c r="C423" s="38"/>
      <c r="D423" s="38"/>
      <c r="E423" s="38"/>
      <c r="F423" s="38"/>
      <c r="G423" s="38"/>
      <c r="H423" s="14"/>
      <c r="I423" s="38"/>
      <c r="J423" s="38"/>
      <c r="K423" s="14"/>
      <c r="L423" s="14"/>
      <c r="M423" s="14"/>
      <c r="N423" s="39"/>
      <c r="O423" s="39"/>
      <c r="P423" s="39"/>
      <c r="Q423" s="39"/>
      <c r="R423" s="39"/>
      <c r="S423" s="39"/>
      <c r="T423" s="39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  <c r="AN423" s="14"/>
      <c r="AO423" s="14"/>
      <c r="AP423" s="14"/>
    </row>
    <row r="424" spans="1:42" ht="13">
      <c r="A424" s="38"/>
      <c r="B424" s="14"/>
      <c r="C424" s="38"/>
      <c r="D424" s="38"/>
      <c r="E424" s="38"/>
      <c r="F424" s="38"/>
      <c r="G424" s="38"/>
      <c r="H424" s="14"/>
      <c r="I424" s="38"/>
      <c r="J424" s="38"/>
      <c r="K424" s="14"/>
      <c r="L424" s="14"/>
      <c r="M424" s="14"/>
      <c r="N424" s="39"/>
      <c r="O424" s="39"/>
      <c r="P424" s="39"/>
      <c r="Q424" s="39"/>
      <c r="R424" s="39"/>
      <c r="S424" s="39"/>
      <c r="T424" s="39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  <c r="AM424" s="14"/>
      <c r="AN424" s="14"/>
      <c r="AO424" s="14"/>
      <c r="AP424" s="14"/>
    </row>
    <row r="425" spans="1:42" ht="13">
      <c r="A425" s="38"/>
      <c r="B425" s="14"/>
      <c r="C425" s="38"/>
      <c r="D425" s="38"/>
      <c r="E425" s="38"/>
      <c r="F425" s="38"/>
      <c r="G425" s="38"/>
      <c r="H425" s="14"/>
      <c r="I425" s="38"/>
      <c r="J425" s="38"/>
      <c r="K425" s="14"/>
      <c r="L425" s="14"/>
      <c r="M425" s="14"/>
      <c r="N425" s="39"/>
      <c r="O425" s="39"/>
      <c r="P425" s="39"/>
      <c r="Q425" s="39"/>
      <c r="R425" s="39"/>
      <c r="S425" s="39"/>
      <c r="T425" s="39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  <c r="AN425" s="14"/>
      <c r="AO425" s="14"/>
      <c r="AP425" s="14"/>
    </row>
    <row r="426" spans="1:42" ht="13">
      <c r="A426" s="38"/>
      <c r="B426" s="14"/>
      <c r="C426" s="38"/>
      <c r="D426" s="38"/>
      <c r="E426" s="38"/>
      <c r="F426" s="38"/>
      <c r="G426" s="38"/>
      <c r="H426" s="14"/>
      <c r="I426" s="38"/>
      <c r="J426" s="38"/>
      <c r="K426" s="14"/>
      <c r="L426" s="14"/>
      <c r="M426" s="14"/>
      <c r="N426" s="39"/>
      <c r="O426" s="39"/>
      <c r="P426" s="39"/>
      <c r="Q426" s="39"/>
      <c r="R426" s="39"/>
      <c r="S426" s="39"/>
      <c r="T426" s="39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  <c r="AN426" s="14"/>
      <c r="AO426" s="14"/>
      <c r="AP426" s="14"/>
    </row>
    <row r="427" spans="1:42" ht="13">
      <c r="A427" s="38"/>
      <c r="B427" s="14"/>
      <c r="C427" s="38"/>
      <c r="D427" s="38"/>
      <c r="E427" s="38"/>
      <c r="F427" s="38"/>
      <c r="G427" s="38"/>
      <c r="H427" s="14"/>
      <c r="I427" s="38"/>
      <c r="J427" s="38"/>
      <c r="K427" s="14"/>
      <c r="L427" s="14"/>
      <c r="M427" s="14"/>
      <c r="N427" s="39"/>
      <c r="O427" s="39"/>
      <c r="P427" s="39"/>
      <c r="Q427" s="39"/>
      <c r="R427" s="39"/>
      <c r="S427" s="39"/>
      <c r="T427" s="39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  <c r="AN427" s="14"/>
      <c r="AO427" s="14"/>
      <c r="AP427" s="14"/>
    </row>
    <row r="428" spans="1:42" ht="13">
      <c r="A428" s="38"/>
      <c r="B428" s="14"/>
      <c r="C428" s="38"/>
      <c r="D428" s="38"/>
      <c r="E428" s="38"/>
      <c r="F428" s="38"/>
      <c r="G428" s="38"/>
      <c r="H428" s="14"/>
      <c r="I428" s="38"/>
      <c r="J428" s="38"/>
      <c r="K428" s="14"/>
      <c r="L428" s="14"/>
      <c r="M428" s="14"/>
      <c r="N428" s="39"/>
      <c r="O428" s="39"/>
      <c r="P428" s="39"/>
      <c r="Q428" s="39"/>
      <c r="R428" s="39"/>
      <c r="S428" s="39"/>
      <c r="T428" s="39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  <c r="AL428" s="14"/>
      <c r="AM428" s="14"/>
      <c r="AN428" s="14"/>
      <c r="AO428" s="14"/>
      <c r="AP428" s="14"/>
    </row>
    <row r="429" spans="1:42" ht="13">
      <c r="A429" s="38"/>
      <c r="B429" s="14"/>
      <c r="C429" s="38"/>
      <c r="D429" s="38"/>
      <c r="E429" s="38"/>
      <c r="F429" s="38"/>
      <c r="G429" s="38"/>
      <c r="H429" s="14"/>
      <c r="I429" s="38"/>
      <c r="J429" s="38"/>
      <c r="K429" s="14"/>
      <c r="L429" s="14"/>
      <c r="M429" s="14"/>
      <c r="N429" s="39"/>
      <c r="O429" s="39"/>
      <c r="P429" s="39"/>
      <c r="Q429" s="39"/>
      <c r="R429" s="39"/>
      <c r="S429" s="39"/>
      <c r="T429" s="39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  <c r="AN429" s="14"/>
      <c r="AO429" s="14"/>
      <c r="AP429" s="14"/>
    </row>
    <row r="430" spans="1:42" ht="13">
      <c r="A430" s="38"/>
      <c r="B430" s="14"/>
      <c r="C430" s="38"/>
      <c r="D430" s="38"/>
      <c r="E430" s="38"/>
      <c r="F430" s="38"/>
      <c r="G430" s="38"/>
      <c r="H430" s="14"/>
      <c r="I430" s="38"/>
      <c r="J430" s="38"/>
      <c r="K430" s="14"/>
      <c r="L430" s="14"/>
      <c r="M430" s="14"/>
      <c r="N430" s="39"/>
      <c r="O430" s="39"/>
      <c r="P430" s="39"/>
      <c r="Q430" s="39"/>
      <c r="R430" s="39"/>
      <c r="S430" s="39"/>
      <c r="T430" s="39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  <c r="AL430" s="14"/>
      <c r="AM430" s="14"/>
      <c r="AN430" s="14"/>
      <c r="AO430" s="14"/>
      <c r="AP430" s="14"/>
    </row>
    <row r="431" spans="1:42" ht="13">
      <c r="A431" s="38"/>
      <c r="B431" s="14"/>
      <c r="C431" s="38"/>
      <c r="D431" s="38"/>
      <c r="E431" s="38"/>
      <c r="F431" s="38"/>
      <c r="G431" s="38"/>
      <c r="H431" s="14"/>
      <c r="I431" s="38"/>
      <c r="J431" s="38"/>
      <c r="K431" s="14"/>
      <c r="L431" s="14"/>
      <c r="M431" s="14"/>
      <c r="N431" s="39"/>
      <c r="O431" s="39"/>
      <c r="P431" s="39"/>
      <c r="Q431" s="39"/>
      <c r="R431" s="39"/>
      <c r="S431" s="39"/>
      <c r="T431" s="39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  <c r="AN431" s="14"/>
      <c r="AO431" s="14"/>
      <c r="AP431" s="14"/>
    </row>
    <row r="432" spans="1:42" ht="13">
      <c r="A432" s="38"/>
      <c r="B432" s="14"/>
      <c r="C432" s="38"/>
      <c r="D432" s="38"/>
      <c r="E432" s="38"/>
      <c r="F432" s="38"/>
      <c r="G432" s="38"/>
      <c r="H432" s="14"/>
      <c r="I432" s="38"/>
      <c r="J432" s="38"/>
      <c r="K432" s="14"/>
      <c r="L432" s="14"/>
      <c r="M432" s="14"/>
      <c r="N432" s="39"/>
      <c r="O432" s="39"/>
      <c r="P432" s="39"/>
      <c r="Q432" s="39"/>
      <c r="R432" s="39"/>
      <c r="S432" s="39"/>
      <c r="T432" s="39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  <c r="AL432" s="14"/>
      <c r="AM432" s="14"/>
      <c r="AN432" s="14"/>
      <c r="AO432" s="14"/>
      <c r="AP432" s="14"/>
    </row>
    <row r="433" spans="1:42" ht="13">
      <c r="A433" s="38"/>
      <c r="B433" s="14"/>
      <c r="C433" s="38"/>
      <c r="D433" s="38"/>
      <c r="E433" s="38"/>
      <c r="F433" s="38"/>
      <c r="G433" s="38"/>
      <c r="H433" s="14"/>
      <c r="I433" s="38"/>
      <c r="J433" s="38"/>
      <c r="K433" s="14"/>
      <c r="L433" s="14"/>
      <c r="M433" s="14"/>
      <c r="N433" s="39"/>
      <c r="O433" s="39"/>
      <c r="P433" s="39"/>
      <c r="Q433" s="39"/>
      <c r="R433" s="39"/>
      <c r="S433" s="39"/>
      <c r="T433" s="39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  <c r="AL433" s="14"/>
      <c r="AM433" s="14"/>
      <c r="AN433" s="14"/>
      <c r="AO433" s="14"/>
      <c r="AP433" s="14"/>
    </row>
    <row r="434" spans="1:42" ht="13">
      <c r="A434" s="38"/>
      <c r="B434" s="14"/>
      <c r="C434" s="38"/>
      <c r="D434" s="38"/>
      <c r="E434" s="38"/>
      <c r="F434" s="38"/>
      <c r="G434" s="38"/>
      <c r="H434" s="14"/>
      <c r="I434" s="38"/>
      <c r="J434" s="38"/>
      <c r="K434" s="14"/>
      <c r="L434" s="14"/>
      <c r="M434" s="14"/>
      <c r="N434" s="39"/>
      <c r="O434" s="39"/>
      <c r="P434" s="39"/>
      <c r="Q434" s="39"/>
      <c r="R434" s="39"/>
      <c r="S434" s="39"/>
      <c r="T434" s="39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  <c r="AL434" s="14"/>
      <c r="AM434" s="14"/>
      <c r="AN434" s="14"/>
      <c r="AO434" s="14"/>
      <c r="AP434" s="14"/>
    </row>
    <row r="435" spans="1:42" ht="13">
      <c r="A435" s="38"/>
      <c r="B435" s="14"/>
      <c r="C435" s="38"/>
      <c r="D435" s="38"/>
      <c r="E435" s="38"/>
      <c r="F435" s="38"/>
      <c r="G435" s="38"/>
      <c r="H435" s="14"/>
      <c r="I435" s="38"/>
      <c r="J435" s="38"/>
      <c r="K435" s="14"/>
      <c r="L435" s="14"/>
      <c r="M435" s="14"/>
      <c r="N435" s="39"/>
      <c r="O435" s="39"/>
      <c r="P435" s="39"/>
      <c r="Q435" s="39"/>
      <c r="R435" s="39"/>
      <c r="S435" s="39"/>
      <c r="T435" s="39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  <c r="AN435" s="14"/>
      <c r="AO435" s="14"/>
      <c r="AP435" s="14"/>
    </row>
    <row r="436" spans="1:42" ht="13">
      <c r="A436" s="38"/>
      <c r="B436" s="14"/>
      <c r="C436" s="38"/>
      <c r="D436" s="38"/>
      <c r="E436" s="38"/>
      <c r="F436" s="38"/>
      <c r="G436" s="38"/>
      <c r="H436" s="14"/>
      <c r="I436" s="38"/>
      <c r="J436" s="38"/>
      <c r="K436" s="14"/>
      <c r="L436" s="14"/>
      <c r="M436" s="14"/>
      <c r="N436" s="39"/>
      <c r="O436" s="39"/>
      <c r="P436" s="39"/>
      <c r="Q436" s="39"/>
      <c r="R436" s="39"/>
      <c r="S436" s="39"/>
      <c r="T436" s="39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  <c r="AL436" s="14"/>
      <c r="AM436" s="14"/>
      <c r="AN436" s="14"/>
      <c r="AO436" s="14"/>
      <c r="AP436" s="14"/>
    </row>
    <row r="437" spans="1:42" ht="13">
      <c r="A437" s="38"/>
      <c r="B437" s="14"/>
      <c r="C437" s="38"/>
      <c r="D437" s="38"/>
      <c r="E437" s="38"/>
      <c r="F437" s="38"/>
      <c r="G437" s="38"/>
      <c r="H437" s="14"/>
      <c r="I437" s="38"/>
      <c r="J437" s="38"/>
      <c r="K437" s="14"/>
      <c r="L437" s="14"/>
      <c r="M437" s="14"/>
      <c r="N437" s="39"/>
      <c r="O437" s="39"/>
      <c r="P437" s="39"/>
      <c r="Q437" s="39"/>
      <c r="R437" s="39"/>
      <c r="S437" s="39"/>
      <c r="T437" s="39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  <c r="AM437" s="14"/>
      <c r="AN437" s="14"/>
      <c r="AO437" s="14"/>
      <c r="AP437" s="14"/>
    </row>
    <row r="438" spans="1:42" ht="13">
      <c r="A438" s="38"/>
      <c r="B438" s="14"/>
      <c r="C438" s="38"/>
      <c r="D438" s="38"/>
      <c r="E438" s="38"/>
      <c r="F438" s="38"/>
      <c r="G438" s="38"/>
      <c r="H438" s="14"/>
      <c r="I438" s="38"/>
      <c r="J438" s="38"/>
      <c r="K438" s="14"/>
      <c r="L438" s="14"/>
      <c r="M438" s="14"/>
      <c r="N438" s="39"/>
      <c r="O438" s="39"/>
      <c r="P438" s="39"/>
      <c r="Q438" s="39"/>
      <c r="R438" s="39"/>
      <c r="S438" s="39"/>
      <c r="T438" s="39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  <c r="AM438" s="14"/>
      <c r="AN438" s="14"/>
      <c r="AO438" s="14"/>
      <c r="AP438" s="14"/>
    </row>
    <row r="439" spans="1:42" ht="13">
      <c r="A439" s="38"/>
      <c r="B439" s="14"/>
      <c r="C439" s="38"/>
      <c r="D439" s="38"/>
      <c r="E439" s="38"/>
      <c r="F439" s="38"/>
      <c r="G439" s="38"/>
      <c r="H439" s="14"/>
      <c r="I439" s="38"/>
      <c r="J439" s="38"/>
      <c r="K439" s="14"/>
      <c r="L439" s="14"/>
      <c r="M439" s="14"/>
      <c r="N439" s="39"/>
      <c r="O439" s="39"/>
      <c r="P439" s="39"/>
      <c r="Q439" s="39"/>
      <c r="R439" s="39"/>
      <c r="S439" s="39"/>
      <c r="T439" s="39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  <c r="AN439" s="14"/>
      <c r="AO439" s="14"/>
      <c r="AP439" s="14"/>
    </row>
    <row r="440" spans="1:42" ht="13">
      <c r="A440" s="38"/>
      <c r="B440" s="14"/>
      <c r="C440" s="38"/>
      <c r="D440" s="38"/>
      <c r="E440" s="38"/>
      <c r="F440" s="38"/>
      <c r="G440" s="38"/>
      <c r="H440" s="14"/>
      <c r="I440" s="38"/>
      <c r="J440" s="38"/>
      <c r="K440" s="14"/>
      <c r="L440" s="14"/>
      <c r="M440" s="14"/>
      <c r="N440" s="39"/>
      <c r="O440" s="39"/>
      <c r="P440" s="39"/>
      <c r="Q440" s="39"/>
      <c r="R440" s="39"/>
      <c r="S440" s="39"/>
      <c r="T440" s="39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  <c r="AL440" s="14"/>
      <c r="AM440" s="14"/>
      <c r="AN440" s="14"/>
      <c r="AO440" s="14"/>
      <c r="AP440" s="14"/>
    </row>
    <row r="441" spans="1:42" ht="13">
      <c r="A441" s="38"/>
      <c r="B441" s="14"/>
      <c r="C441" s="38"/>
      <c r="D441" s="38"/>
      <c r="E441" s="38"/>
      <c r="F441" s="38"/>
      <c r="G441" s="38"/>
      <c r="H441" s="14"/>
      <c r="I441" s="38"/>
      <c r="J441" s="38"/>
      <c r="K441" s="14"/>
      <c r="L441" s="14"/>
      <c r="M441" s="14"/>
      <c r="N441" s="39"/>
      <c r="O441" s="39"/>
      <c r="P441" s="39"/>
      <c r="Q441" s="39"/>
      <c r="R441" s="39"/>
      <c r="S441" s="39"/>
      <c r="T441" s="39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  <c r="AN441" s="14"/>
      <c r="AO441" s="14"/>
      <c r="AP441" s="14"/>
    </row>
    <row r="442" spans="1:42" ht="13">
      <c r="A442" s="38"/>
      <c r="B442" s="14"/>
      <c r="C442" s="38"/>
      <c r="D442" s="38"/>
      <c r="E442" s="38"/>
      <c r="F442" s="38"/>
      <c r="G442" s="38"/>
      <c r="H442" s="14"/>
      <c r="I442" s="38"/>
      <c r="J442" s="38"/>
      <c r="K442" s="14"/>
      <c r="L442" s="14"/>
      <c r="M442" s="14"/>
      <c r="N442" s="39"/>
      <c r="O442" s="39"/>
      <c r="P442" s="39"/>
      <c r="Q442" s="39"/>
      <c r="R442" s="39"/>
      <c r="S442" s="39"/>
      <c r="T442" s="39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  <c r="AL442" s="14"/>
      <c r="AM442" s="14"/>
      <c r="AN442" s="14"/>
      <c r="AO442" s="14"/>
      <c r="AP442" s="14"/>
    </row>
    <row r="443" spans="1:42" ht="13">
      <c r="A443" s="38"/>
      <c r="B443" s="14"/>
      <c r="C443" s="38"/>
      <c r="D443" s="38"/>
      <c r="E443" s="38"/>
      <c r="F443" s="38"/>
      <c r="G443" s="38"/>
      <c r="H443" s="14"/>
      <c r="I443" s="38"/>
      <c r="J443" s="38"/>
      <c r="K443" s="14"/>
      <c r="L443" s="14"/>
      <c r="M443" s="14"/>
      <c r="N443" s="39"/>
      <c r="O443" s="39"/>
      <c r="P443" s="39"/>
      <c r="Q443" s="39"/>
      <c r="R443" s="39"/>
      <c r="S443" s="39"/>
      <c r="T443" s="39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  <c r="AN443" s="14"/>
      <c r="AO443" s="14"/>
      <c r="AP443" s="14"/>
    </row>
    <row r="444" spans="1:42" ht="13">
      <c r="A444" s="38"/>
      <c r="B444" s="14"/>
      <c r="C444" s="38"/>
      <c r="D444" s="38"/>
      <c r="E444" s="38"/>
      <c r="F444" s="38"/>
      <c r="G444" s="38"/>
      <c r="H444" s="14"/>
      <c r="I444" s="38"/>
      <c r="J444" s="38"/>
      <c r="K444" s="14"/>
      <c r="L444" s="14"/>
      <c r="M444" s="14"/>
      <c r="N444" s="39"/>
      <c r="O444" s="39"/>
      <c r="P444" s="39"/>
      <c r="Q444" s="39"/>
      <c r="R444" s="39"/>
      <c r="S444" s="39"/>
      <c r="T444" s="39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  <c r="AL444" s="14"/>
      <c r="AM444" s="14"/>
      <c r="AN444" s="14"/>
      <c r="AO444" s="14"/>
      <c r="AP444" s="14"/>
    </row>
    <row r="445" spans="1:42" ht="13">
      <c r="A445" s="38"/>
      <c r="B445" s="14"/>
      <c r="C445" s="38"/>
      <c r="D445" s="38"/>
      <c r="E445" s="38"/>
      <c r="F445" s="38"/>
      <c r="G445" s="38"/>
      <c r="H445" s="14"/>
      <c r="I445" s="38"/>
      <c r="J445" s="38"/>
      <c r="K445" s="14"/>
      <c r="L445" s="14"/>
      <c r="M445" s="14"/>
      <c r="N445" s="39"/>
      <c r="O445" s="39"/>
      <c r="P445" s="39"/>
      <c r="Q445" s="39"/>
      <c r="R445" s="39"/>
      <c r="S445" s="39"/>
      <c r="T445" s="39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  <c r="AN445" s="14"/>
      <c r="AO445" s="14"/>
      <c r="AP445" s="14"/>
    </row>
    <row r="446" spans="1:42" ht="13">
      <c r="A446" s="38"/>
      <c r="B446" s="14"/>
      <c r="C446" s="38"/>
      <c r="D446" s="38"/>
      <c r="E446" s="38"/>
      <c r="F446" s="38"/>
      <c r="G446" s="38"/>
      <c r="H446" s="14"/>
      <c r="I446" s="38"/>
      <c r="J446" s="38"/>
      <c r="K446" s="14"/>
      <c r="L446" s="14"/>
      <c r="M446" s="14"/>
      <c r="N446" s="39"/>
      <c r="O446" s="39"/>
      <c r="P446" s="39"/>
      <c r="Q446" s="39"/>
      <c r="R446" s="39"/>
      <c r="S446" s="39"/>
      <c r="T446" s="39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  <c r="AM446" s="14"/>
      <c r="AN446" s="14"/>
      <c r="AO446" s="14"/>
      <c r="AP446" s="14"/>
    </row>
    <row r="447" spans="1:42" ht="13">
      <c r="A447" s="38"/>
      <c r="B447" s="14"/>
      <c r="C447" s="38"/>
      <c r="D447" s="38"/>
      <c r="E447" s="38"/>
      <c r="F447" s="38"/>
      <c r="G447" s="38"/>
      <c r="H447" s="14"/>
      <c r="I447" s="38"/>
      <c r="J447" s="38"/>
      <c r="K447" s="14"/>
      <c r="L447" s="14"/>
      <c r="M447" s="14"/>
      <c r="N447" s="39"/>
      <c r="O447" s="39"/>
      <c r="P447" s="39"/>
      <c r="Q447" s="39"/>
      <c r="R447" s="39"/>
      <c r="S447" s="39"/>
      <c r="T447" s="39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  <c r="AN447" s="14"/>
      <c r="AO447" s="14"/>
      <c r="AP447" s="14"/>
    </row>
    <row r="448" spans="1:42" ht="13">
      <c r="A448" s="38"/>
      <c r="B448" s="14"/>
      <c r="C448" s="38"/>
      <c r="D448" s="38"/>
      <c r="E448" s="38"/>
      <c r="F448" s="38"/>
      <c r="G448" s="38"/>
      <c r="H448" s="14"/>
      <c r="I448" s="38"/>
      <c r="J448" s="38"/>
      <c r="K448" s="14"/>
      <c r="L448" s="14"/>
      <c r="M448" s="14"/>
      <c r="N448" s="39"/>
      <c r="O448" s="39"/>
      <c r="P448" s="39"/>
      <c r="Q448" s="39"/>
      <c r="R448" s="39"/>
      <c r="S448" s="39"/>
      <c r="T448" s="39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4"/>
      <c r="AN448" s="14"/>
      <c r="AO448" s="14"/>
      <c r="AP448" s="14"/>
    </row>
    <row r="449" spans="1:42" ht="13">
      <c r="A449" s="38"/>
      <c r="B449" s="14"/>
      <c r="C449" s="38"/>
      <c r="D449" s="38"/>
      <c r="E449" s="38"/>
      <c r="F449" s="38"/>
      <c r="G449" s="38"/>
      <c r="H449" s="14"/>
      <c r="I449" s="38"/>
      <c r="J449" s="38"/>
      <c r="K449" s="14"/>
      <c r="L449" s="14"/>
      <c r="M449" s="14"/>
      <c r="N449" s="39"/>
      <c r="O449" s="39"/>
      <c r="P449" s="39"/>
      <c r="Q449" s="39"/>
      <c r="R449" s="39"/>
      <c r="S449" s="39"/>
      <c r="T449" s="39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  <c r="AN449" s="14"/>
      <c r="AO449" s="14"/>
      <c r="AP449" s="14"/>
    </row>
    <row r="450" spans="1:42" ht="13">
      <c r="A450" s="38"/>
      <c r="B450" s="14"/>
      <c r="C450" s="38"/>
      <c r="D450" s="38"/>
      <c r="E450" s="38"/>
      <c r="F450" s="38"/>
      <c r="G450" s="38"/>
      <c r="H450" s="14"/>
      <c r="I450" s="38"/>
      <c r="J450" s="38"/>
      <c r="K450" s="14"/>
      <c r="L450" s="14"/>
      <c r="M450" s="14"/>
      <c r="N450" s="39"/>
      <c r="O450" s="39"/>
      <c r="P450" s="39"/>
      <c r="Q450" s="39"/>
      <c r="R450" s="39"/>
      <c r="S450" s="39"/>
      <c r="T450" s="39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  <c r="AM450" s="14"/>
      <c r="AN450" s="14"/>
      <c r="AO450" s="14"/>
      <c r="AP450" s="14"/>
    </row>
    <row r="451" spans="1:42" ht="13">
      <c r="A451" s="38"/>
      <c r="B451" s="14"/>
      <c r="C451" s="38"/>
      <c r="D451" s="38"/>
      <c r="E451" s="38"/>
      <c r="F451" s="38"/>
      <c r="G451" s="38"/>
      <c r="H451" s="14"/>
      <c r="I451" s="38"/>
      <c r="J451" s="38"/>
      <c r="K451" s="14"/>
      <c r="L451" s="14"/>
      <c r="M451" s="14"/>
      <c r="N451" s="39"/>
      <c r="O451" s="39"/>
      <c r="P451" s="39"/>
      <c r="Q451" s="39"/>
      <c r="R451" s="39"/>
      <c r="S451" s="39"/>
      <c r="T451" s="39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14"/>
      <c r="AN451" s="14"/>
      <c r="AO451" s="14"/>
      <c r="AP451" s="14"/>
    </row>
    <row r="452" spans="1:42" ht="13">
      <c r="A452" s="38"/>
      <c r="B452" s="14"/>
      <c r="C452" s="38"/>
      <c r="D452" s="38"/>
      <c r="E452" s="38"/>
      <c r="F452" s="38"/>
      <c r="G452" s="38"/>
      <c r="H452" s="14"/>
      <c r="I452" s="38"/>
      <c r="J452" s="38"/>
      <c r="K452" s="14"/>
      <c r="L452" s="14"/>
      <c r="M452" s="14"/>
      <c r="N452" s="39"/>
      <c r="O452" s="39"/>
      <c r="P452" s="39"/>
      <c r="Q452" s="39"/>
      <c r="R452" s="39"/>
      <c r="S452" s="39"/>
      <c r="T452" s="39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  <c r="AL452" s="14"/>
      <c r="AM452" s="14"/>
      <c r="AN452" s="14"/>
      <c r="AO452" s="14"/>
      <c r="AP452" s="14"/>
    </row>
    <row r="453" spans="1:42" ht="13">
      <c r="A453" s="38"/>
      <c r="B453" s="14"/>
      <c r="C453" s="38"/>
      <c r="D453" s="38"/>
      <c r="E453" s="38"/>
      <c r="F453" s="38"/>
      <c r="G453" s="38"/>
      <c r="H453" s="14"/>
      <c r="I453" s="38"/>
      <c r="J453" s="38"/>
      <c r="K453" s="14"/>
      <c r="L453" s="14"/>
      <c r="M453" s="14"/>
      <c r="N453" s="39"/>
      <c r="O453" s="39"/>
      <c r="P453" s="39"/>
      <c r="Q453" s="39"/>
      <c r="R453" s="39"/>
      <c r="S453" s="39"/>
      <c r="T453" s="39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  <c r="AM453" s="14"/>
      <c r="AN453" s="14"/>
      <c r="AO453" s="14"/>
      <c r="AP453" s="14"/>
    </row>
    <row r="454" spans="1:42" ht="13">
      <c r="A454" s="38"/>
      <c r="B454" s="14"/>
      <c r="C454" s="38"/>
      <c r="D454" s="38"/>
      <c r="E454" s="38"/>
      <c r="F454" s="38"/>
      <c r="G454" s="38"/>
      <c r="H454" s="14"/>
      <c r="I454" s="38"/>
      <c r="J454" s="38"/>
      <c r="K454" s="14"/>
      <c r="L454" s="14"/>
      <c r="M454" s="14"/>
      <c r="N454" s="39"/>
      <c r="O454" s="39"/>
      <c r="P454" s="39"/>
      <c r="Q454" s="39"/>
      <c r="R454" s="39"/>
      <c r="S454" s="39"/>
      <c r="T454" s="39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  <c r="AL454" s="14"/>
      <c r="AM454" s="14"/>
      <c r="AN454" s="14"/>
      <c r="AO454" s="14"/>
      <c r="AP454" s="14"/>
    </row>
    <row r="455" spans="1:42" ht="13">
      <c r="A455" s="38"/>
      <c r="B455" s="14"/>
      <c r="C455" s="38"/>
      <c r="D455" s="38"/>
      <c r="E455" s="38"/>
      <c r="F455" s="38"/>
      <c r="G455" s="38"/>
      <c r="H455" s="14"/>
      <c r="I455" s="38"/>
      <c r="J455" s="38"/>
      <c r="K455" s="14"/>
      <c r="L455" s="14"/>
      <c r="M455" s="14"/>
      <c r="N455" s="39"/>
      <c r="O455" s="39"/>
      <c r="P455" s="39"/>
      <c r="Q455" s="39"/>
      <c r="R455" s="39"/>
      <c r="S455" s="39"/>
      <c r="T455" s="39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  <c r="AN455" s="14"/>
      <c r="AO455" s="14"/>
      <c r="AP455" s="14"/>
    </row>
    <row r="456" spans="1:42" ht="13">
      <c r="A456" s="38"/>
      <c r="B456" s="14"/>
      <c r="C456" s="38"/>
      <c r="D456" s="38"/>
      <c r="E456" s="38"/>
      <c r="F456" s="38"/>
      <c r="G456" s="38"/>
      <c r="H456" s="14"/>
      <c r="I456" s="38"/>
      <c r="J456" s="38"/>
      <c r="K456" s="14"/>
      <c r="L456" s="14"/>
      <c r="M456" s="14"/>
      <c r="N456" s="39"/>
      <c r="O456" s="39"/>
      <c r="P456" s="39"/>
      <c r="Q456" s="39"/>
      <c r="R456" s="39"/>
      <c r="S456" s="39"/>
      <c r="T456" s="39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  <c r="AM456" s="14"/>
      <c r="AN456" s="14"/>
      <c r="AO456" s="14"/>
      <c r="AP456" s="14"/>
    </row>
    <row r="457" spans="1:42" ht="13">
      <c r="A457" s="38"/>
      <c r="B457" s="14"/>
      <c r="C457" s="38"/>
      <c r="D457" s="38"/>
      <c r="E457" s="38"/>
      <c r="F457" s="38"/>
      <c r="G457" s="38"/>
      <c r="H457" s="14"/>
      <c r="I457" s="38"/>
      <c r="J457" s="38"/>
      <c r="K457" s="14"/>
      <c r="L457" s="14"/>
      <c r="M457" s="14"/>
      <c r="N457" s="39"/>
      <c r="O457" s="39"/>
      <c r="P457" s="39"/>
      <c r="Q457" s="39"/>
      <c r="R457" s="39"/>
      <c r="S457" s="39"/>
      <c r="T457" s="39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  <c r="AN457" s="14"/>
      <c r="AO457" s="14"/>
      <c r="AP457" s="14"/>
    </row>
    <row r="458" spans="1:42" ht="13">
      <c r="A458" s="38"/>
      <c r="B458" s="14"/>
      <c r="C458" s="38"/>
      <c r="D458" s="38"/>
      <c r="E458" s="38"/>
      <c r="F458" s="38"/>
      <c r="G458" s="38"/>
      <c r="H458" s="14"/>
      <c r="I458" s="38"/>
      <c r="J458" s="38"/>
      <c r="K458" s="14"/>
      <c r="L458" s="14"/>
      <c r="M458" s="14"/>
      <c r="N458" s="39"/>
      <c r="O458" s="39"/>
      <c r="P458" s="39"/>
      <c r="Q458" s="39"/>
      <c r="R458" s="39"/>
      <c r="S458" s="39"/>
      <c r="T458" s="39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  <c r="AM458" s="14"/>
      <c r="AN458" s="14"/>
      <c r="AO458" s="14"/>
      <c r="AP458" s="14"/>
    </row>
    <row r="459" spans="1:42" ht="13">
      <c r="A459" s="38"/>
      <c r="B459" s="14"/>
      <c r="C459" s="38"/>
      <c r="D459" s="38"/>
      <c r="E459" s="38"/>
      <c r="F459" s="38"/>
      <c r="G459" s="38"/>
      <c r="H459" s="14"/>
      <c r="I459" s="38"/>
      <c r="J459" s="38"/>
      <c r="K459" s="14"/>
      <c r="L459" s="14"/>
      <c r="M459" s="14"/>
      <c r="N459" s="39"/>
      <c r="O459" s="39"/>
      <c r="P459" s="39"/>
      <c r="Q459" s="39"/>
      <c r="R459" s="39"/>
      <c r="S459" s="39"/>
      <c r="T459" s="39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  <c r="AM459" s="14"/>
      <c r="AN459" s="14"/>
      <c r="AO459" s="14"/>
      <c r="AP459" s="14"/>
    </row>
    <row r="460" spans="1:42" ht="13">
      <c r="A460" s="38"/>
      <c r="B460" s="14"/>
      <c r="C460" s="38"/>
      <c r="D460" s="38"/>
      <c r="E460" s="38"/>
      <c r="F460" s="38"/>
      <c r="G460" s="38"/>
      <c r="H460" s="14"/>
      <c r="I460" s="38"/>
      <c r="J460" s="38"/>
      <c r="K460" s="14"/>
      <c r="L460" s="14"/>
      <c r="M460" s="14"/>
      <c r="N460" s="39"/>
      <c r="O460" s="39"/>
      <c r="P460" s="39"/>
      <c r="Q460" s="39"/>
      <c r="R460" s="39"/>
      <c r="S460" s="39"/>
      <c r="T460" s="39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  <c r="AL460" s="14"/>
      <c r="AM460" s="14"/>
      <c r="AN460" s="14"/>
      <c r="AO460" s="14"/>
      <c r="AP460" s="14"/>
    </row>
    <row r="461" spans="1:42" ht="13">
      <c r="A461" s="38"/>
      <c r="B461" s="14"/>
      <c r="C461" s="38"/>
      <c r="D461" s="38"/>
      <c r="E461" s="38"/>
      <c r="F461" s="38"/>
      <c r="G461" s="38"/>
      <c r="H461" s="14"/>
      <c r="I461" s="38"/>
      <c r="J461" s="38"/>
      <c r="K461" s="14"/>
      <c r="L461" s="14"/>
      <c r="M461" s="14"/>
      <c r="N461" s="39"/>
      <c r="O461" s="39"/>
      <c r="P461" s="39"/>
      <c r="Q461" s="39"/>
      <c r="R461" s="39"/>
      <c r="S461" s="39"/>
      <c r="T461" s="39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4"/>
      <c r="AN461" s="14"/>
      <c r="AO461" s="14"/>
      <c r="AP461" s="14"/>
    </row>
    <row r="462" spans="1:42" ht="13">
      <c r="A462" s="38"/>
      <c r="B462" s="14"/>
      <c r="C462" s="38"/>
      <c r="D462" s="38"/>
      <c r="E462" s="38"/>
      <c r="F462" s="38"/>
      <c r="G462" s="38"/>
      <c r="H462" s="14"/>
      <c r="I462" s="38"/>
      <c r="J462" s="38"/>
      <c r="K462" s="14"/>
      <c r="L462" s="14"/>
      <c r="M462" s="14"/>
      <c r="N462" s="39"/>
      <c r="O462" s="39"/>
      <c r="P462" s="39"/>
      <c r="Q462" s="39"/>
      <c r="R462" s="39"/>
      <c r="S462" s="39"/>
      <c r="T462" s="39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  <c r="AL462" s="14"/>
      <c r="AM462" s="14"/>
      <c r="AN462" s="14"/>
      <c r="AO462" s="14"/>
      <c r="AP462" s="14"/>
    </row>
    <row r="463" spans="1:42" ht="13">
      <c r="A463" s="38"/>
      <c r="B463" s="14"/>
      <c r="C463" s="38"/>
      <c r="D463" s="38"/>
      <c r="E463" s="38"/>
      <c r="F463" s="38"/>
      <c r="G463" s="38"/>
      <c r="H463" s="14"/>
      <c r="I463" s="38"/>
      <c r="J463" s="38"/>
      <c r="K463" s="14"/>
      <c r="L463" s="14"/>
      <c r="M463" s="14"/>
      <c r="N463" s="39"/>
      <c r="O463" s="39"/>
      <c r="P463" s="39"/>
      <c r="Q463" s="39"/>
      <c r="R463" s="39"/>
      <c r="S463" s="39"/>
      <c r="T463" s="39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  <c r="AM463" s="14"/>
      <c r="AN463" s="14"/>
      <c r="AO463" s="14"/>
      <c r="AP463" s="14"/>
    </row>
    <row r="464" spans="1:42" ht="13">
      <c r="A464" s="38"/>
      <c r="B464" s="14"/>
      <c r="C464" s="38"/>
      <c r="D464" s="38"/>
      <c r="E464" s="38"/>
      <c r="F464" s="38"/>
      <c r="G464" s="38"/>
      <c r="H464" s="14"/>
      <c r="I464" s="38"/>
      <c r="J464" s="38"/>
      <c r="K464" s="14"/>
      <c r="L464" s="14"/>
      <c r="M464" s="14"/>
      <c r="N464" s="39"/>
      <c r="O464" s="39"/>
      <c r="P464" s="39"/>
      <c r="Q464" s="39"/>
      <c r="R464" s="39"/>
      <c r="S464" s="39"/>
      <c r="T464" s="39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  <c r="AM464" s="14"/>
      <c r="AN464" s="14"/>
      <c r="AO464" s="14"/>
      <c r="AP464" s="14"/>
    </row>
    <row r="465" spans="1:42" ht="13">
      <c r="A465" s="38"/>
      <c r="B465" s="14"/>
      <c r="C465" s="38"/>
      <c r="D465" s="38"/>
      <c r="E465" s="38"/>
      <c r="F465" s="38"/>
      <c r="G465" s="38"/>
      <c r="H465" s="14"/>
      <c r="I465" s="38"/>
      <c r="J465" s="38"/>
      <c r="K465" s="14"/>
      <c r="L465" s="14"/>
      <c r="M465" s="14"/>
      <c r="N465" s="39"/>
      <c r="O465" s="39"/>
      <c r="P465" s="39"/>
      <c r="Q465" s="39"/>
      <c r="R465" s="39"/>
      <c r="S465" s="39"/>
      <c r="T465" s="39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  <c r="AM465" s="14"/>
      <c r="AN465" s="14"/>
      <c r="AO465" s="14"/>
      <c r="AP465" s="14"/>
    </row>
    <row r="466" spans="1:42" ht="13">
      <c r="A466" s="38"/>
      <c r="B466" s="14"/>
      <c r="C466" s="38"/>
      <c r="D466" s="38"/>
      <c r="E466" s="38"/>
      <c r="F466" s="38"/>
      <c r="G466" s="38"/>
      <c r="H466" s="14"/>
      <c r="I466" s="38"/>
      <c r="J466" s="38"/>
      <c r="K466" s="14"/>
      <c r="L466" s="14"/>
      <c r="M466" s="14"/>
      <c r="N466" s="39"/>
      <c r="O466" s="39"/>
      <c r="P466" s="39"/>
      <c r="Q466" s="39"/>
      <c r="R466" s="39"/>
      <c r="S466" s="39"/>
      <c r="T466" s="39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  <c r="AM466" s="14"/>
      <c r="AN466" s="14"/>
      <c r="AO466" s="14"/>
      <c r="AP466" s="14"/>
    </row>
    <row r="467" spans="1:42" ht="13">
      <c r="A467" s="38"/>
      <c r="B467" s="14"/>
      <c r="C467" s="38"/>
      <c r="D467" s="38"/>
      <c r="E467" s="38"/>
      <c r="F467" s="38"/>
      <c r="G467" s="38"/>
      <c r="H467" s="14"/>
      <c r="I467" s="38"/>
      <c r="J467" s="38"/>
      <c r="K467" s="14"/>
      <c r="L467" s="14"/>
      <c r="M467" s="14"/>
      <c r="N467" s="39"/>
      <c r="O467" s="39"/>
      <c r="P467" s="39"/>
      <c r="Q467" s="39"/>
      <c r="R467" s="39"/>
      <c r="S467" s="39"/>
      <c r="T467" s="39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  <c r="AL467" s="14"/>
      <c r="AM467" s="14"/>
      <c r="AN467" s="14"/>
      <c r="AO467" s="14"/>
      <c r="AP467" s="14"/>
    </row>
    <row r="468" spans="1:42" ht="13">
      <c r="A468" s="38"/>
      <c r="B468" s="14"/>
      <c r="C468" s="38"/>
      <c r="D468" s="38"/>
      <c r="E468" s="38"/>
      <c r="F468" s="38"/>
      <c r="G468" s="38"/>
      <c r="H468" s="14"/>
      <c r="I468" s="38"/>
      <c r="J468" s="38"/>
      <c r="K468" s="14"/>
      <c r="L468" s="14"/>
      <c r="M468" s="14"/>
      <c r="N468" s="39"/>
      <c r="O468" s="39"/>
      <c r="P468" s="39"/>
      <c r="Q468" s="39"/>
      <c r="R468" s="39"/>
      <c r="S468" s="39"/>
      <c r="T468" s="39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  <c r="AL468" s="14"/>
      <c r="AM468" s="14"/>
      <c r="AN468" s="14"/>
      <c r="AO468" s="14"/>
      <c r="AP468" s="14"/>
    </row>
    <row r="469" spans="1:42" ht="13">
      <c r="A469" s="38"/>
      <c r="B469" s="14"/>
      <c r="C469" s="38"/>
      <c r="D469" s="38"/>
      <c r="E469" s="38"/>
      <c r="F469" s="38"/>
      <c r="G469" s="38"/>
      <c r="H469" s="14"/>
      <c r="I469" s="38"/>
      <c r="J469" s="38"/>
      <c r="K469" s="14"/>
      <c r="L469" s="14"/>
      <c r="M469" s="14"/>
      <c r="N469" s="39"/>
      <c r="O469" s="39"/>
      <c r="P469" s="39"/>
      <c r="Q469" s="39"/>
      <c r="R469" s="39"/>
      <c r="S469" s="39"/>
      <c r="T469" s="39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  <c r="AM469" s="14"/>
      <c r="AN469" s="14"/>
      <c r="AO469" s="14"/>
      <c r="AP469" s="14"/>
    </row>
    <row r="470" spans="1:42" ht="13">
      <c r="A470" s="38"/>
      <c r="B470" s="14"/>
      <c r="C470" s="38"/>
      <c r="D470" s="38"/>
      <c r="E470" s="38"/>
      <c r="F470" s="38"/>
      <c r="G470" s="38"/>
      <c r="H470" s="14"/>
      <c r="I470" s="38"/>
      <c r="J470" s="38"/>
      <c r="K470" s="14"/>
      <c r="L470" s="14"/>
      <c r="M470" s="14"/>
      <c r="N470" s="39"/>
      <c r="O470" s="39"/>
      <c r="P470" s="39"/>
      <c r="Q470" s="39"/>
      <c r="R470" s="39"/>
      <c r="S470" s="39"/>
      <c r="T470" s="39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  <c r="AM470" s="14"/>
      <c r="AN470" s="14"/>
      <c r="AO470" s="14"/>
      <c r="AP470" s="14"/>
    </row>
    <row r="471" spans="1:42" ht="13">
      <c r="A471" s="38"/>
      <c r="B471" s="14"/>
      <c r="C471" s="38"/>
      <c r="D471" s="38"/>
      <c r="E471" s="38"/>
      <c r="F471" s="38"/>
      <c r="G471" s="38"/>
      <c r="H471" s="14"/>
      <c r="I471" s="38"/>
      <c r="J471" s="38"/>
      <c r="K471" s="14"/>
      <c r="L471" s="14"/>
      <c r="M471" s="14"/>
      <c r="N471" s="39"/>
      <c r="O471" s="39"/>
      <c r="P471" s="39"/>
      <c r="Q471" s="39"/>
      <c r="R471" s="39"/>
      <c r="S471" s="39"/>
      <c r="T471" s="39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  <c r="AM471" s="14"/>
      <c r="AN471" s="14"/>
      <c r="AO471" s="14"/>
      <c r="AP471" s="14"/>
    </row>
    <row r="472" spans="1:42" ht="13">
      <c r="A472" s="38"/>
      <c r="B472" s="14"/>
      <c r="C472" s="38"/>
      <c r="D472" s="38"/>
      <c r="E472" s="38"/>
      <c r="F472" s="38"/>
      <c r="G472" s="38"/>
      <c r="H472" s="14"/>
      <c r="I472" s="38"/>
      <c r="J472" s="38"/>
      <c r="K472" s="14"/>
      <c r="L472" s="14"/>
      <c r="M472" s="14"/>
      <c r="N472" s="39"/>
      <c r="O472" s="39"/>
      <c r="P472" s="39"/>
      <c r="Q472" s="39"/>
      <c r="R472" s="39"/>
      <c r="S472" s="39"/>
      <c r="T472" s="39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  <c r="AL472" s="14"/>
      <c r="AM472" s="14"/>
      <c r="AN472" s="14"/>
      <c r="AO472" s="14"/>
      <c r="AP472" s="14"/>
    </row>
    <row r="473" spans="1:42" ht="13">
      <c r="A473" s="38"/>
      <c r="B473" s="14"/>
      <c r="C473" s="38"/>
      <c r="D473" s="38"/>
      <c r="E473" s="38"/>
      <c r="F473" s="38"/>
      <c r="G473" s="38"/>
      <c r="H473" s="14"/>
      <c r="I473" s="38"/>
      <c r="J473" s="38"/>
      <c r="K473" s="14"/>
      <c r="L473" s="14"/>
      <c r="M473" s="14"/>
      <c r="N473" s="39"/>
      <c r="O473" s="39"/>
      <c r="P473" s="39"/>
      <c r="Q473" s="39"/>
      <c r="R473" s="39"/>
      <c r="S473" s="39"/>
      <c r="T473" s="39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  <c r="AL473" s="14"/>
      <c r="AM473" s="14"/>
      <c r="AN473" s="14"/>
      <c r="AO473" s="14"/>
      <c r="AP473" s="14"/>
    </row>
    <row r="474" spans="1:42" ht="13">
      <c r="A474" s="38"/>
      <c r="B474" s="14"/>
      <c r="C474" s="38"/>
      <c r="D474" s="38"/>
      <c r="E474" s="38"/>
      <c r="F474" s="38"/>
      <c r="G474" s="38"/>
      <c r="H474" s="14"/>
      <c r="I474" s="38"/>
      <c r="J474" s="38"/>
      <c r="K474" s="14"/>
      <c r="L474" s="14"/>
      <c r="M474" s="14"/>
      <c r="N474" s="39"/>
      <c r="O474" s="39"/>
      <c r="P474" s="39"/>
      <c r="Q474" s="39"/>
      <c r="R474" s="39"/>
      <c r="S474" s="39"/>
      <c r="T474" s="39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  <c r="AL474" s="14"/>
      <c r="AM474" s="14"/>
      <c r="AN474" s="14"/>
      <c r="AO474" s="14"/>
      <c r="AP474" s="14"/>
    </row>
    <row r="475" spans="1:42" ht="13">
      <c r="A475" s="38"/>
      <c r="B475" s="14"/>
      <c r="C475" s="38"/>
      <c r="D475" s="38"/>
      <c r="E475" s="38"/>
      <c r="F475" s="38"/>
      <c r="G475" s="38"/>
      <c r="H475" s="14"/>
      <c r="I475" s="38"/>
      <c r="J475" s="38"/>
      <c r="K475" s="14"/>
      <c r="L475" s="14"/>
      <c r="M475" s="14"/>
      <c r="N475" s="39"/>
      <c r="O475" s="39"/>
      <c r="P475" s="39"/>
      <c r="Q475" s="39"/>
      <c r="R475" s="39"/>
      <c r="S475" s="39"/>
      <c r="T475" s="39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  <c r="AL475" s="14"/>
      <c r="AM475" s="14"/>
      <c r="AN475" s="14"/>
      <c r="AO475" s="14"/>
      <c r="AP475" s="14"/>
    </row>
    <row r="476" spans="1:42" ht="13">
      <c r="A476" s="38"/>
      <c r="B476" s="14"/>
      <c r="C476" s="38"/>
      <c r="D476" s="38"/>
      <c r="E476" s="38"/>
      <c r="F476" s="38"/>
      <c r="G476" s="38"/>
      <c r="H476" s="14"/>
      <c r="I476" s="38"/>
      <c r="J476" s="38"/>
      <c r="K476" s="14"/>
      <c r="L476" s="14"/>
      <c r="M476" s="14"/>
      <c r="N476" s="39"/>
      <c r="O476" s="39"/>
      <c r="P476" s="39"/>
      <c r="Q476" s="39"/>
      <c r="R476" s="39"/>
      <c r="S476" s="39"/>
      <c r="T476" s="39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  <c r="AK476" s="14"/>
      <c r="AL476" s="14"/>
      <c r="AM476" s="14"/>
      <c r="AN476" s="14"/>
      <c r="AO476" s="14"/>
      <c r="AP476" s="14"/>
    </row>
    <row r="477" spans="1:42" ht="13">
      <c r="A477" s="38"/>
      <c r="B477" s="14"/>
      <c r="C477" s="38"/>
      <c r="D477" s="38"/>
      <c r="E477" s="38"/>
      <c r="F477" s="38"/>
      <c r="G477" s="38"/>
      <c r="H477" s="14"/>
      <c r="I477" s="38"/>
      <c r="J477" s="38"/>
      <c r="K477" s="14"/>
      <c r="L477" s="14"/>
      <c r="M477" s="14"/>
      <c r="N477" s="39"/>
      <c r="O477" s="39"/>
      <c r="P477" s="39"/>
      <c r="Q477" s="39"/>
      <c r="R477" s="39"/>
      <c r="S477" s="39"/>
      <c r="T477" s="39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  <c r="AL477" s="14"/>
      <c r="AM477" s="14"/>
      <c r="AN477" s="14"/>
      <c r="AO477" s="14"/>
      <c r="AP477" s="14"/>
    </row>
    <row r="478" spans="1:42" ht="13">
      <c r="A478" s="38"/>
      <c r="B478" s="14"/>
      <c r="C478" s="38"/>
      <c r="D478" s="38"/>
      <c r="E478" s="38"/>
      <c r="F478" s="38"/>
      <c r="G478" s="38"/>
      <c r="H478" s="14"/>
      <c r="I478" s="38"/>
      <c r="J478" s="38"/>
      <c r="K478" s="14"/>
      <c r="L478" s="14"/>
      <c r="M478" s="14"/>
      <c r="N478" s="39"/>
      <c r="O478" s="39"/>
      <c r="P478" s="39"/>
      <c r="Q478" s="39"/>
      <c r="R478" s="39"/>
      <c r="S478" s="39"/>
      <c r="T478" s="39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  <c r="AL478" s="14"/>
      <c r="AM478" s="14"/>
      <c r="AN478" s="14"/>
      <c r="AO478" s="14"/>
      <c r="AP478" s="14"/>
    </row>
    <row r="479" spans="1:42" ht="13">
      <c r="A479" s="38"/>
      <c r="B479" s="14"/>
      <c r="C479" s="38"/>
      <c r="D479" s="38"/>
      <c r="E479" s="38"/>
      <c r="F479" s="38"/>
      <c r="G479" s="38"/>
      <c r="H479" s="14"/>
      <c r="I479" s="38"/>
      <c r="J479" s="38"/>
      <c r="K479" s="14"/>
      <c r="L479" s="14"/>
      <c r="M479" s="14"/>
      <c r="N479" s="39"/>
      <c r="O479" s="39"/>
      <c r="P479" s="39"/>
      <c r="Q479" s="39"/>
      <c r="R479" s="39"/>
      <c r="S479" s="39"/>
      <c r="T479" s="39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  <c r="AL479" s="14"/>
      <c r="AM479" s="14"/>
      <c r="AN479" s="14"/>
      <c r="AO479" s="14"/>
      <c r="AP479" s="14"/>
    </row>
    <row r="480" spans="1:42" ht="13">
      <c r="A480" s="38"/>
      <c r="B480" s="14"/>
      <c r="C480" s="38"/>
      <c r="D480" s="38"/>
      <c r="E480" s="38"/>
      <c r="F480" s="38"/>
      <c r="G480" s="38"/>
      <c r="H480" s="14"/>
      <c r="I480" s="38"/>
      <c r="J480" s="38"/>
      <c r="K480" s="14"/>
      <c r="L480" s="14"/>
      <c r="M480" s="14"/>
      <c r="N480" s="39"/>
      <c r="O480" s="39"/>
      <c r="P480" s="39"/>
      <c r="Q480" s="39"/>
      <c r="R480" s="39"/>
      <c r="S480" s="39"/>
      <c r="T480" s="39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  <c r="AK480" s="14"/>
      <c r="AL480" s="14"/>
      <c r="AM480" s="14"/>
      <c r="AN480" s="14"/>
      <c r="AO480" s="14"/>
      <c r="AP480" s="14"/>
    </row>
    <row r="481" spans="1:42" ht="13">
      <c r="A481" s="38"/>
      <c r="B481" s="14"/>
      <c r="C481" s="38"/>
      <c r="D481" s="38"/>
      <c r="E481" s="38"/>
      <c r="F481" s="38"/>
      <c r="G481" s="38"/>
      <c r="H481" s="14"/>
      <c r="I481" s="38"/>
      <c r="J481" s="38"/>
      <c r="K481" s="14"/>
      <c r="L481" s="14"/>
      <c r="M481" s="14"/>
      <c r="N481" s="39"/>
      <c r="O481" s="39"/>
      <c r="P481" s="39"/>
      <c r="Q481" s="39"/>
      <c r="R481" s="39"/>
      <c r="S481" s="39"/>
      <c r="T481" s="39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  <c r="AL481" s="14"/>
      <c r="AM481" s="14"/>
      <c r="AN481" s="14"/>
      <c r="AO481" s="14"/>
      <c r="AP481" s="14"/>
    </row>
    <row r="482" spans="1:42" ht="13">
      <c r="A482" s="38"/>
      <c r="B482" s="14"/>
      <c r="C482" s="38"/>
      <c r="D482" s="38"/>
      <c r="E482" s="38"/>
      <c r="F482" s="38"/>
      <c r="G482" s="38"/>
      <c r="H482" s="14"/>
      <c r="I482" s="38"/>
      <c r="J482" s="38"/>
      <c r="K482" s="14"/>
      <c r="L482" s="14"/>
      <c r="M482" s="14"/>
      <c r="N482" s="39"/>
      <c r="O482" s="39"/>
      <c r="P482" s="39"/>
      <c r="Q482" s="39"/>
      <c r="R482" s="39"/>
      <c r="S482" s="39"/>
      <c r="T482" s="39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  <c r="AK482" s="14"/>
      <c r="AL482" s="14"/>
      <c r="AM482" s="14"/>
      <c r="AN482" s="14"/>
      <c r="AO482" s="14"/>
      <c r="AP482" s="14"/>
    </row>
    <row r="483" spans="1:42" ht="13">
      <c r="A483" s="38"/>
      <c r="B483" s="14"/>
      <c r="C483" s="38"/>
      <c r="D483" s="38"/>
      <c r="E483" s="38"/>
      <c r="F483" s="38"/>
      <c r="G483" s="38"/>
      <c r="H483" s="14"/>
      <c r="I483" s="38"/>
      <c r="J483" s="38"/>
      <c r="K483" s="14"/>
      <c r="L483" s="14"/>
      <c r="M483" s="14"/>
      <c r="N483" s="39"/>
      <c r="O483" s="39"/>
      <c r="P483" s="39"/>
      <c r="Q483" s="39"/>
      <c r="R483" s="39"/>
      <c r="S483" s="39"/>
      <c r="T483" s="39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  <c r="AL483" s="14"/>
      <c r="AM483" s="14"/>
      <c r="AN483" s="14"/>
      <c r="AO483" s="14"/>
      <c r="AP483" s="14"/>
    </row>
    <row r="484" spans="1:42" ht="13">
      <c r="A484" s="38"/>
      <c r="B484" s="14"/>
      <c r="C484" s="38"/>
      <c r="D484" s="38"/>
      <c r="E484" s="38"/>
      <c r="F484" s="38"/>
      <c r="G484" s="38"/>
      <c r="H484" s="14"/>
      <c r="I484" s="38"/>
      <c r="J484" s="38"/>
      <c r="K484" s="14"/>
      <c r="L484" s="14"/>
      <c r="M484" s="14"/>
      <c r="N484" s="39"/>
      <c r="O484" s="39"/>
      <c r="P484" s="39"/>
      <c r="Q484" s="39"/>
      <c r="R484" s="39"/>
      <c r="S484" s="39"/>
      <c r="T484" s="39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  <c r="AL484" s="14"/>
      <c r="AM484" s="14"/>
      <c r="AN484" s="14"/>
      <c r="AO484" s="14"/>
      <c r="AP484" s="14"/>
    </row>
    <row r="485" spans="1:42" ht="13">
      <c r="A485" s="38"/>
      <c r="B485" s="14"/>
      <c r="C485" s="38"/>
      <c r="D485" s="38"/>
      <c r="E485" s="38"/>
      <c r="F485" s="38"/>
      <c r="G485" s="38"/>
      <c r="H485" s="14"/>
      <c r="I485" s="38"/>
      <c r="J485" s="38"/>
      <c r="K485" s="14"/>
      <c r="L485" s="14"/>
      <c r="M485" s="14"/>
      <c r="N485" s="39"/>
      <c r="O485" s="39"/>
      <c r="P485" s="39"/>
      <c r="Q485" s="39"/>
      <c r="R485" s="39"/>
      <c r="S485" s="39"/>
      <c r="T485" s="39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  <c r="AL485" s="14"/>
      <c r="AM485" s="14"/>
      <c r="AN485" s="14"/>
      <c r="AO485" s="14"/>
      <c r="AP485" s="14"/>
    </row>
    <row r="486" spans="1:42" ht="13">
      <c r="A486" s="38"/>
      <c r="B486" s="14"/>
      <c r="C486" s="38"/>
      <c r="D486" s="38"/>
      <c r="E486" s="38"/>
      <c r="F486" s="38"/>
      <c r="G486" s="38"/>
      <c r="H486" s="14"/>
      <c r="I486" s="38"/>
      <c r="J486" s="38"/>
      <c r="K486" s="14"/>
      <c r="L486" s="14"/>
      <c r="M486" s="14"/>
      <c r="N486" s="39"/>
      <c r="O486" s="39"/>
      <c r="P486" s="39"/>
      <c r="Q486" s="39"/>
      <c r="R486" s="39"/>
      <c r="S486" s="39"/>
      <c r="T486" s="39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  <c r="AJ486" s="14"/>
      <c r="AK486" s="14"/>
      <c r="AL486" s="14"/>
      <c r="AM486" s="14"/>
      <c r="AN486" s="14"/>
      <c r="AO486" s="14"/>
      <c r="AP486" s="14"/>
    </row>
    <row r="487" spans="1:42" ht="13">
      <c r="A487" s="38"/>
      <c r="B487" s="14"/>
      <c r="C487" s="38"/>
      <c r="D487" s="38"/>
      <c r="E487" s="38"/>
      <c r="F487" s="38"/>
      <c r="G487" s="38"/>
      <c r="H487" s="14"/>
      <c r="I487" s="38"/>
      <c r="J487" s="38"/>
      <c r="K487" s="14"/>
      <c r="L487" s="14"/>
      <c r="M487" s="14"/>
      <c r="N487" s="39"/>
      <c r="O487" s="39"/>
      <c r="P487" s="39"/>
      <c r="Q487" s="39"/>
      <c r="R487" s="39"/>
      <c r="S487" s="39"/>
      <c r="T487" s="39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  <c r="AL487" s="14"/>
      <c r="AM487" s="14"/>
      <c r="AN487" s="14"/>
      <c r="AO487" s="14"/>
      <c r="AP487" s="14"/>
    </row>
    <row r="488" spans="1:42" ht="13">
      <c r="A488" s="38"/>
      <c r="B488" s="14"/>
      <c r="C488" s="38"/>
      <c r="D488" s="38"/>
      <c r="E488" s="38"/>
      <c r="F488" s="38"/>
      <c r="G488" s="38"/>
      <c r="H488" s="14"/>
      <c r="I488" s="38"/>
      <c r="J488" s="38"/>
      <c r="K488" s="14"/>
      <c r="L488" s="14"/>
      <c r="M488" s="14"/>
      <c r="N488" s="39"/>
      <c r="O488" s="39"/>
      <c r="P488" s="39"/>
      <c r="Q488" s="39"/>
      <c r="R488" s="39"/>
      <c r="S488" s="39"/>
      <c r="T488" s="39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  <c r="AL488" s="14"/>
      <c r="AM488" s="14"/>
      <c r="AN488" s="14"/>
      <c r="AO488" s="14"/>
      <c r="AP488" s="14"/>
    </row>
    <row r="489" spans="1:42" ht="13">
      <c r="A489" s="38"/>
      <c r="B489" s="14"/>
      <c r="C489" s="38"/>
      <c r="D489" s="38"/>
      <c r="E489" s="38"/>
      <c r="F489" s="38"/>
      <c r="G489" s="38"/>
      <c r="H489" s="14"/>
      <c r="I489" s="38"/>
      <c r="J489" s="38"/>
      <c r="K489" s="14"/>
      <c r="L489" s="14"/>
      <c r="M489" s="14"/>
      <c r="N489" s="39"/>
      <c r="O489" s="39"/>
      <c r="P489" s="39"/>
      <c r="Q489" s="39"/>
      <c r="R489" s="39"/>
      <c r="S489" s="39"/>
      <c r="T489" s="39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  <c r="AK489" s="14"/>
      <c r="AL489" s="14"/>
      <c r="AM489" s="14"/>
      <c r="AN489" s="14"/>
      <c r="AO489" s="14"/>
      <c r="AP489" s="14"/>
    </row>
    <row r="490" spans="1:42" ht="13">
      <c r="A490" s="38"/>
      <c r="B490" s="14"/>
      <c r="C490" s="38"/>
      <c r="D490" s="38"/>
      <c r="E490" s="38"/>
      <c r="F490" s="38"/>
      <c r="G490" s="38"/>
      <c r="H490" s="14"/>
      <c r="I490" s="38"/>
      <c r="J490" s="38"/>
      <c r="K490" s="14"/>
      <c r="L490" s="14"/>
      <c r="M490" s="14"/>
      <c r="N490" s="39"/>
      <c r="O490" s="39"/>
      <c r="P490" s="39"/>
      <c r="Q490" s="39"/>
      <c r="R490" s="39"/>
      <c r="S490" s="39"/>
      <c r="T490" s="39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  <c r="AJ490" s="14"/>
      <c r="AK490" s="14"/>
      <c r="AL490" s="14"/>
      <c r="AM490" s="14"/>
      <c r="AN490" s="14"/>
      <c r="AO490" s="14"/>
      <c r="AP490" s="14"/>
    </row>
    <row r="491" spans="1:42" ht="13">
      <c r="A491" s="38"/>
      <c r="B491" s="14"/>
      <c r="C491" s="38"/>
      <c r="D491" s="38"/>
      <c r="E491" s="38"/>
      <c r="F491" s="38"/>
      <c r="G491" s="38"/>
      <c r="H491" s="14"/>
      <c r="I491" s="38"/>
      <c r="J491" s="38"/>
      <c r="K491" s="14"/>
      <c r="L491" s="14"/>
      <c r="M491" s="14"/>
      <c r="N491" s="39"/>
      <c r="O491" s="39"/>
      <c r="P491" s="39"/>
      <c r="Q491" s="39"/>
      <c r="R491" s="39"/>
      <c r="S491" s="39"/>
      <c r="T491" s="39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  <c r="AK491" s="14"/>
      <c r="AL491" s="14"/>
      <c r="AM491" s="14"/>
      <c r="AN491" s="14"/>
      <c r="AO491" s="14"/>
      <c r="AP491" s="14"/>
    </row>
    <row r="492" spans="1:42" ht="13">
      <c r="A492" s="38"/>
      <c r="B492" s="14"/>
      <c r="C492" s="38"/>
      <c r="D492" s="38"/>
      <c r="E492" s="38"/>
      <c r="F492" s="38"/>
      <c r="G492" s="38"/>
      <c r="H492" s="14"/>
      <c r="I492" s="38"/>
      <c r="J492" s="38"/>
      <c r="K492" s="14"/>
      <c r="L492" s="14"/>
      <c r="M492" s="14"/>
      <c r="N492" s="39"/>
      <c r="O492" s="39"/>
      <c r="P492" s="39"/>
      <c r="Q492" s="39"/>
      <c r="R492" s="39"/>
      <c r="S492" s="39"/>
      <c r="T492" s="39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  <c r="AK492" s="14"/>
      <c r="AL492" s="14"/>
      <c r="AM492" s="14"/>
      <c r="AN492" s="14"/>
      <c r="AO492" s="14"/>
      <c r="AP492" s="14"/>
    </row>
    <row r="493" spans="1:42" ht="13">
      <c r="A493" s="38"/>
      <c r="B493" s="14"/>
      <c r="C493" s="38"/>
      <c r="D493" s="38"/>
      <c r="E493" s="38"/>
      <c r="F493" s="38"/>
      <c r="G493" s="38"/>
      <c r="H493" s="14"/>
      <c r="I493" s="38"/>
      <c r="J493" s="38"/>
      <c r="K493" s="14"/>
      <c r="L493" s="14"/>
      <c r="M493" s="14"/>
      <c r="N493" s="39"/>
      <c r="O493" s="39"/>
      <c r="P493" s="39"/>
      <c r="Q493" s="39"/>
      <c r="R493" s="39"/>
      <c r="S493" s="39"/>
      <c r="T493" s="39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  <c r="AL493" s="14"/>
      <c r="AM493" s="14"/>
      <c r="AN493" s="14"/>
      <c r="AO493" s="14"/>
      <c r="AP493" s="14"/>
    </row>
    <row r="494" spans="1:42" ht="13">
      <c r="A494" s="38"/>
      <c r="B494" s="14"/>
      <c r="C494" s="38"/>
      <c r="D494" s="38"/>
      <c r="E494" s="38"/>
      <c r="F494" s="38"/>
      <c r="G494" s="38"/>
      <c r="H494" s="14"/>
      <c r="I494" s="38"/>
      <c r="J494" s="38"/>
      <c r="K494" s="14"/>
      <c r="L494" s="14"/>
      <c r="M494" s="14"/>
      <c r="N494" s="39"/>
      <c r="O494" s="39"/>
      <c r="P494" s="39"/>
      <c r="Q494" s="39"/>
      <c r="R494" s="39"/>
      <c r="S494" s="39"/>
      <c r="T494" s="39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  <c r="AK494" s="14"/>
      <c r="AL494" s="14"/>
      <c r="AM494" s="14"/>
      <c r="AN494" s="14"/>
      <c r="AO494" s="14"/>
      <c r="AP494" s="14"/>
    </row>
    <row r="495" spans="1:42" ht="13">
      <c r="A495" s="38"/>
      <c r="B495" s="14"/>
      <c r="C495" s="38"/>
      <c r="D495" s="38"/>
      <c r="E495" s="38"/>
      <c r="F495" s="38"/>
      <c r="G495" s="38"/>
      <c r="H495" s="14"/>
      <c r="I495" s="38"/>
      <c r="J495" s="38"/>
      <c r="K495" s="14"/>
      <c r="L495" s="14"/>
      <c r="M495" s="14"/>
      <c r="N495" s="39"/>
      <c r="O495" s="39"/>
      <c r="P495" s="39"/>
      <c r="Q495" s="39"/>
      <c r="R495" s="39"/>
      <c r="S495" s="39"/>
      <c r="T495" s="39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  <c r="AL495" s="14"/>
      <c r="AM495" s="14"/>
      <c r="AN495" s="14"/>
      <c r="AO495" s="14"/>
      <c r="AP495" s="14"/>
    </row>
    <row r="496" spans="1:42" ht="13">
      <c r="A496" s="38"/>
      <c r="B496" s="14"/>
      <c r="C496" s="38"/>
      <c r="D496" s="38"/>
      <c r="E496" s="38"/>
      <c r="F496" s="38"/>
      <c r="G496" s="38"/>
      <c r="H496" s="14"/>
      <c r="I496" s="38"/>
      <c r="J496" s="38"/>
      <c r="K496" s="14"/>
      <c r="L496" s="14"/>
      <c r="M496" s="14"/>
      <c r="N496" s="39"/>
      <c r="O496" s="39"/>
      <c r="P496" s="39"/>
      <c r="Q496" s="39"/>
      <c r="R496" s="39"/>
      <c r="S496" s="39"/>
      <c r="T496" s="39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  <c r="AJ496" s="14"/>
      <c r="AK496" s="14"/>
      <c r="AL496" s="14"/>
      <c r="AM496" s="14"/>
      <c r="AN496" s="14"/>
      <c r="AO496" s="14"/>
      <c r="AP496" s="14"/>
    </row>
    <row r="497" spans="1:42" ht="13">
      <c r="A497" s="38"/>
      <c r="B497" s="14"/>
      <c r="C497" s="38"/>
      <c r="D497" s="38"/>
      <c r="E497" s="38"/>
      <c r="F497" s="38"/>
      <c r="G497" s="38"/>
      <c r="H497" s="14"/>
      <c r="I497" s="38"/>
      <c r="J497" s="38"/>
      <c r="K497" s="14"/>
      <c r="L497" s="14"/>
      <c r="M497" s="14"/>
      <c r="N497" s="39"/>
      <c r="O497" s="39"/>
      <c r="P497" s="39"/>
      <c r="Q497" s="39"/>
      <c r="R497" s="39"/>
      <c r="S497" s="39"/>
      <c r="T497" s="39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  <c r="AL497" s="14"/>
      <c r="AM497" s="14"/>
      <c r="AN497" s="14"/>
      <c r="AO497" s="14"/>
      <c r="AP497" s="14"/>
    </row>
    <row r="498" spans="1:42" ht="13">
      <c r="A498" s="38"/>
      <c r="B498" s="14"/>
      <c r="C498" s="38"/>
      <c r="D498" s="38"/>
      <c r="E498" s="38"/>
      <c r="F498" s="38"/>
      <c r="G498" s="38"/>
      <c r="H498" s="14"/>
      <c r="I498" s="38"/>
      <c r="J498" s="38"/>
      <c r="K498" s="14"/>
      <c r="L498" s="14"/>
      <c r="M498" s="14"/>
      <c r="N498" s="39"/>
      <c r="O498" s="39"/>
      <c r="P498" s="39"/>
      <c r="Q498" s="39"/>
      <c r="R498" s="39"/>
      <c r="S498" s="39"/>
      <c r="T498" s="39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  <c r="AL498" s="14"/>
      <c r="AM498" s="14"/>
      <c r="AN498" s="14"/>
      <c r="AO498" s="14"/>
      <c r="AP498" s="14"/>
    </row>
    <row r="499" spans="1:42" ht="13">
      <c r="A499" s="38"/>
      <c r="B499" s="14"/>
      <c r="C499" s="38"/>
      <c r="D499" s="38"/>
      <c r="E499" s="38"/>
      <c r="F499" s="38"/>
      <c r="G499" s="38"/>
      <c r="H499" s="14"/>
      <c r="I499" s="38"/>
      <c r="J499" s="38"/>
      <c r="K499" s="14"/>
      <c r="L499" s="14"/>
      <c r="M499" s="14"/>
      <c r="N499" s="39"/>
      <c r="O499" s="39"/>
      <c r="P499" s="39"/>
      <c r="Q499" s="39"/>
      <c r="R499" s="39"/>
      <c r="S499" s="39"/>
      <c r="T499" s="39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  <c r="AJ499" s="14"/>
      <c r="AK499" s="14"/>
      <c r="AL499" s="14"/>
      <c r="AM499" s="14"/>
      <c r="AN499" s="14"/>
      <c r="AO499" s="14"/>
      <c r="AP499" s="14"/>
    </row>
    <row r="500" spans="1:42" ht="13">
      <c r="A500" s="38"/>
      <c r="B500" s="14"/>
      <c r="C500" s="38"/>
      <c r="D500" s="38"/>
      <c r="E500" s="38"/>
      <c r="F500" s="38"/>
      <c r="G500" s="38"/>
      <c r="H500" s="14"/>
      <c r="I500" s="38"/>
      <c r="J500" s="38"/>
      <c r="K500" s="14"/>
      <c r="L500" s="14"/>
      <c r="M500" s="14"/>
      <c r="N500" s="39"/>
      <c r="O500" s="39"/>
      <c r="P500" s="39"/>
      <c r="Q500" s="39"/>
      <c r="R500" s="39"/>
      <c r="S500" s="39"/>
      <c r="T500" s="39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  <c r="AL500" s="14"/>
      <c r="AM500" s="14"/>
      <c r="AN500" s="14"/>
      <c r="AO500" s="14"/>
      <c r="AP500" s="14"/>
    </row>
    <row r="501" spans="1:42" ht="13">
      <c r="A501" s="38"/>
      <c r="B501" s="14"/>
      <c r="C501" s="38"/>
      <c r="D501" s="38"/>
      <c r="E501" s="38"/>
      <c r="F501" s="38"/>
      <c r="G501" s="38"/>
      <c r="H501" s="14"/>
      <c r="I501" s="38"/>
      <c r="J501" s="38"/>
      <c r="K501" s="14"/>
      <c r="L501" s="14"/>
      <c r="M501" s="14"/>
      <c r="N501" s="39"/>
      <c r="O501" s="39"/>
      <c r="P501" s="39"/>
      <c r="Q501" s="39"/>
      <c r="R501" s="39"/>
      <c r="S501" s="39"/>
      <c r="T501" s="39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  <c r="AJ501" s="14"/>
      <c r="AK501" s="14"/>
      <c r="AL501" s="14"/>
      <c r="AM501" s="14"/>
      <c r="AN501" s="14"/>
      <c r="AO501" s="14"/>
      <c r="AP501" s="14"/>
    </row>
    <row r="502" spans="1:42" ht="13">
      <c r="A502" s="38"/>
      <c r="B502" s="14"/>
      <c r="C502" s="38"/>
      <c r="D502" s="38"/>
      <c r="E502" s="38"/>
      <c r="F502" s="38"/>
      <c r="G502" s="38"/>
      <c r="H502" s="14"/>
      <c r="I502" s="38"/>
      <c r="J502" s="38"/>
      <c r="K502" s="14"/>
      <c r="L502" s="14"/>
      <c r="M502" s="14"/>
      <c r="N502" s="39"/>
      <c r="O502" s="39"/>
      <c r="P502" s="39"/>
      <c r="Q502" s="39"/>
      <c r="R502" s="39"/>
      <c r="S502" s="39"/>
      <c r="T502" s="39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  <c r="AI502" s="14"/>
      <c r="AJ502" s="14"/>
      <c r="AK502" s="14"/>
      <c r="AL502" s="14"/>
      <c r="AM502" s="14"/>
      <c r="AN502" s="14"/>
      <c r="AO502" s="14"/>
      <c r="AP502" s="14"/>
    </row>
    <row r="503" spans="1:42" ht="13">
      <c r="A503" s="38"/>
      <c r="B503" s="14"/>
      <c r="C503" s="38"/>
      <c r="D503" s="38"/>
      <c r="E503" s="38"/>
      <c r="F503" s="38"/>
      <c r="G503" s="38"/>
      <c r="H503" s="14"/>
      <c r="I503" s="38"/>
      <c r="J503" s="38"/>
      <c r="K503" s="14"/>
      <c r="L503" s="14"/>
      <c r="M503" s="14"/>
      <c r="N503" s="39"/>
      <c r="O503" s="39"/>
      <c r="P503" s="39"/>
      <c r="Q503" s="39"/>
      <c r="R503" s="39"/>
      <c r="S503" s="39"/>
      <c r="T503" s="39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  <c r="AJ503" s="14"/>
      <c r="AK503" s="14"/>
      <c r="AL503" s="14"/>
      <c r="AM503" s="14"/>
      <c r="AN503" s="14"/>
      <c r="AO503" s="14"/>
      <c r="AP503" s="14"/>
    </row>
    <row r="504" spans="1:42" ht="13">
      <c r="A504" s="38"/>
      <c r="B504" s="14"/>
      <c r="C504" s="38"/>
      <c r="D504" s="38"/>
      <c r="E504" s="38"/>
      <c r="F504" s="38"/>
      <c r="G504" s="38"/>
      <c r="H504" s="14"/>
      <c r="I504" s="38"/>
      <c r="J504" s="38"/>
      <c r="K504" s="14"/>
      <c r="L504" s="14"/>
      <c r="M504" s="14"/>
      <c r="N504" s="39"/>
      <c r="O504" s="39"/>
      <c r="P504" s="39"/>
      <c r="Q504" s="39"/>
      <c r="R504" s="39"/>
      <c r="S504" s="39"/>
      <c r="T504" s="39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  <c r="AI504" s="14"/>
      <c r="AJ504" s="14"/>
      <c r="AK504" s="14"/>
      <c r="AL504" s="14"/>
      <c r="AM504" s="14"/>
      <c r="AN504" s="14"/>
      <c r="AO504" s="14"/>
      <c r="AP504" s="14"/>
    </row>
    <row r="505" spans="1:42" ht="13">
      <c r="A505" s="38"/>
      <c r="B505" s="14"/>
      <c r="C505" s="38"/>
      <c r="D505" s="38"/>
      <c r="E505" s="38"/>
      <c r="F505" s="38"/>
      <c r="G505" s="38"/>
      <c r="H505" s="14"/>
      <c r="I505" s="38"/>
      <c r="J505" s="38"/>
      <c r="K505" s="14"/>
      <c r="L505" s="14"/>
      <c r="M505" s="14"/>
      <c r="N505" s="39"/>
      <c r="O505" s="39"/>
      <c r="P505" s="39"/>
      <c r="Q505" s="39"/>
      <c r="R505" s="39"/>
      <c r="S505" s="39"/>
      <c r="T505" s="39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  <c r="AJ505" s="14"/>
      <c r="AK505" s="14"/>
      <c r="AL505" s="14"/>
      <c r="AM505" s="14"/>
      <c r="AN505" s="14"/>
      <c r="AO505" s="14"/>
      <c r="AP505" s="14"/>
    </row>
    <row r="506" spans="1:42" ht="13">
      <c r="A506" s="38"/>
      <c r="B506" s="14"/>
      <c r="C506" s="38"/>
      <c r="D506" s="38"/>
      <c r="E506" s="38"/>
      <c r="F506" s="38"/>
      <c r="G506" s="38"/>
      <c r="H506" s="14"/>
      <c r="I506" s="38"/>
      <c r="J506" s="38"/>
      <c r="K506" s="14"/>
      <c r="L506" s="14"/>
      <c r="M506" s="14"/>
      <c r="N506" s="39"/>
      <c r="O506" s="39"/>
      <c r="P506" s="39"/>
      <c r="Q506" s="39"/>
      <c r="R506" s="39"/>
      <c r="S506" s="39"/>
      <c r="T506" s="39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  <c r="AJ506" s="14"/>
      <c r="AK506" s="14"/>
      <c r="AL506" s="14"/>
      <c r="AM506" s="14"/>
      <c r="AN506" s="14"/>
      <c r="AO506" s="14"/>
      <c r="AP506" s="14"/>
    </row>
    <row r="507" spans="1:42" ht="13">
      <c r="A507" s="38"/>
      <c r="B507" s="14"/>
      <c r="C507" s="38"/>
      <c r="D507" s="38"/>
      <c r="E507" s="38"/>
      <c r="F507" s="38"/>
      <c r="G507" s="38"/>
      <c r="H507" s="14"/>
      <c r="I507" s="38"/>
      <c r="J507" s="38"/>
      <c r="K507" s="14"/>
      <c r="L507" s="14"/>
      <c r="M507" s="14"/>
      <c r="N507" s="39"/>
      <c r="O507" s="39"/>
      <c r="P507" s="39"/>
      <c r="Q507" s="39"/>
      <c r="R507" s="39"/>
      <c r="S507" s="39"/>
      <c r="T507" s="39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  <c r="AJ507" s="14"/>
      <c r="AK507" s="14"/>
      <c r="AL507" s="14"/>
      <c r="AM507" s="14"/>
      <c r="AN507" s="14"/>
      <c r="AO507" s="14"/>
      <c r="AP507" s="14"/>
    </row>
    <row r="508" spans="1:42" ht="13">
      <c r="A508" s="38"/>
      <c r="B508" s="14"/>
      <c r="C508" s="38"/>
      <c r="D508" s="38"/>
      <c r="E508" s="38"/>
      <c r="F508" s="38"/>
      <c r="G508" s="38"/>
      <c r="H508" s="14"/>
      <c r="I508" s="38"/>
      <c r="J508" s="38"/>
      <c r="K508" s="14"/>
      <c r="L508" s="14"/>
      <c r="M508" s="14"/>
      <c r="N508" s="39"/>
      <c r="O508" s="39"/>
      <c r="P508" s="39"/>
      <c r="Q508" s="39"/>
      <c r="R508" s="39"/>
      <c r="S508" s="39"/>
      <c r="T508" s="39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  <c r="AI508" s="14"/>
      <c r="AJ508" s="14"/>
      <c r="AK508" s="14"/>
      <c r="AL508" s="14"/>
      <c r="AM508" s="14"/>
      <c r="AN508" s="14"/>
      <c r="AO508" s="14"/>
      <c r="AP508" s="14"/>
    </row>
    <row r="509" spans="1:42" ht="13">
      <c r="A509" s="38"/>
      <c r="B509" s="14"/>
      <c r="C509" s="38"/>
      <c r="D509" s="38"/>
      <c r="E509" s="38"/>
      <c r="F509" s="38"/>
      <c r="G509" s="38"/>
      <c r="H509" s="14"/>
      <c r="I509" s="38"/>
      <c r="J509" s="38"/>
      <c r="K509" s="14"/>
      <c r="L509" s="14"/>
      <c r="M509" s="14"/>
      <c r="N509" s="39"/>
      <c r="O509" s="39"/>
      <c r="P509" s="39"/>
      <c r="Q509" s="39"/>
      <c r="R509" s="39"/>
      <c r="S509" s="39"/>
      <c r="T509" s="39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  <c r="AJ509" s="14"/>
      <c r="AK509" s="14"/>
      <c r="AL509" s="14"/>
      <c r="AM509" s="14"/>
      <c r="AN509" s="14"/>
      <c r="AO509" s="14"/>
      <c r="AP509" s="14"/>
    </row>
    <row r="510" spans="1:42" ht="13">
      <c r="A510" s="38"/>
      <c r="B510" s="14"/>
      <c r="C510" s="38"/>
      <c r="D510" s="38"/>
      <c r="E510" s="38"/>
      <c r="F510" s="38"/>
      <c r="G510" s="38"/>
      <c r="H510" s="14"/>
      <c r="I510" s="38"/>
      <c r="J510" s="38"/>
      <c r="K510" s="14"/>
      <c r="L510" s="14"/>
      <c r="M510" s="14"/>
      <c r="N510" s="39"/>
      <c r="O510" s="39"/>
      <c r="P510" s="39"/>
      <c r="Q510" s="39"/>
      <c r="R510" s="39"/>
      <c r="S510" s="39"/>
      <c r="T510" s="39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  <c r="AI510" s="14"/>
      <c r="AJ510" s="14"/>
      <c r="AK510" s="14"/>
      <c r="AL510" s="14"/>
      <c r="AM510" s="14"/>
      <c r="AN510" s="14"/>
      <c r="AO510" s="14"/>
      <c r="AP510" s="14"/>
    </row>
    <row r="511" spans="1:42" ht="13">
      <c r="A511" s="38"/>
      <c r="B511" s="14"/>
      <c r="C511" s="38"/>
      <c r="D511" s="38"/>
      <c r="E511" s="38"/>
      <c r="F511" s="38"/>
      <c r="G511" s="38"/>
      <c r="H511" s="14"/>
      <c r="I511" s="38"/>
      <c r="J511" s="38"/>
      <c r="K511" s="14"/>
      <c r="L511" s="14"/>
      <c r="M511" s="14"/>
      <c r="N511" s="39"/>
      <c r="O511" s="39"/>
      <c r="P511" s="39"/>
      <c r="Q511" s="39"/>
      <c r="R511" s="39"/>
      <c r="S511" s="39"/>
      <c r="T511" s="39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  <c r="AL511" s="14"/>
      <c r="AM511" s="14"/>
      <c r="AN511" s="14"/>
      <c r="AO511" s="14"/>
      <c r="AP511" s="14"/>
    </row>
    <row r="512" spans="1:42" ht="13">
      <c r="A512" s="38"/>
      <c r="B512" s="14"/>
      <c r="C512" s="38"/>
      <c r="D512" s="38"/>
      <c r="E512" s="38"/>
      <c r="F512" s="38"/>
      <c r="G512" s="38"/>
      <c r="H512" s="14"/>
      <c r="I512" s="38"/>
      <c r="J512" s="38"/>
      <c r="K512" s="14"/>
      <c r="L512" s="14"/>
      <c r="M512" s="14"/>
      <c r="N512" s="39"/>
      <c r="O512" s="39"/>
      <c r="P512" s="39"/>
      <c r="Q512" s="39"/>
      <c r="R512" s="39"/>
      <c r="S512" s="39"/>
      <c r="T512" s="39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  <c r="AI512" s="14"/>
      <c r="AJ512" s="14"/>
      <c r="AK512" s="14"/>
      <c r="AL512" s="14"/>
      <c r="AM512" s="14"/>
      <c r="AN512" s="14"/>
      <c r="AO512" s="14"/>
      <c r="AP512" s="14"/>
    </row>
    <row r="513" spans="1:42" ht="13">
      <c r="A513" s="38"/>
      <c r="B513" s="14"/>
      <c r="C513" s="38"/>
      <c r="D513" s="38"/>
      <c r="E513" s="38"/>
      <c r="F513" s="38"/>
      <c r="G513" s="38"/>
      <c r="H513" s="14"/>
      <c r="I513" s="38"/>
      <c r="J513" s="38"/>
      <c r="K513" s="14"/>
      <c r="L513" s="14"/>
      <c r="M513" s="14"/>
      <c r="N513" s="39"/>
      <c r="O513" s="39"/>
      <c r="P513" s="39"/>
      <c r="Q513" s="39"/>
      <c r="R513" s="39"/>
      <c r="S513" s="39"/>
      <c r="T513" s="39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  <c r="AK513" s="14"/>
      <c r="AL513" s="14"/>
      <c r="AM513" s="14"/>
      <c r="AN513" s="14"/>
      <c r="AO513" s="14"/>
      <c r="AP513" s="14"/>
    </row>
    <row r="514" spans="1:42" ht="13">
      <c r="A514" s="38"/>
      <c r="B514" s="14"/>
      <c r="C514" s="38"/>
      <c r="D514" s="38"/>
      <c r="E514" s="38"/>
      <c r="F514" s="38"/>
      <c r="G514" s="38"/>
      <c r="H514" s="14"/>
      <c r="I514" s="38"/>
      <c r="J514" s="38"/>
      <c r="K514" s="14"/>
      <c r="L514" s="14"/>
      <c r="M514" s="14"/>
      <c r="N514" s="39"/>
      <c r="O514" s="39"/>
      <c r="P514" s="39"/>
      <c r="Q514" s="39"/>
      <c r="R514" s="39"/>
      <c r="S514" s="39"/>
      <c r="T514" s="39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  <c r="AI514" s="14"/>
      <c r="AJ514" s="14"/>
      <c r="AK514" s="14"/>
      <c r="AL514" s="14"/>
      <c r="AM514" s="14"/>
      <c r="AN514" s="14"/>
      <c r="AO514" s="14"/>
      <c r="AP514" s="14"/>
    </row>
    <row r="515" spans="1:42" ht="13">
      <c r="A515" s="38"/>
      <c r="B515" s="14"/>
      <c r="C515" s="38"/>
      <c r="D515" s="38"/>
      <c r="E515" s="38"/>
      <c r="F515" s="38"/>
      <c r="G515" s="38"/>
      <c r="H515" s="14"/>
      <c r="I515" s="38"/>
      <c r="J515" s="38"/>
      <c r="K515" s="14"/>
      <c r="L515" s="14"/>
      <c r="M515" s="14"/>
      <c r="N515" s="39"/>
      <c r="O515" s="39"/>
      <c r="P515" s="39"/>
      <c r="Q515" s="39"/>
      <c r="R515" s="39"/>
      <c r="S515" s="39"/>
      <c r="T515" s="39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  <c r="AK515" s="14"/>
      <c r="AL515" s="14"/>
      <c r="AM515" s="14"/>
      <c r="AN515" s="14"/>
      <c r="AO515" s="14"/>
      <c r="AP515" s="14"/>
    </row>
    <row r="516" spans="1:42" ht="13">
      <c r="A516" s="38"/>
      <c r="B516" s="14"/>
      <c r="C516" s="38"/>
      <c r="D516" s="38"/>
      <c r="E516" s="38"/>
      <c r="F516" s="38"/>
      <c r="G516" s="38"/>
      <c r="H516" s="14"/>
      <c r="I516" s="38"/>
      <c r="J516" s="38"/>
      <c r="K516" s="14"/>
      <c r="L516" s="14"/>
      <c r="M516" s="14"/>
      <c r="N516" s="39"/>
      <c r="O516" s="39"/>
      <c r="P516" s="39"/>
      <c r="Q516" s="39"/>
      <c r="R516" s="39"/>
      <c r="S516" s="39"/>
      <c r="T516" s="39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  <c r="AI516" s="14"/>
      <c r="AJ516" s="14"/>
      <c r="AK516" s="14"/>
      <c r="AL516" s="14"/>
      <c r="AM516" s="14"/>
      <c r="AN516" s="14"/>
      <c r="AO516" s="14"/>
      <c r="AP516" s="14"/>
    </row>
    <row r="517" spans="1:42" ht="13">
      <c r="A517" s="38"/>
      <c r="B517" s="14"/>
      <c r="C517" s="38"/>
      <c r="D517" s="38"/>
      <c r="E517" s="38"/>
      <c r="F517" s="38"/>
      <c r="G517" s="38"/>
      <c r="H517" s="14"/>
      <c r="I517" s="38"/>
      <c r="J517" s="38"/>
      <c r="K517" s="14"/>
      <c r="L517" s="14"/>
      <c r="M517" s="14"/>
      <c r="N517" s="39"/>
      <c r="O517" s="39"/>
      <c r="P517" s="39"/>
      <c r="Q517" s="39"/>
      <c r="R517" s="39"/>
      <c r="S517" s="39"/>
      <c r="T517" s="39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  <c r="AJ517" s="14"/>
      <c r="AK517" s="14"/>
      <c r="AL517" s="14"/>
      <c r="AM517" s="14"/>
      <c r="AN517" s="14"/>
      <c r="AO517" s="14"/>
      <c r="AP517" s="14"/>
    </row>
    <row r="518" spans="1:42" ht="13">
      <c r="A518" s="38"/>
      <c r="B518" s="14"/>
      <c r="C518" s="38"/>
      <c r="D518" s="38"/>
      <c r="E518" s="38"/>
      <c r="F518" s="38"/>
      <c r="G518" s="38"/>
      <c r="H518" s="14"/>
      <c r="I518" s="38"/>
      <c r="J518" s="38"/>
      <c r="K518" s="14"/>
      <c r="L518" s="14"/>
      <c r="M518" s="14"/>
      <c r="N518" s="39"/>
      <c r="O518" s="39"/>
      <c r="P518" s="39"/>
      <c r="Q518" s="39"/>
      <c r="R518" s="39"/>
      <c r="S518" s="39"/>
      <c r="T518" s="39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  <c r="AK518" s="14"/>
      <c r="AL518" s="14"/>
      <c r="AM518" s="14"/>
      <c r="AN518" s="14"/>
      <c r="AO518" s="14"/>
      <c r="AP518" s="14"/>
    </row>
    <row r="519" spans="1:42" ht="13">
      <c r="A519" s="38"/>
      <c r="B519" s="14"/>
      <c r="C519" s="38"/>
      <c r="D519" s="38"/>
      <c r="E519" s="38"/>
      <c r="F519" s="38"/>
      <c r="G519" s="38"/>
      <c r="H519" s="14"/>
      <c r="I519" s="38"/>
      <c r="J519" s="38"/>
      <c r="K519" s="14"/>
      <c r="L519" s="14"/>
      <c r="M519" s="14"/>
      <c r="N519" s="39"/>
      <c r="O519" s="39"/>
      <c r="P519" s="39"/>
      <c r="Q519" s="39"/>
      <c r="R519" s="39"/>
      <c r="S519" s="39"/>
      <c r="T519" s="39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  <c r="AJ519" s="14"/>
      <c r="AK519" s="14"/>
      <c r="AL519" s="14"/>
      <c r="AM519" s="14"/>
      <c r="AN519" s="14"/>
      <c r="AO519" s="14"/>
      <c r="AP519" s="14"/>
    </row>
    <row r="520" spans="1:42" ht="13">
      <c r="A520" s="38"/>
      <c r="B520" s="14"/>
      <c r="C520" s="38"/>
      <c r="D520" s="38"/>
      <c r="E520" s="38"/>
      <c r="F520" s="38"/>
      <c r="G520" s="38"/>
      <c r="H520" s="14"/>
      <c r="I520" s="38"/>
      <c r="J520" s="38"/>
      <c r="K520" s="14"/>
      <c r="L520" s="14"/>
      <c r="M520" s="14"/>
      <c r="N520" s="39"/>
      <c r="O520" s="39"/>
      <c r="P520" s="39"/>
      <c r="Q520" s="39"/>
      <c r="R520" s="39"/>
      <c r="S520" s="39"/>
      <c r="T520" s="39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  <c r="AI520" s="14"/>
      <c r="AJ520" s="14"/>
      <c r="AK520" s="14"/>
      <c r="AL520" s="14"/>
      <c r="AM520" s="14"/>
      <c r="AN520" s="14"/>
      <c r="AO520" s="14"/>
      <c r="AP520" s="14"/>
    </row>
    <row r="521" spans="1:42" ht="13">
      <c r="A521" s="38"/>
      <c r="B521" s="14"/>
      <c r="C521" s="38"/>
      <c r="D521" s="38"/>
      <c r="E521" s="38"/>
      <c r="F521" s="38"/>
      <c r="G521" s="38"/>
      <c r="H521" s="14"/>
      <c r="I521" s="38"/>
      <c r="J521" s="38"/>
      <c r="K521" s="14"/>
      <c r="L521" s="14"/>
      <c r="M521" s="14"/>
      <c r="N521" s="39"/>
      <c r="O521" s="39"/>
      <c r="P521" s="39"/>
      <c r="Q521" s="39"/>
      <c r="R521" s="39"/>
      <c r="S521" s="39"/>
      <c r="T521" s="39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  <c r="AL521" s="14"/>
      <c r="AM521" s="14"/>
      <c r="AN521" s="14"/>
      <c r="AO521" s="14"/>
      <c r="AP521" s="14"/>
    </row>
    <row r="522" spans="1:42" ht="13">
      <c r="A522" s="38"/>
      <c r="B522" s="14"/>
      <c r="C522" s="38"/>
      <c r="D522" s="38"/>
      <c r="E522" s="38"/>
      <c r="F522" s="38"/>
      <c r="G522" s="38"/>
      <c r="H522" s="14"/>
      <c r="I522" s="38"/>
      <c r="J522" s="38"/>
      <c r="K522" s="14"/>
      <c r="L522" s="14"/>
      <c r="M522" s="14"/>
      <c r="N522" s="39"/>
      <c r="O522" s="39"/>
      <c r="P522" s="39"/>
      <c r="Q522" s="39"/>
      <c r="R522" s="39"/>
      <c r="S522" s="39"/>
      <c r="T522" s="39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/>
      <c r="AJ522" s="14"/>
      <c r="AK522" s="14"/>
      <c r="AL522" s="14"/>
      <c r="AM522" s="14"/>
      <c r="AN522" s="14"/>
      <c r="AO522" s="14"/>
      <c r="AP522" s="14"/>
    </row>
    <row r="523" spans="1:42" ht="13">
      <c r="A523" s="38"/>
      <c r="B523" s="14"/>
      <c r="C523" s="38"/>
      <c r="D523" s="38"/>
      <c r="E523" s="38"/>
      <c r="F523" s="38"/>
      <c r="G523" s="38"/>
      <c r="H523" s="14"/>
      <c r="I523" s="38"/>
      <c r="J523" s="38"/>
      <c r="K523" s="14"/>
      <c r="L523" s="14"/>
      <c r="M523" s="14"/>
      <c r="N523" s="39"/>
      <c r="O523" s="39"/>
      <c r="P523" s="39"/>
      <c r="Q523" s="39"/>
      <c r="R523" s="39"/>
      <c r="S523" s="39"/>
      <c r="T523" s="39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  <c r="AJ523" s="14"/>
      <c r="AK523" s="14"/>
      <c r="AL523" s="14"/>
      <c r="AM523" s="14"/>
      <c r="AN523" s="14"/>
      <c r="AO523" s="14"/>
      <c r="AP523" s="14"/>
    </row>
    <row r="524" spans="1:42" ht="13">
      <c r="A524" s="38"/>
      <c r="B524" s="14"/>
      <c r="C524" s="38"/>
      <c r="D524" s="38"/>
      <c r="E524" s="38"/>
      <c r="F524" s="38"/>
      <c r="G524" s="38"/>
      <c r="H524" s="14"/>
      <c r="I524" s="38"/>
      <c r="J524" s="38"/>
      <c r="K524" s="14"/>
      <c r="L524" s="14"/>
      <c r="M524" s="14"/>
      <c r="N524" s="39"/>
      <c r="O524" s="39"/>
      <c r="P524" s="39"/>
      <c r="Q524" s="39"/>
      <c r="R524" s="39"/>
      <c r="S524" s="39"/>
      <c r="T524" s="39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  <c r="AI524" s="14"/>
      <c r="AJ524" s="14"/>
      <c r="AK524" s="14"/>
      <c r="AL524" s="14"/>
      <c r="AM524" s="14"/>
      <c r="AN524" s="14"/>
      <c r="AO524" s="14"/>
      <c r="AP524" s="14"/>
    </row>
    <row r="525" spans="1:42" ht="13">
      <c r="A525" s="38"/>
      <c r="B525" s="14"/>
      <c r="C525" s="38"/>
      <c r="D525" s="38"/>
      <c r="E525" s="38"/>
      <c r="F525" s="38"/>
      <c r="G525" s="38"/>
      <c r="H525" s="14"/>
      <c r="I525" s="38"/>
      <c r="J525" s="38"/>
      <c r="K525" s="14"/>
      <c r="L525" s="14"/>
      <c r="M525" s="14"/>
      <c r="N525" s="39"/>
      <c r="O525" s="39"/>
      <c r="P525" s="39"/>
      <c r="Q525" s="39"/>
      <c r="R525" s="39"/>
      <c r="S525" s="39"/>
      <c r="T525" s="39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  <c r="AJ525" s="14"/>
      <c r="AK525" s="14"/>
      <c r="AL525" s="14"/>
      <c r="AM525" s="14"/>
      <c r="AN525" s="14"/>
      <c r="AO525" s="14"/>
      <c r="AP525" s="14"/>
    </row>
    <row r="526" spans="1:42" ht="13">
      <c r="A526" s="38"/>
      <c r="B526" s="14"/>
      <c r="C526" s="38"/>
      <c r="D526" s="38"/>
      <c r="E526" s="38"/>
      <c r="F526" s="38"/>
      <c r="G526" s="38"/>
      <c r="H526" s="14"/>
      <c r="I526" s="38"/>
      <c r="J526" s="38"/>
      <c r="K526" s="14"/>
      <c r="L526" s="14"/>
      <c r="M526" s="14"/>
      <c r="N526" s="39"/>
      <c r="O526" s="39"/>
      <c r="P526" s="39"/>
      <c r="Q526" s="39"/>
      <c r="R526" s="39"/>
      <c r="S526" s="39"/>
      <c r="T526" s="39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  <c r="AJ526" s="14"/>
      <c r="AK526" s="14"/>
      <c r="AL526" s="14"/>
      <c r="AM526" s="14"/>
      <c r="AN526" s="14"/>
      <c r="AO526" s="14"/>
      <c r="AP526" s="14"/>
    </row>
    <row r="527" spans="1:42" ht="13">
      <c r="A527" s="38"/>
      <c r="B527" s="14"/>
      <c r="C527" s="38"/>
      <c r="D527" s="38"/>
      <c r="E527" s="38"/>
      <c r="F527" s="38"/>
      <c r="G527" s="38"/>
      <c r="H527" s="14"/>
      <c r="I527" s="38"/>
      <c r="J527" s="38"/>
      <c r="K527" s="14"/>
      <c r="L527" s="14"/>
      <c r="M527" s="14"/>
      <c r="N527" s="39"/>
      <c r="O527" s="39"/>
      <c r="P527" s="39"/>
      <c r="Q527" s="39"/>
      <c r="R527" s="39"/>
      <c r="S527" s="39"/>
      <c r="T527" s="39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  <c r="AJ527" s="14"/>
      <c r="AK527" s="14"/>
      <c r="AL527" s="14"/>
      <c r="AM527" s="14"/>
      <c r="AN527" s="14"/>
      <c r="AO527" s="14"/>
      <c r="AP527" s="14"/>
    </row>
    <row r="528" spans="1:42" ht="13">
      <c r="A528" s="38"/>
      <c r="B528" s="14"/>
      <c r="C528" s="38"/>
      <c r="D528" s="38"/>
      <c r="E528" s="38"/>
      <c r="F528" s="38"/>
      <c r="G528" s="38"/>
      <c r="H528" s="14"/>
      <c r="I528" s="38"/>
      <c r="J528" s="38"/>
      <c r="K528" s="14"/>
      <c r="L528" s="14"/>
      <c r="M528" s="14"/>
      <c r="N528" s="39"/>
      <c r="O528" s="39"/>
      <c r="P528" s="39"/>
      <c r="Q528" s="39"/>
      <c r="R528" s="39"/>
      <c r="S528" s="39"/>
      <c r="T528" s="39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  <c r="AI528" s="14"/>
      <c r="AJ528" s="14"/>
      <c r="AK528" s="14"/>
      <c r="AL528" s="14"/>
      <c r="AM528" s="14"/>
      <c r="AN528" s="14"/>
      <c r="AO528" s="14"/>
      <c r="AP528" s="14"/>
    </row>
    <row r="529" spans="1:42" ht="13">
      <c r="A529" s="38"/>
      <c r="B529" s="14"/>
      <c r="C529" s="38"/>
      <c r="D529" s="38"/>
      <c r="E529" s="38"/>
      <c r="F529" s="38"/>
      <c r="G529" s="38"/>
      <c r="H529" s="14"/>
      <c r="I529" s="38"/>
      <c r="J529" s="38"/>
      <c r="K529" s="14"/>
      <c r="L529" s="14"/>
      <c r="M529" s="14"/>
      <c r="N529" s="39"/>
      <c r="O529" s="39"/>
      <c r="P529" s="39"/>
      <c r="Q529" s="39"/>
      <c r="R529" s="39"/>
      <c r="S529" s="39"/>
      <c r="T529" s="39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  <c r="AJ529" s="14"/>
      <c r="AK529" s="14"/>
      <c r="AL529" s="14"/>
      <c r="AM529" s="14"/>
      <c r="AN529" s="14"/>
      <c r="AO529" s="14"/>
      <c r="AP529" s="14"/>
    </row>
    <row r="530" spans="1:42" ht="13">
      <c r="A530" s="38"/>
      <c r="B530" s="14"/>
      <c r="C530" s="38"/>
      <c r="D530" s="38"/>
      <c r="E530" s="38"/>
      <c r="F530" s="38"/>
      <c r="G530" s="38"/>
      <c r="H530" s="14"/>
      <c r="I530" s="38"/>
      <c r="J530" s="38"/>
      <c r="K530" s="14"/>
      <c r="L530" s="14"/>
      <c r="M530" s="14"/>
      <c r="N530" s="39"/>
      <c r="O530" s="39"/>
      <c r="P530" s="39"/>
      <c r="Q530" s="39"/>
      <c r="R530" s="39"/>
      <c r="S530" s="39"/>
      <c r="T530" s="39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  <c r="AJ530" s="14"/>
      <c r="AK530" s="14"/>
      <c r="AL530" s="14"/>
      <c r="AM530" s="14"/>
      <c r="AN530" s="14"/>
      <c r="AO530" s="14"/>
      <c r="AP530" s="14"/>
    </row>
    <row r="531" spans="1:42" ht="13">
      <c r="A531" s="38"/>
      <c r="B531" s="14"/>
      <c r="C531" s="38"/>
      <c r="D531" s="38"/>
      <c r="E531" s="38"/>
      <c r="F531" s="38"/>
      <c r="G531" s="38"/>
      <c r="H531" s="14"/>
      <c r="I531" s="38"/>
      <c r="J531" s="38"/>
      <c r="K531" s="14"/>
      <c r="L531" s="14"/>
      <c r="M531" s="14"/>
      <c r="N531" s="39"/>
      <c r="O531" s="39"/>
      <c r="P531" s="39"/>
      <c r="Q531" s="39"/>
      <c r="R531" s="39"/>
      <c r="S531" s="39"/>
      <c r="T531" s="39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  <c r="AK531" s="14"/>
      <c r="AL531" s="14"/>
      <c r="AM531" s="14"/>
      <c r="AN531" s="14"/>
      <c r="AO531" s="14"/>
      <c r="AP531" s="14"/>
    </row>
    <row r="532" spans="1:42" ht="13">
      <c r="A532" s="38"/>
      <c r="B532" s="14"/>
      <c r="C532" s="38"/>
      <c r="D532" s="38"/>
      <c r="E532" s="38"/>
      <c r="F532" s="38"/>
      <c r="G532" s="38"/>
      <c r="H532" s="14"/>
      <c r="I532" s="38"/>
      <c r="J532" s="38"/>
      <c r="K532" s="14"/>
      <c r="L532" s="14"/>
      <c r="M532" s="14"/>
      <c r="N532" s="39"/>
      <c r="O532" s="39"/>
      <c r="P532" s="39"/>
      <c r="Q532" s="39"/>
      <c r="R532" s="39"/>
      <c r="S532" s="39"/>
      <c r="T532" s="39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  <c r="AJ532" s="14"/>
      <c r="AK532" s="14"/>
      <c r="AL532" s="14"/>
      <c r="AM532" s="14"/>
      <c r="AN532" s="14"/>
      <c r="AO532" s="14"/>
      <c r="AP532" s="14"/>
    </row>
    <row r="533" spans="1:42" ht="13">
      <c r="A533" s="38"/>
      <c r="B533" s="14"/>
      <c r="C533" s="38"/>
      <c r="D533" s="38"/>
      <c r="E533" s="38"/>
      <c r="F533" s="38"/>
      <c r="G533" s="38"/>
      <c r="H533" s="14"/>
      <c r="I533" s="38"/>
      <c r="J533" s="38"/>
      <c r="K533" s="14"/>
      <c r="L533" s="14"/>
      <c r="M533" s="14"/>
      <c r="N533" s="39"/>
      <c r="O533" s="39"/>
      <c r="P533" s="39"/>
      <c r="Q533" s="39"/>
      <c r="R533" s="39"/>
      <c r="S533" s="39"/>
      <c r="T533" s="39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  <c r="AL533" s="14"/>
      <c r="AM533" s="14"/>
      <c r="AN533" s="14"/>
      <c r="AO533" s="14"/>
      <c r="AP533" s="14"/>
    </row>
    <row r="534" spans="1:42" ht="13">
      <c r="A534" s="38"/>
      <c r="B534" s="14"/>
      <c r="C534" s="38"/>
      <c r="D534" s="38"/>
      <c r="E534" s="38"/>
      <c r="F534" s="38"/>
      <c r="G534" s="38"/>
      <c r="H534" s="14"/>
      <c r="I534" s="38"/>
      <c r="J534" s="38"/>
      <c r="K534" s="14"/>
      <c r="L534" s="14"/>
      <c r="M534" s="14"/>
      <c r="N534" s="39"/>
      <c r="O534" s="39"/>
      <c r="P534" s="39"/>
      <c r="Q534" s="39"/>
      <c r="R534" s="39"/>
      <c r="S534" s="39"/>
      <c r="T534" s="39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  <c r="AJ534" s="14"/>
      <c r="AK534" s="14"/>
      <c r="AL534" s="14"/>
      <c r="AM534" s="14"/>
      <c r="AN534" s="14"/>
      <c r="AO534" s="14"/>
      <c r="AP534" s="14"/>
    </row>
    <row r="535" spans="1:42" ht="13">
      <c r="A535" s="38"/>
      <c r="B535" s="14"/>
      <c r="C535" s="38"/>
      <c r="D535" s="38"/>
      <c r="E535" s="38"/>
      <c r="F535" s="38"/>
      <c r="G535" s="38"/>
      <c r="H535" s="14"/>
      <c r="I535" s="38"/>
      <c r="J535" s="38"/>
      <c r="K535" s="14"/>
      <c r="L535" s="14"/>
      <c r="M535" s="14"/>
      <c r="N535" s="39"/>
      <c r="O535" s="39"/>
      <c r="P535" s="39"/>
      <c r="Q535" s="39"/>
      <c r="R535" s="39"/>
      <c r="S535" s="39"/>
      <c r="T535" s="39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  <c r="AL535" s="14"/>
      <c r="AM535" s="14"/>
      <c r="AN535" s="14"/>
      <c r="AO535" s="14"/>
      <c r="AP535" s="14"/>
    </row>
    <row r="536" spans="1:42" ht="13">
      <c r="A536" s="38"/>
      <c r="B536" s="14"/>
      <c r="C536" s="38"/>
      <c r="D536" s="38"/>
      <c r="E536" s="38"/>
      <c r="F536" s="38"/>
      <c r="G536" s="38"/>
      <c r="H536" s="14"/>
      <c r="I536" s="38"/>
      <c r="J536" s="38"/>
      <c r="K536" s="14"/>
      <c r="L536" s="14"/>
      <c r="M536" s="14"/>
      <c r="N536" s="39"/>
      <c r="O536" s="39"/>
      <c r="P536" s="39"/>
      <c r="Q536" s="39"/>
      <c r="R536" s="39"/>
      <c r="S536" s="39"/>
      <c r="T536" s="39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  <c r="AJ536" s="14"/>
      <c r="AK536" s="14"/>
      <c r="AL536" s="14"/>
      <c r="AM536" s="14"/>
      <c r="AN536" s="14"/>
      <c r="AO536" s="14"/>
      <c r="AP536" s="14"/>
    </row>
    <row r="537" spans="1:42" ht="13">
      <c r="A537" s="38"/>
      <c r="B537" s="14"/>
      <c r="C537" s="38"/>
      <c r="D537" s="38"/>
      <c r="E537" s="38"/>
      <c r="F537" s="38"/>
      <c r="G537" s="38"/>
      <c r="H537" s="14"/>
      <c r="I537" s="38"/>
      <c r="J537" s="38"/>
      <c r="K537" s="14"/>
      <c r="L537" s="14"/>
      <c r="M537" s="14"/>
      <c r="N537" s="39"/>
      <c r="O537" s="39"/>
      <c r="P537" s="39"/>
      <c r="Q537" s="39"/>
      <c r="R537" s="39"/>
      <c r="S537" s="39"/>
      <c r="T537" s="39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  <c r="AK537" s="14"/>
      <c r="AL537" s="14"/>
      <c r="AM537" s="14"/>
      <c r="AN537" s="14"/>
      <c r="AO537" s="14"/>
      <c r="AP537" s="14"/>
    </row>
    <row r="538" spans="1:42" ht="13">
      <c r="A538" s="38"/>
      <c r="B538" s="14"/>
      <c r="C538" s="38"/>
      <c r="D538" s="38"/>
      <c r="E538" s="38"/>
      <c r="F538" s="38"/>
      <c r="G538" s="38"/>
      <c r="H538" s="14"/>
      <c r="I538" s="38"/>
      <c r="J538" s="38"/>
      <c r="K538" s="14"/>
      <c r="L538" s="14"/>
      <c r="M538" s="14"/>
      <c r="N538" s="39"/>
      <c r="O538" s="39"/>
      <c r="P538" s="39"/>
      <c r="Q538" s="39"/>
      <c r="R538" s="39"/>
      <c r="S538" s="39"/>
      <c r="T538" s="39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  <c r="AJ538" s="14"/>
      <c r="AK538" s="14"/>
      <c r="AL538" s="14"/>
      <c r="AM538" s="14"/>
      <c r="AN538" s="14"/>
      <c r="AO538" s="14"/>
      <c r="AP538" s="14"/>
    </row>
    <row r="539" spans="1:42" ht="13">
      <c r="A539" s="38"/>
      <c r="B539" s="14"/>
      <c r="C539" s="38"/>
      <c r="D539" s="38"/>
      <c r="E539" s="38"/>
      <c r="F539" s="38"/>
      <c r="G539" s="38"/>
      <c r="H539" s="14"/>
      <c r="I539" s="38"/>
      <c r="J539" s="38"/>
      <c r="K539" s="14"/>
      <c r="L539" s="14"/>
      <c r="M539" s="14"/>
      <c r="N539" s="39"/>
      <c r="O539" s="39"/>
      <c r="P539" s="39"/>
      <c r="Q539" s="39"/>
      <c r="R539" s="39"/>
      <c r="S539" s="39"/>
      <c r="T539" s="39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  <c r="AK539" s="14"/>
      <c r="AL539" s="14"/>
      <c r="AM539" s="14"/>
      <c r="AN539" s="14"/>
      <c r="AO539" s="14"/>
      <c r="AP539" s="14"/>
    </row>
    <row r="540" spans="1:42" ht="13">
      <c r="A540" s="38"/>
      <c r="B540" s="14"/>
      <c r="C540" s="38"/>
      <c r="D540" s="38"/>
      <c r="E540" s="38"/>
      <c r="F540" s="38"/>
      <c r="G540" s="38"/>
      <c r="H540" s="14"/>
      <c r="I540" s="38"/>
      <c r="J540" s="38"/>
      <c r="K540" s="14"/>
      <c r="L540" s="14"/>
      <c r="M540" s="14"/>
      <c r="N540" s="39"/>
      <c r="O540" s="39"/>
      <c r="P540" s="39"/>
      <c r="Q540" s="39"/>
      <c r="R540" s="39"/>
      <c r="S540" s="39"/>
      <c r="T540" s="39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  <c r="AJ540" s="14"/>
      <c r="AK540" s="14"/>
      <c r="AL540" s="14"/>
      <c r="AM540" s="14"/>
      <c r="AN540" s="14"/>
      <c r="AO540" s="14"/>
      <c r="AP540" s="14"/>
    </row>
    <row r="541" spans="1:42" ht="13">
      <c r="A541" s="38"/>
      <c r="B541" s="14"/>
      <c r="C541" s="38"/>
      <c r="D541" s="38"/>
      <c r="E541" s="38"/>
      <c r="F541" s="38"/>
      <c r="G541" s="38"/>
      <c r="H541" s="14"/>
      <c r="I541" s="38"/>
      <c r="J541" s="38"/>
      <c r="K541" s="14"/>
      <c r="L541" s="14"/>
      <c r="M541" s="14"/>
      <c r="N541" s="39"/>
      <c r="O541" s="39"/>
      <c r="P541" s="39"/>
      <c r="Q541" s="39"/>
      <c r="R541" s="39"/>
      <c r="S541" s="39"/>
      <c r="T541" s="39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  <c r="AJ541" s="14"/>
      <c r="AK541" s="14"/>
      <c r="AL541" s="14"/>
      <c r="AM541" s="14"/>
      <c r="AN541" s="14"/>
      <c r="AO541" s="14"/>
      <c r="AP541" s="14"/>
    </row>
    <row r="542" spans="1:42" ht="13">
      <c r="A542" s="38"/>
      <c r="B542" s="14"/>
      <c r="C542" s="38"/>
      <c r="D542" s="38"/>
      <c r="E542" s="38"/>
      <c r="F542" s="38"/>
      <c r="G542" s="38"/>
      <c r="H542" s="14"/>
      <c r="I542" s="38"/>
      <c r="J542" s="38"/>
      <c r="K542" s="14"/>
      <c r="L542" s="14"/>
      <c r="M542" s="14"/>
      <c r="N542" s="39"/>
      <c r="O542" s="39"/>
      <c r="P542" s="39"/>
      <c r="Q542" s="39"/>
      <c r="R542" s="39"/>
      <c r="S542" s="39"/>
      <c r="T542" s="39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  <c r="AJ542" s="14"/>
      <c r="AK542" s="14"/>
      <c r="AL542" s="14"/>
      <c r="AM542" s="14"/>
      <c r="AN542" s="14"/>
      <c r="AO542" s="14"/>
      <c r="AP542" s="14"/>
    </row>
    <row r="543" spans="1:42" ht="13">
      <c r="A543" s="38"/>
      <c r="B543" s="14"/>
      <c r="C543" s="38"/>
      <c r="D543" s="38"/>
      <c r="E543" s="38"/>
      <c r="F543" s="38"/>
      <c r="G543" s="38"/>
      <c r="H543" s="14"/>
      <c r="I543" s="38"/>
      <c r="J543" s="38"/>
      <c r="K543" s="14"/>
      <c r="L543" s="14"/>
      <c r="M543" s="14"/>
      <c r="N543" s="39"/>
      <c r="O543" s="39"/>
      <c r="P543" s="39"/>
      <c r="Q543" s="39"/>
      <c r="R543" s="39"/>
      <c r="S543" s="39"/>
      <c r="T543" s="39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  <c r="AJ543" s="14"/>
      <c r="AK543" s="14"/>
      <c r="AL543" s="14"/>
      <c r="AM543" s="14"/>
      <c r="AN543" s="14"/>
      <c r="AO543" s="14"/>
      <c r="AP543" s="14"/>
    </row>
    <row r="544" spans="1:42" ht="13">
      <c r="A544" s="38"/>
      <c r="B544" s="14"/>
      <c r="C544" s="38"/>
      <c r="D544" s="38"/>
      <c r="E544" s="38"/>
      <c r="F544" s="38"/>
      <c r="G544" s="38"/>
      <c r="H544" s="14"/>
      <c r="I544" s="38"/>
      <c r="J544" s="38"/>
      <c r="K544" s="14"/>
      <c r="L544" s="14"/>
      <c r="M544" s="14"/>
      <c r="N544" s="39"/>
      <c r="O544" s="39"/>
      <c r="P544" s="39"/>
      <c r="Q544" s="39"/>
      <c r="R544" s="39"/>
      <c r="S544" s="39"/>
      <c r="T544" s="39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/>
      <c r="AJ544" s="14"/>
      <c r="AK544" s="14"/>
      <c r="AL544" s="14"/>
      <c r="AM544" s="14"/>
      <c r="AN544" s="14"/>
      <c r="AO544" s="14"/>
      <c r="AP544" s="14"/>
    </row>
    <row r="545" spans="1:42" ht="13">
      <c r="A545" s="38"/>
      <c r="B545" s="14"/>
      <c r="C545" s="38"/>
      <c r="D545" s="38"/>
      <c r="E545" s="38"/>
      <c r="F545" s="38"/>
      <c r="G545" s="38"/>
      <c r="H545" s="14"/>
      <c r="I545" s="38"/>
      <c r="J545" s="38"/>
      <c r="K545" s="14"/>
      <c r="L545" s="14"/>
      <c r="M545" s="14"/>
      <c r="N545" s="39"/>
      <c r="O545" s="39"/>
      <c r="P545" s="39"/>
      <c r="Q545" s="39"/>
      <c r="R545" s="39"/>
      <c r="S545" s="39"/>
      <c r="T545" s="39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  <c r="AK545" s="14"/>
      <c r="AL545" s="14"/>
      <c r="AM545" s="14"/>
      <c r="AN545" s="14"/>
      <c r="AO545" s="14"/>
      <c r="AP545" s="14"/>
    </row>
    <row r="546" spans="1:42" ht="13">
      <c r="A546" s="38"/>
      <c r="B546" s="14"/>
      <c r="C546" s="38"/>
      <c r="D546" s="38"/>
      <c r="E546" s="38"/>
      <c r="F546" s="38"/>
      <c r="G546" s="38"/>
      <c r="H546" s="14"/>
      <c r="I546" s="38"/>
      <c r="J546" s="38"/>
      <c r="K546" s="14"/>
      <c r="L546" s="14"/>
      <c r="M546" s="14"/>
      <c r="N546" s="39"/>
      <c r="O546" s="39"/>
      <c r="P546" s="39"/>
      <c r="Q546" s="39"/>
      <c r="R546" s="39"/>
      <c r="S546" s="39"/>
      <c r="T546" s="39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  <c r="AI546" s="14"/>
      <c r="AJ546" s="14"/>
      <c r="AK546" s="14"/>
      <c r="AL546" s="14"/>
      <c r="AM546" s="14"/>
      <c r="AN546" s="14"/>
      <c r="AO546" s="14"/>
      <c r="AP546" s="14"/>
    </row>
    <row r="547" spans="1:42" ht="13">
      <c r="A547" s="38"/>
      <c r="B547" s="14"/>
      <c r="C547" s="38"/>
      <c r="D547" s="38"/>
      <c r="E547" s="38"/>
      <c r="F547" s="38"/>
      <c r="G547" s="38"/>
      <c r="H547" s="14"/>
      <c r="I547" s="38"/>
      <c r="J547" s="38"/>
      <c r="K547" s="14"/>
      <c r="L547" s="14"/>
      <c r="M547" s="14"/>
      <c r="N547" s="39"/>
      <c r="O547" s="39"/>
      <c r="P547" s="39"/>
      <c r="Q547" s="39"/>
      <c r="R547" s="39"/>
      <c r="S547" s="39"/>
      <c r="T547" s="39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  <c r="AK547" s="14"/>
      <c r="AL547" s="14"/>
      <c r="AM547" s="14"/>
      <c r="AN547" s="14"/>
      <c r="AO547" s="14"/>
      <c r="AP547" s="14"/>
    </row>
    <row r="548" spans="1:42" ht="13">
      <c r="A548" s="38"/>
      <c r="B548" s="14"/>
      <c r="C548" s="38"/>
      <c r="D548" s="38"/>
      <c r="E548" s="38"/>
      <c r="F548" s="38"/>
      <c r="G548" s="38"/>
      <c r="H548" s="14"/>
      <c r="I548" s="38"/>
      <c r="J548" s="38"/>
      <c r="K548" s="14"/>
      <c r="L548" s="14"/>
      <c r="M548" s="14"/>
      <c r="N548" s="39"/>
      <c r="O548" s="39"/>
      <c r="P548" s="39"/>
      <c r="Q548" s="39"/>
      <c r="R548" s="39"/>
      <c r="S548" s="39"/>
      <c r="T548" s="39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/>
      <c r="AJ548" s="14"/>
      <c r="AK548" s="14"/>
      <c r="AL548" s="14"/>
      <c r="AM548" s="14"/>
      <c r="AN548" s="14"/>
      <c r="AO548" s="14"/>
      <c r="AP548" s="14"/>
    </row>
    <row r="549" spans="1:42" ht="13">
      <c r="A549" s="38"/>
      <c r="B549" s="14"/>
      <c r="C549" s="38"/>
      <c r="D549" s="38"/>
      <c r="E549" s="38"/>
      <c r="F549" s="38"/>
      <c r="G549" s="38"/>
      <c r="H549" s="14"/>
      <c r="I549" s="38"/>
      <c r="J549" s="38"/>
      <c r="K549" s="14"/>
      <c r="L549" s="14"/>
      <c r="M549" s="14"/>
      <c r="N549" s="39"/>
      <c r="O549" s="39"/>
      <c r="P549" s="39"/>
      <c r="Q549" s="39"/>
      <c r="R549" s="39"/>
      <c r="S549" s="39"/>
      <c r="T549" s="39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  <c r="AL549" s="14"/>
      <c r="AM549" s="14"/>
      <c r="AN549" s="14"/>
      <c r="AO549" s="14"/>
      <c r="AP549" s="14"/>
    </row>
    <row r="550" spans="1:42" ht="13">
      <c r="A550" s="38"/>
      <c r="B550" s="14"/>
      <c r="C550" s="38"/>
      <c r="D550" s="38"/>
      <c r="E550" s="38"/>
      <c r="F550" s="38"/>
      <c r="G550" s="38"/>
      <c r="H550" s="14"/>
      <c r="I550" s="38"/>
      <c r="J550" s="38"/>
      <c r="K550" s="14"/>
      <c r="L550" s="14"/>
      <c r="M550" s="14"/>
      <c r="N550" s="39"/>
      <c r="O550" s="39"/>
      <c r="P550" s="39"/>
      <c r="Q550" s="39"/>
      <c r="R550" s="39"/>
      <c r="S550" s="39"/>
      <c r="T550" s="39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  <c r="AJ550" s="14"/>
      <c r="AK550" s="14"/>
      <c r="AL550" s="14"/>
      <c r="AM550" s="14"/>
      <c r="AN550" s="14"/>
      <c r="AO550" s="14"/>
      <c r="AP550" s="14"/>
    </row>
    <row r="551" spans="1:42" ht="13">
      <c r="A551" s="38"/>
      <c r="B551" s="14"/>
      <c r="C551" s="38"/>
      <c r="D551" s="38"/>
      <c r="E551" s="38"/>
      <c r="F551" s="38"/>
      <c r="G551" s="38"/>
      <c r="H551" s="14"/>
      <c r="I551" s="38"/>
      <c r="J551" s="38"/>
      <c r="K551" s="14"/>
      <c r="L551" s="14"/>
      <c r="M551" s="14"/>
      <c r="N551" s="39"/>
      <c r="O551" s="39"/>
      <c r="P551" s="39"/>
      <c r="Q551" s="39"/>
      <c r="R551" s="39"/>
      <c r="S551" s="39"/>
      <c r="T551" s="39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  <c r="AL551" s="14"/>
      <c r="AM551" s="14"/>
      <c r="AN551" s="14"/>
      <c r="AO551" s="14"/>
      <c r="AP551" s="14"/>
    </row>
    <row r="552" spans="1:42" ht="13">
      <c r="A552" s="38"/>
      <c r="B552" s="14"/>
      <c r="C552" s="38"/>
      <c r="D552" s="38"/>
      <c r="E552" s="38"/>
      <c r="F552" s="38"/>
      <c r="G552" s="38"/>
      <c r="H552" s="14"/>
      <c r="I552" s="38"/>
      <c r="J552" s="38"/>
      <c r="K552" s="14"/>
      <c r="L552" s="14"/>
      <c r="M552" s="14"/>
      <c r="N552" s="39"/>
      <c r="O552" s="39"/>
      <c r="P552" s="39"/>
      <c r="Q552" s="39"/>
      <c r="R552" s="39"/>
      <c r="S552" s="39"/>
      <c r="T552" s="39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  <c r="AJ552" s="14"/>
      <c r="AK552" s="14"/>
      <c r="AL552" s="14"/>
      <c r="AM552" s="14"/>
      <c r="AN552" s="14"/>
      <c r="AO552" s="14"/>
      <c r="AP552" s="14"/>
    </row>
    <row r="553" spans="1:42" ht="13">
      <c r="A553" s="38"/>
      <c r="B553" s="14"/>
      <c r="C553" s="38"/>
      <c r="D553" s="38"/>
      <c r="E553" s="38"/>
      <c r="F553" s="38"/>
      <c r="G553" s="38"/>
      <c r="H553" s="14"/>
      <c r="I553" s="38"/>
      <c r="J553" s="38"/>
      <c r="K553" s="14"/>
      <c r="L553" s="14"/>
      <c r="M553" s="14"/>
      <c r="N553" s="39"/>
      <c r="O553" s="39"/>
      <c r="P553" s="39"/>
      <c r="Q553" s="39"/>
      <c r="R553" s="39"/>
      <c r="S553" s="39"/>
      <c r="T553" s="39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  <c r="AI553" s="14"/>
      <c r="AJ553" s="14"/>
      <c r="AK553" s="14"/>
      <c r="AL553" s="14"/>
      <c r="AM553" s="14"/>
      <c r="AN553" s="14"/>
      <c r="AO553" s="14"/>
      <c r="AP553" s="14"/>
    </row>
    <row r="554" spans="1:42" ht="13">
      <c r="A554" s="38"/>
      <c r="B554" s="14"/>
      <c r="C554" s="38"/>
      <c r="D554" s="38"/>
      <c r="E554" s="38"/>
      <c r="F554" s="38"/>
      <c r="G554" s="38"/>
      <c r="H554" s="14"/>
      <c r="I554" s="38"/>
      <c r="J554" s="38"/>
      <c r="K554" s="14"/>
      <c r="L554" s="14"/>
      <c r="M554" s="14"/>
      <c r="N554" s="39"/>
      <c r="O554" s="39"/>
      <c r="P554" s="39"/>
      <c r="Q554" s="39"/>
      <c r="R554" s="39"/>
      <c r="S554" s="39"/>
      <c r="T554" s="39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  <c r="AI554" s="14"/>
      <c r="AJ554" s="14"/>
      <c r="AK554" s="14"/>
      <c r="AL554" s="14"/>
      <c r="AM554" s="14"/>
      <c r="AN554" s="14"/>
      <c r="AO554" s="14"/>
      <c r="AP554" s="14"/>
    </row>
    <row r="555" spans="1:42" ht="13">
      <c r="A555" s="38"/>
      <c r="B555" s="14"/>
      <c r="C555" s="38"/>
      <c r="D555" s="38"/>
      <c r="E555" s="38"/>
      <c r="F555" s="38"/>
      <c r="G555" s="38"/>
      <c r="H555" s="14"/>
      <c r="I555" s="38"/>
      <c r="J555" s="38"/>
      <c r="K555" s="14"/>
      <c r="L555" s="14"/>
      <c r="M555" s="14"/>
      <c r="N555" s="39"/>
      <c r="O555" s="39"/>
      <c r="P555" s="39"/>
      <c r="Q555" s="39"/>
      <c r="R555" s="39"/>
      <c r="S555" s="39"/>
      <c r="T555" s="39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  <c r="AK555" s="14"/>
      <c r="AL555" s="14"/>
      <c r="AM555" s="14"/>
      <c r="AN555" s="14"/>
      <c r="AO555" s="14"/>
      <c r="AP555" s="14"/>
    </row>
    <row r="556" spans="1:42" ht="13">
      <c r="A556" s="38"/>
      <c r="B556" s="14"/>
      <c r="C556" s="38"/>
      <c r="D556" s="38"/>
      <c r="E556" s="38"/>
      <c r="F556" s="38"/>
      <c r="G556" s="38"/>
      <c r="H556" s="14"/>
      <c r="I556" s="38"/>
      <c r="J556" s="38"/>
      <c r="K556" s="14"/>
      <c r="L556" s="14"/>
      <c r="M556" s="14"/>
      <c r="N556" s="39"/>
      <c r="O556" s="39"/>
      <c r="P556" s="39"/>
      <c r="Q556" s="39"/>
      <c r="R556" s="39"/>
      <c r="S556" s="39"/>
      <c r="T556" s="39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  <c r="AI556" s="14"/>
      <c r="AJ556" s="14"/>
      <c r="AK556" s="14"/>
      <c r="AL556" s="14"/>
      <c r="AM556" s="14"/>
      <c r="AN556" s="14"/>
      <c r="AO556" s="14"/>
      <c r="AP556" s="14"/>
    </row>
    <row r="557" spans="1:42" ht="13">
      <c r="A557" s="38"/>
      <c r="B557" s="14"/>
      <c r="C557" s="38"/>
      <c r="D557" s="38"/>
      <c r="E557" s="38"/>
      <c r="F557" s="38"/>
      <c r="G557" s="38"/>
      <c r="H557" s="14"/>
      <c r="I557" s="38"/>
      <c r="J557" s="38"/>
      <c r="K557" s="14"/>
      <c r="L557" s="14"/>
      <c r="M557" s="14"/>
      <c r="N557" s="39"/>
      <c r="O557" s="39"/>
      <c r="P557" s="39"/>
      <c r="Q557" s="39"/>
      <c r="R557" s="39"/>
      <c r="S557" s="39"/>
      <c r="T557" s="39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  <c r="AJ557" s="14"/>
      <c r="AK557" s="14"/>
      <c r="AL557" s="14"/>
      <c r="AM557" s="14"/>
      <c r="AN557" s="14"/>
      <c r="AO557" s="14"/>
      <c r="AP557" s="14"/>
    </row>
    <row r="558" spans="1:42" ht="13">
      <c r="A558" s="38"/>
      <c r="B558" s="14"/>
      <c r="C558" s="38"/>
      <c r="D558" s="38"/>
      <c r="E558" s="38"/>
      <c r="F558" s="38"/>
      <c r="G558" s="38"/>
      <c r="H558" s="14"/>
      <c r="I558" s="38"/>
      <c r="J558" s="38"/>
      <c r="K558" s="14"/>
      <c r="L558" s="14"/>
      <c r="M558" s="14"/>
      <c r="N558" s="39"/>
      <c r="O558" s="39"/>
      <c r="P558" s="39"/>
      <c r="Q558" s="39"/>
      <c r="R558" s="39"/>
      <c r="S558" s="39"/>
      <c r="T558" s="39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  <c r="AJ558" s="14"/>
      <c r="AK558" s="14"/>
      <c r="AL558" s="14"/>
      <c r="AM558" s="14"/>
      <c r="AN558" s="14"/>
      <c r="AO558" s="14"/>
      <c r="AP558" s="14"/>
    </row>
    <row r="559" spans="1:42" ht="13">
      <c r="A559" s="38"/>
      <c r="B559" s="14"/>
      <c r="C559" s="38"/>
      <c r="D559" s="38"/>
      <c r="E559" s="38"/>
      <c r="F559" s="38"/>
      <c r="G559" s="38"/>
      <c r="H559" s="14"/>
      <c r="I559" s="38"/>
      <c r="J559" s="38"/>
      <c r="K559" s="14"/>
      <c r="L559" s="14"/>
      <c r="M559" s="14"/>
      <c r="N559" s="39"/>
      <c r="O559" s="39"/>
      <c r="P559" s="39"/>
      <c r="Q559" s="39"/>
      <c r="R559" s="39"/>
      <c r="S559" s="39"/>
      <c r="T559" s="39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  <c r="AJ559" s="14"/>
      <c r="AK559" s="14"/>
      <c r="AL559" s="14"/>
      <c r="AM559" s="14"/>
      <c r="AN559" s="14"/>
      <c r="AO559" s="14"/>
      <c r="AP559" s="14"/>
    </row>
    <row r="560" spans="1:42" ht="13">
      <c r="A560" s="38"/>
      <c r="B560" s="14"/>
      <c r="C560" s="38"/>
      <c r="D560" s="38"/>
      <c r="E560" s="38"/>
      <c r="F560" s="38"/>
      <c r="G560" s="38"/>
      <c r="H560" s="14"/>
      <c r="I560" s="38"/>
      <c r="J560" s="38"/>
      <c r="K560" s="14"/>
      <c r="L560" s="14"/>
      <c r="M560" s="14"/>
      <c r="N560" s="39"/>
      <c r="O560" s="39"/>
      <c r="P560" s="39"/>
      <c r="Q560" s="39"/>
      <c r="R560" s="39"/>
      <c r="S560" s="39"/>
      <c r="T560" s="39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  <c r="AI560" s="14"/>
      <c r="AJ560" s="14"/>
      <c r="AK560" s="14"/>
      <c r="AL560" s="14"/>
      <c r="AM560" s="14"/>
      <c r="AN560" s="14"/>
      <c r="AO560" s="14"/>
      <c r="AP560" s="14"/>
    </row>
    <row r="561" spans="1:42" ht="13">
      <c r="A561" s="38"/>
      <c r="B561" s="14"/>
      <c r="C561" s="38"/>
      <c r="D561" s="38"/>
      <c r="E561" s="38"/>
      <c r="F561" s="38"/>
      <c r="G561" s="38"/>
      <c r="H561" s="14"/>
      <c r="I561" s="38"/>
      <c r="J561" s="38"/>
      <c r="K561" s="14"/>
      <c r="L561" s="14"/>
      <c r="M561" s="14"/>
      <c r="N561" s="39"/>
      <c r="O561" s="39"/>
      <c r="P561" s="39"/>
      <c r="Q561" s="39"/>
      <c r="R561" s="39"/>
      <c r="S561" s="39"/>
      <c r="T561" s="39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  <c r="AJ561" s="14"/>
      <c r="AK561" s="14"/>
      <c r="AL561" s="14"/>
      <c r="AM561" s="14"/>
      <c r="AN561" s="14"/>
      <c r="AO561" s="14"/>
      <c r="AP561" s="14"/>
    </row>
    <row r="562" spans="1:42" ht="13">
      <c r="A562" s="38"/>
      <c r="B562" s="14"/>
      <c r="C562" s="38"/>
      <c r="D562" s="38"/>
      <c r="E562" s="38"/>
      <c r="F562" s="38"/>
      <c r="G562" s="38"/>
      <c r="H562" s="14"/>
      <c r="I562" s="38"/>
      <c r="J562" s="38"/>
      <c r="K562" s="14"/>
      <c r="L562" s="14"/>
      <c r="M562" s="14"/>
      <c r="N562" s="39"/>
      <c r="O562" s="39"/>
      <c r="P562" s="39"/>
      <c r="Q562" s="39"/>
      <c r="R562" s="39"/>
      <c r="S562" s="39"/>
      <c r="T562" s="39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  <c r="AI562" s="14"/>
      <c r="AJ562" s="14"/>
      <c r="AK562" s="14"/>
      <c r="AL562" s="14"/>
      <c r="AM562" s="14"/>
      <c r="AN562" s="14"/>
      <c r="AO562" s="14"/>
      <c r="AP562" s="14"/>
    </row>
    <row r="563" spans="1:42" ht="13">
      <c r="A563" s="38"/>
      <c r="B563" s="14"/>
      <c r="C563" s="38"/>
      <c r="D563" s="38"/>
      <c r="E563" s="38"/>
      <c r="F563" s="38"/>
      <c r="G563" s="38"/>
      <c r="H563" s="14"/>
      <c r="I563" s="38"/>
      <c r="J563" s="38"/>
      <c r="K563" s="14"/>
      <c r="L563" s="14"/>
      <c r="M563" s="14"/>
      <c r="N563" s="39"/>
      <c r="O563" s="39"/>
      <c r="P563" s="39"/>
      <c r="Q563" s="39"/>
      <c r="R563" s="39"/>
      <c r="S563" s="39"/>
      <c r="T563" s="39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  <c r="AJ563" s="14"/>
      <c r="AK563" s="14"/>
      <c r="AL563" s="14"/>
      <c r="AM563" s="14"/>
      <c r="AN563" s="14"/>
      <c r="AO563" s="14"/>
      <c r="AP563" s="14"/>
    </row>
    <row r="564" spans="1:42" ht="13">
      <c r="A564" s="38"/>
      <c r="B564" s="14"/>
      <c r="C564" s="38"/>
      <c r="D564" s="38"/>
      <c r="E564" s="38"/>
      <c r="F564" s="38"/>
      <c r="G564" s="38"/>
      <c r="H564" s="14"/>
      <c r="I564" s="38"/>
      <c r="J564" s="38"/>
      <c r="K564" s="14"/>
      <c r="L564" s="14"/>
      <c r="M564" s="14"/>
      <c r="N564" s="39"/>
      <c r="O564" s="39"/>
      <c r="P564" s="39"/>
      <c r="Q564" s="39"/>
      <c r="R564" s="39"/>
      <c r="S564" s="39"/>
      <c r="T564" s="39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  <c r="AI564" s="14"/>
      <c r="AJ564" s="14"/>
      <c r="AK564" s="14"/>
      <c r="AL564" s="14"/>
      <c r="AM564" s="14"/>
      <c r="AN564" s="14"/>
      <c r="AO564" s="14"/>
      <c r="AP564" s="14"/>
    </row>
    <row r="565" spans="1:42" ht="13">
      <c r="A565" s="38"/>
      <c r="B565" s="14"/>
      <c r="C565" s="38"/>
      <c r="D565" s="38"/>
      <c r="E565" s="38"/>
      <c r="F565" s="38"/>
      <c r="G565" s="38"/>
      <c r="H565" s="14"/>
      <c r="I565" s="38"/>
      <c r="J565" s="38"/>
      <c r="K565" s="14"/>
      <c r="L565" s="14"/>
      <c r="M565" s="14"/>
      <c r="N565" s="39"/>
      <c r="O565" s="39"/>
      <c r="P565" s="39"/>
      <c r="Q565" s="39"/>
      <c r="R565" s="39"/>
      <c r="S565" s="39"/>
      <c r="T565" s="39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  <c r="AK565" s="14"/>
      <c r="AL565" s="14"/>
      <c r="AM565" s="14"/>
      <c r="AN565" s="14"/>
      <c r="AO565" s="14"/>
      <c r="AP565" s="14"/>
    </row>
    <row r="566" spans="1:42" ht="13">
      <c r="A566" s="38"/>
      <c r="B566" s="14"/>
      <c r="C566" s="38"/>
      <c r="D566" s="38"/>
      <c r="E566" s="38"/>
      <c r="F566" s="38"/>
      <c r="G566" s="38"/>
      <c r="H566" s="14"/>
      <c r="I566" s="38"/>
      <c r="J566" s="38"/>
      <c r="K566" s="14"/>
      <c r="L566" s="14"/>
      <c r="M566" s="14"/>
      <c r="N566" s="39"/>
      <c r="O566" s="39"/>
      <c r="P566" s="39"/>
      <c r="Q566" s="39"/>
      <c r="R566" s="39"/>
      <c r="S566" s="39"/>
      <c r="T566" s="39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  <c r="AI566" s="14"/>
      <c r="AJ566" s="14"/>
      <c r="AK566" s="14"/>
      <c r="AL566" s="14"/>
      <c r="AM566" s="14"/>
      <c r="AN566" s="14"/>
      <c r="AO566" s="14"/>
      <c r="AP566" s="14"/>
    </row>
    <row r="567" spans="1:42" ht="13">
      <c r="A567" s="38"/>
      <c r="B567" s="14"/>
      <c r="C567" s="38"/>
      <c r="D567" s="38"/>
      <c r="E567" s="38"/>
      <c r="F567" s="38"/>
      <c r="G567" s="38"/>
      <c r="H567" s="14"/>
      <c r="I567" s="38"/>
      <c r="J567" s="38"/>
      <c r="K567" s="14"/>
      <c r="L567" s="14"/>
      <c r="M567" s="14"/>
      <c r="N567" s="39"/>
      <c r="O567" s="39"/>
      <c r="P567" s="39"/>
      <c r="Q567" s="39"/>
      <c r="R567" s="39"/>
      <c r="S567" s="39"/>
      <c r="T567" s="39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  <c r="AK567" s="14"/>
      <c r="AL567" s="14"/>
      <c r="AM567" s="14"/>
      <c r="AN567" s="14"/>
      <c r="AO567" s="14"/>
      <c r="AP567" s="14"/>
    </row>
    <row r="568" spans="1:42" ht="13">
      <c r="A568" s="38"/>
      <c r="B568" s="14"/>
      <c r="C568" s="38"/>
      <c r="D568" s="38"/>
      <c r="E568" s="38"/>
      <c r="F568" s="38"/>
      <c r="G568" s="38"/>
      <c r="H568" s="14"/>
      <c r="I568" s="38"/>
      <c r="J568" s="38"/>
      <c r="K568" s="14"/>
      <c r="L568" s="14"/>
      <c r="M568" s="14"/>
      <c r="N568" s="39"/>
      <c r="O568" s="39"/>
      <c r="P568" s="39"/>
      <c r="Q568" s="39"/>
      <c r="R568" s="39"/>
      <c r="S568" s="39"/>
      <c r="T568" s="39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  <c r="AI568" s="14"/>
      <c r="AJ568" s="14"/>
      <c r="AK568" s="14"/>
      <c r="AL568" s="14"/>
      <c r="AM568" s="14"/>
      <c r="AN568" s="14"/>
      <c r="AO568" s="14"/>
      <c r="AP568" s="14"/>
    </row>
    <row r="569" spans="1:42" ht="13">
      <c r="A569" s="38"/>
      <c r="B569" s="14"/>
      <c r="C569" s="38"/>
      <c r="D569" s="38"/>
      <c r="E569" s="38"/>
      <c r="F569" s="38"/>
      <c r="G569" s="38"/>
      <c r="H569" s="14"/>
      <c r="I569" s="38"/>
      <c r="J569" s="38"/>
      <c r="K569" s="14"/>
      <c r="L569" s="14"/>
      <c r="M569" s="14"/>
      <c r="N569" s="39"/>
      <c r="O569" s="39"/>
      <c r="P569" s="39"/>
      <c r="Q569" s="39"/>
      <c r="R569" s="39"/>
      <c r="S569" s="39"/>
      <c r="T569" s="39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  <c r="AJ569" s="14"/>
      <c r="AK569" s="14"/>
      <c r="AL569" s="14"/>
      <c r="AM569" s="14"/>
      <c r="AN569" s="14"/>
      <c r="AO569" s="14"/>
      <c r="AP569" s="14"/>
    </row>
    <row r="570" spans="1:42" ht="13">
      <c r="A570" s="38"/>
      <c r="B570" s="14"/>
      <c r="C570" s="38"/>
      <c r="D570" s="38"/>
      <c r="E570" s="38"/>
      <c r="F570" s="38"/>
      <c r="G570" s="38"/>
      <c r="H570" s="14"/>
      <c r="I570" s="38"/>
      <c r="J570" s="38"/>
      <c r="K570" s="14"/>
      <c r="L570" s="14"/>
      <c r="M570" s="14"/>
      <c r="N570" s="39"/>
      <c r="O570" s="39"/>
      <c r="P570" s="39"/>
      <c r="Q570" s="39"/>
      <c r="R570" s="39"/>
      <c r="S570" s="39"/>
      <c r="T570" s="39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  <c r="AI570" s="14"/>
      <c r="AJ570" s="14"/>
      <c r="AK570" s="14"/>
      <c r="AL570" s="14"/>
      <c r="AM570" s="14"/>
      <c r="AN570" s="14"/>
      <c r="AO570" s="14"/>
      <c r="AP570" s="14"/>
    </row>
    <row r="571" spans="1:42" ht="13">
      <c r="A571" s="38"/>
      <c r="B571" s="14"/>
      <c r="C571" s="38"/>
      <c r="D571" s="38"/>
      <c r="E571" s="38"/>
      <c r="F571" s="38"/>
      <c r="G571" s="38"/>
      <c r="H571" s="14"/>
      <c r="I571" s="38"/>
      <c r="J571" s="38"/>
      <c r="K571" s="14"/>
      <c r="L571" s="14"/>
      <c r="M571" s="14"/>
      <c r="N571" s="39"/>
      <c r="O571" s="39"/>
      <c r="P571" s="39"/>
      <c r="Q571" s="39"/>
      <c r="R571" s="39"/>
      <c r="S571" s="39"/>
      <c r="T571" s="39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  <c r="AJ571" s="14"/>
      <c r="AK571" s="14"/>
      <c r="AL571" s="14"/>
      <c r="AM571" s="14"/>
      <c r="AN571" s="14"/>
      <c r="AO571" s="14"/>
      <c r="AP571" s="14"/>
    </row>
    <row r="572" spans="1:42" ht="13">
      <c r="A572" s="38"/>
      <c r="B572" s="14"/>
      <c r="C572" s="38"/>
      <c r="D572" s="38"/>
      <c r="E572" s="38"/>
      <c r="F572" s="38"/>
      <c r="G572" s="38"/>
      <c r="H572" s="14"/>
      <c r="I572" s="38"/>
      <c r="J572" s="38"/>
      <c r="K572" s="14"/>
      <c r="L572" s="14"/>
      <c r="M572" s="14"/>
      <c r="N572" s="39"/>
      <c r="O572" s="39"/>
      <c r="P572" s="39"/>
      <c r="Q572" s="39"/>
      <c r="R572" s="39"/>
      <c r="S572" s="39"/>
      <c r="T572" s="39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  <c r="AI572" s="14"/>
      <c r="AJ572" s="14"/>
      <c r="AK572" s="14"/>
      <c r="AL572" s="14"/>
      <c r="AM572" s="14"/>
      <c r="AN572" s="14"/>
      <c r="AO572" s="14"/>
      <c r="AP572" s="14"/>
    </row>
    <row r="573" spans="1:42" ht="13">
      <c r="A573" s="38"/>
      <c r="B573" s="14"/>
      <c r="C573" s="38"/>
      <c r="D573" s="38"/>
      <c r="E573" s="38"/>
      <c r="F573" s="38"/>
      <c r="G573" s="38"/>
      <c r="H573" s="14"/>
      <c r="I573" s="38"/>
      <c r="J573" s="38"/>
      <c r="K573" s="14"/>
      <c r="L573" s="14"/>
      <c r="M573" s="14"/>
      <c r="N573" s="39"/>
      <c r="O573" s="39"/>
      <c r="P573" s="39"/>
      <c r="Q573" s="39"/>
      <c r="R573" s="39"/>
      <c r="S573" s="39"/>
      <c r="T573" s="39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  <c r="AJ573" s="14"/>
      <c r="AK573" s="14"/>
      <c r="AL573" s="14"/>
      <c r="AM573" s="14"/>
      <c r="AN573" s="14"/>
      <c r="AO573" s="14"/>
      <c r="AP573" s="14"/>
    </row>
    <row r="574" spans="1:42" ht="13">
      <c r="A574" s="38"/>
      <c r="B574" s="14"/>
      <c r="C574" s="38"/>
      <c r="D574" s="38"/>
      <c r="E574" s="38"/>
      <c r="F574" s="38"/>
      <c r="G574" s="38"/>
      <c r="H574" s="14"/>
      <c r="I574" s="38"/>
      <c r="J574" s="38"/>
      <c r="K574" s="14"/>
      <c r="L574" s="14"/>
      <c r="M574" s="14"/>
      <c r="N574" s="39"/>
      <c r="O574" s="39"/>
      <c r="P574" s="39"/>
      <c r="Q574" s="39"/>
      <c r="R574" s="39"/>
      <c r="S574" s="39"/>
      <c r="T574" s="39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  <c r="AI574" s="14"/>
      <c r="AJ574" s="14"/>
      <c r="AK574" s="14"/>
      <c r="AL574" s="14"/>
      <c r="AM574" s="14"/>
      <c r="AN574" s="14"/>
      <c r="AO574" s="14"/>
      <c r="AP574" s="14"/>
    </row>
    <row r="575" spans="1:42" ht="13">
      <c r="A575" s="38"/>
      <c r="B575" s="14"/>
      <c r="C575" s="38"/>
      <c r="D575" s="38"/>
      <c r="E575" s="38"/>
      <c r="F575" s="38"/>
      <c r="G575" s="38"/>
      <c r="H575" s="14"/>
      <c r="I575" s="38"/>
      <c r="J575" s="38"/>
      <c r="K575" s="14"/>
      <c r="L575" s="14"/>
      <c r="M575" s="14"/>
      <c r="N575" s="39"/>
      <c r="O575" s="39"/>
      <c r="P575" s="39"/>
      <c r="Q575" s="39"/>
      <c r="R575" s="39"/>
      <c r="S575" s="39"/>
      <c r="T575" s="39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  <c r="AJ575" s="14"/>
      <c r="AK575" s="14"/>
      <c r="AL575" s="14"/>
      <c r="AM575" s="14"/>
      <c r="AN575" s="14"/>
      <c r="AO575" s="14"/>
      <c r="AP575" s="14"/>
    </row>
    <row r="576" spans="1:42" ht="13">
      <c r="A576" s="38"/>
      <c r="B576" s="14"/>
      <c r="C576" s="38"/>
      <c r="D576" s="38"/>
      <c r="E576" s="38"/>
      <c r="F576" s="38"/>
      <c r="G576" s="38"/>
      <c r="H576" s="14"/>
      <c r="I576" s="38"/>
      <c r="J576" s="38"/>
      <c r="K576" s="14"/>
      <c r="L576" s="14"/>
      <c r="M576" s="14"/>
      <c r="N576" s="39"/>
      <c r="O576" s="39"/>
      <c r="P576" s="39"/>
      <c r="Q576" s="39"/>
      <c r="R576" s="39"/>
      <c r="S576" s="39"/>
      <c r="T576" s="39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/>
      <c r="AJ576" s="14"/>
      <c r="AK576" s="14"/>
      <c r="AL576" s="14"/>
      <c r="AM576" s="14"/>
      <c r="AN576" s="14"/>
      <c r="AO576" s="14"/>
      <c r="AP576" s="14"/>
    </row>
    <row r="577" spans="1:42" ht="13">
      <c r="A577" s="38"/>
      <c r="B577" s="14"/>
      <c r="C577" s="38"/>
      <c r="D577" s="38"/>
      <c r="E577" s="38"/>
      <c r="F577" s="38"/>
      <c r="G577" s="38"/>
      <c r="H577" s="14"/>
      <c r="I577" s="38"/>
      <c r="J577" s="38"/>
      <c r="K577" s="14"/>
      <c r="L577" s="14"/>
      <c r="M577" s="14"/>
      <c r="N577" s="39"/>
      <c r="O577" s="39"/>
      <c r="P577" s="39"/>
      <c r="Q577" s="39"/>
      <c r="R577" s="39"/>
      <c r="S577" s="39"/>
      <c r="T577" s="39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  <c r="AJ577" s="14"/>
      <c r="AK577" s="14"/>
      <c r="AL577" s="14"/>
      <c r="AM577" s="14"/>
      <c r="AN577" s="14"/>
      <c r="AO577" s="14"/>
      <c r="AP577" s="14"/>
    </row>
    <row r="578" spans="1:42" ht="13">
      <c r="A578" s="38"/>
      <c r="B578" s="14"/>
      <c r="C578" s="38"/>
      <c r="D578" s="38"/>
      <c r="E578" s="38"/>
      <c r="F578" s="38"/>
      <c r="G578" s="38"/>
      <c r="H578" s="14"/>
      <c r="I578" s="38"/>
      <c r="J578" s="38"/>
      <c r="K578" s="14"/>
      <c r="L578" s="14"/>
      <c r="M578" s="14"/>
      <c r="N578" s="39"/>
      <c r="O578" s="39"/>
      <c r="P578" s="39"/>
      <c r="Q578" s="39"/>
      <c r="R578" s="39"/>
      <c r="S578" s="39"/>
      <c r="T578" s="39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  <c r="AI578" s="14"/>
      <c r="AJ578" s="14"/>
      <c r="AK578" s="14"/>
      <c r="AL578" s="14"/>
      <c r="AM578" s="14"/>
      <c r="AN578" s="14"/>
      <c r="AO578" s="14"/>
      <c r="AP578" s="14"/>
    </row>
    <row r="579" spans="1:42" ht="13">
      <c r="A579" s="38"/>
      <c r="B579" s="14"/>
      <c r="C579" s="38"/>
      <c r="D579" s="38"/>
      <c r="E579" s="38"/>
      <c r="F579" s="38"/>
      <c r="G579" s="38"/>
      <c r="H579" s="14"/>
      <c r="I579" s="38"/>
      <c r="J579" s="38"/>
      <c r="K579" s="14"/>
      <c r="L579" s="14"/>
      <c r="M579" s="14"/>
      <c r="N579" s="39"/>
      <c r="O579" s="39"/>
      <c r="P579" s="39"/>
      <c r="Q579" s="39"/>
      <c r="R579" s="39"/>
      <c r="S579" s="39"/>
      <c r="T579" s="39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  <c r="AJ579" s="14"/>
      <c r="AK579" s="14"/>
      <c r="AL579" s="14"/>
      <c r="AM579" s="14"/>
      <c r="AN579" s="14"/>
      <c r="AO579" s="14"/>
      <c r="AP579" s="14"/>
    </row>
    <row r="580" spans="1:42" ht="13">
      <c r="A580" s="38"/>
      <c r="B580" s="14"/>
      <c r="C580" s="38"/>
      <c r="D580" s="38"/>
      <c r="E580" s="38"/>
      <c r="F580" s="38"/>
      <c r="G580" s="38"/>
      <c r="H580" s="14"/>
      <c r="I580" s="38"/>
      <c r="J580" s="38"/>
      <c r="K580" s="14"/>
      <c r="L580" s="14"/>
      <c r="M580" s="14"/>
      <c r="N580" s="39"/>
      <c r="O580" s="39"/>
      <c r="P580" s="39"/>
      <c r="Q580" s="39"/>
      <c r="R580" s="39"/>
      <c r="S580" s="39"/>
      <c r="T580" s="39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  <c r="AI580" s="14"/>
      <c r="AJ580" s="14"/>
      <c r="AK580" s="14"/>
      <c r="AL580" s="14"/>
      <c r="AM580" s="14"/>
      <c r="AN580" s="14"/>
      <c r="AO580" s="14"/>
      <c r="AP580" s="14"/>
    </row>
    <row r="581" spans="1:42" ht="13">
      <c r="A581" s="38"/>
      <c r="B581" s="14"/>
      <c r="C581" s="38"/>
      <c r="D581" s="38"/>
      <c r="E581" s="38"/>
      <c r="F581" s="38"/>
      <c r="G581" s="38"/>
      <c r="H581" s="14"/>
      <c r="I581" s="38"/>
      <c r="J581" s="38"/>
      <c r="K581" s="14"/>
      <c r="L581" s="14"/>
      <c r="M581" s="14"/>
      <c r="N581" s="39"/>
      <c r="O581" s="39"/>
      <c r="P581" s="39"/>
      <c r="Q581" s="39"/>
      <c r="R581" s="39"/>
      <c r="S581" s="39"/>
      <c r="T581" s="39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  <c r="AI581" s="14"/>
      <c r="AJ581" s="14"/>
      <c r="AK581" s="14"/>
      <c r="AL581" s="14"/>
      <c r="AM581" s="14"/>
      <c r="AN581" s="14"/>
      <c r="AO581" s="14"/>
      <c r="AP581" s="14"/>
    </row>
    <row r="582" spans="1:42" ht="13">
      <c r="A582" s="38"/>
      <c r="B582" s="14"/>
      <c r="C582" s="38"/>
      <c r="D582" s="38"/>
      <c r="E582" s="38"/>
      <c r="F582" s="38"/>
      <c r="G582" s="38"/>
      <c r="H582" s="14"/>
      <c r="I582" s="38"/>
      <c r="J582" s="38"/>
      <c r="K582" s="14"/>
      <c r="L582" s="14"/>
      <c r="M582" s="14"/>
      <c r="N582" s="39"/>
      <c r="O582" s="39"/>
      <c r="P582" s="39"/>
      <c r="Q582" s="39"/>
      <c r="R582" s="39"/>
      <c r="S582" s="39"/>
      <c r="T582" s="39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  <c r="AI582" s="14"/>
      <c r="AJ582" s="14"/>
      <c r="AK582" s="14"/>
      <c r="AL582" s="14"/>
      <c r="AM582" s="14"/>
      <c r="AN582" s="14"/>
      <c r="AO582" s="14"/>
      <c r="AP582" s="14"/>
    </row>
    <row r="583" spans="1:42" ht="13">
      <c r="A583" s="38"/>
      <c r="B583" s="14"/>
      <c r="C583" s="38"/>
      <c r="D583" s="38"/>
      <c r="E583" s="38"/>
      <c r="F583" s="38"/>
      <c r="G583" s="38"/>
      <c r="H583" s="14"/>
      <c r="I583" s="38"/>
      <c r="J583" s="38"/>
      <c r="K583" s="14"/>
      <c r="L583" s="14"/>
      <c r="M583" s="14"/>
      <c r="N583" s="39"/>
      <c r="O583" s="39"/>
      <c r="P583" s="39"/>
      <c r="Q583" s="39"/>
      <c r="R583" s="39"/>
      <c r="S583" s="39"/>
      <c r="T583" s="39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  <c r="AI583" s="14"/>
      <c r="AJ583" s="14"/>
      <c r="AK583" s="14"/>
      <c r="AL583" s="14"/>
      <c r="AM583" s="14"/>
      <c r="AN583" s="14"/>
      <c r="AO583" s="14"/>
      <c r="AP583" s="14"/>
    </row>
    <row r="584" spans="1:42" ht="13">
      <c r="A584" s="38"/>
      <c r="B584" s="14"/>
      <c r="C584" s="38"/>
      <c r="D584" s="38"/>
      <c r="E584" s="38"/>
      <c r="F584" s="38"/>
      <c r="G584" s="38"/>
      <c r="H584" s="14"/>
      <c r="I584" s="38"/>
      <c r="J584" s="38"/>
      <c r="K584" s="14"/>
      <c r="L584" s="14"/>
      <c r="M584" s="14"/>
      <c r="N584" s="39"/>
      <c r="O584" s="39"/>
      <c r="P584" s="39"/>
      <c r="Q584" s="39"/>
      <c r="R584" s="39"/>
      <c r="S584" s="39"/>
      <c r="T584" s="39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  <c r="AI584" s="14"/>
      <c r="AJ584" s="14"/>
      <c r="AK584" s="14"/>
      <c r="AL584" s="14"/>
      <c r="AM584" s="14"/>
      <c r="AN584" s="14"/>
      <c r="AO584" s="14"/>
      <c r="AP584" s="14"/>
    </row>
    <row r="585" spans="1:42" ht="13">
      <c r="A585" s="38"/>
      <c r="B585" s="14"/>
      <c r="C585" s="38"/>
      <c r="D585" s="38"/>
      <c r="E585" s="38"/>
      <c r="F585" s="38"/>
      <c r="G585" s="38"/>
      <c r="H585" s="14"/>
      <c r="I585" s="38"/>
      <c r="J585" s="38"/>
      <c r="K585" s="14"/>
      <c r="L585" s="14"/>
      <c r="M585" s="14"/>
      <c r="N585" s="39"/>
      <c r="O585" s="39"/>
      <c r="P585" s="39"/>
      <c r="Q585" s="39"/>
      <c r="R585" s="39"/>
      <c r="S585" s="39"/>
      <c r="T585" s="39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/>
      <c r="AJ585" s="14"/>
      <c r="AK585" s="14"/>
      <c r="AL585" s="14"/>
      <c r="AM585" s="14"/>
      <c r="AN585" s="14"/>
      <c r="AO585" s="14"/>
      <c r="AP585" s="14"/>
    </row>
    <row r="586" spans="1:42" ht="13">
      <c r="A586" s="38"/>
      <c r="B586" s="14"/>
      <c r="C586" s="38"/>
      <c r="D586" s="38"/>
      <c r="E586" s="38"/>
      <c r="F586" s="38"/>
      <c r="G586" s="38"/>
      <c r="H586" s="14"/>
      <c r="I586" s="38"/>
      <c r="J586" s="38"/>
      <c r="K586" s="14"/>
      <c r="L586" s="14"/>
      <c r="M586" s="14"/>
      <c r="N586" s="39"/>
      <c r="O586" s="39"/>
      <c r="P586" s="39"/>
      <c r="Q586" s="39"/>
      <c r="R586" s="39"/>
      <c r="S586" s="39"/>
      <c r="T586" s="39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  <c r="AI586" s="14"/>
      <c r="AJ586" s="14"/>
      <c r="AK586" s="14"/>
      <c r="AL586" s="14"/>
      <c r="AM586" s="14"/>
      <c r="AN586" s="14"/>
      <c r="AO586" s="14"/>
      <c r="AP586" s="14"/>
    </row>
    <row r="587" spans="1:42" ht="13">
      <c r="A587" s="38"/>
      <c r="B587" s="14"/>
      <c r="C587" s="38"/>
      <c r="D587" s="38"/>
      <c r="E587" s="38"/>
      <c r="F587" s="38"/>
      <c r="G587" s="38"/>
      <c r="H587" s="14"/>
      <c r="I587" s="38"/>
      <c r="J587" s="38"/>
      <c r="K587" s="14"/>
      <c r="L587" s="14"/>
      <c r="M587" s="14"/>
      <c r="N587" s="39"/>
      <c r="O587" s="39"/>
      <c r="P587" s="39"/>
      <c r="Q587" s="39"/>
      <c r="R587" s="39"/>
      <c r="S587" s="39"/>
      <c r="T587" s="39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  <c r="AJ587" s="14"/>
      <c r="AK587" s="14"/>
      <c r="AL587" s="14"/>
      <c r="AM587" s="14"/>
      <c r="AN587" s="14"/>
      <c r="AO587" s="14"/>
      <c r="AP587" s="14"/>
    </row>
    <row r="588" spans="1:42" ht="13">
      <c r="A588" s="38"/>
      <c r="B588" s="14"/>
      <c r="C588" s="38"/>
      <c r="D588" s="38"/>
      <c r="E588" s="38"/>
      <c r="F588" s="38"/>
      <c r="G588" s="38"/>
      <c r="H588" s="14"/>
      <c r="I588" s="38"/>
      <c r="J588" s="38"/>
      <c r="K588" s="14"/>
      <c r="L588" s="14"/>
      <c r="M588" s="14"/>
      <c r="N588" s="39"/>
      <c r="O588" s="39"/>
      <c r="P588" s="39"/>
      <c r="Q588" s="39"/>
      <c r="R588" s="39"/>
      <c r="S588" s="39"/>
      <c r="T588" s="39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  <c r="AI588" s="14"/>
      <c r="AJ588" s="14"/>
      <c r="AK588" s="14"/>
      <c r="AL588" s="14"/>
      <c r="AM588" s="14"/>
      <c r="AN588" s="14"/>
      <c r="AO588" s="14"/>
      <c r="AP588" s="14"/>
    </row>
    <row r="589" spans="1:42" ht="13">
      <c r="A589" s="38"/>
      <c r="B589" s="14"/>
      <c r="C589" s="38"/>
      <c r="D589" s="38"/>
      <c r="E589" s="38"/>
      <c r="F589" s="38"/>
      <c r="G589" s="38"/>
      <c r="H589" s="14"/>
      <c r="I589" s="38"/>
      <c r="J589" s="38"/>
      <c r="K589" s="14"/>
      <c r="L589" s="14"/>
      <c r="M589" s="14"/>
      <c r="N589" s="39"/>
      <c r="O589" s="39"/>
      <c r="P589" s="39"/>
      <c r="Q589" s="39"/>
      <c r="R589" s="39"/>
      <c r="S589" s="39"/>
      <c r="T589" s="39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  <c r="AI589" s="14"/>
      <c r="AJ589" s="14"/>
      <c r="AK589" s="14"/>
      <c r="AL589" s="14"/>
      <c r="AM589" s="14"/>
      <c r="AN589" s="14"/>
      <c r="AO589" s="14"/>
      <c r="AP589" s="14"/>
    </row>
    <row r="590" spans="1:42" ht="13">
      <c r="A590" s="38"/>
      <c r="B590" s="14"/>
      <c r="C590" s="38"/>
      <c r="D590" s="38"/>
      <c r="E590" s="38"/>
      <c r="F590" s="38"/>
      <c r="G590" s="38"/>
      <c r="H590" s="14"/>
      <c r="I590" s="38"/>
      <c r="J590" s="38"/>
      <c r="K590" s="14"/>
      <c r="L590" s="14"/>
      <c r="M590" s="14"/>
      <c r="N590" s="39"/>
      <c r="O590" s="39"/>
      <c r="P590" s="39"/>
      <c r="Q590" s="39"/>
      <c r="R590" s="39"/>
      <c r="S590" s="39"/>
      <c r="T590" s="39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  <c r="AI590" s="14"/>
      <c r="AJ590" s="14"/>
      <c r="AK590" s="14"/>
      <c r="AL590" s="14"/>
      <c r="AM590" s="14"/>
      <c r="AN590" s="14"/>
      <c r="AO590" s="14"/>
      <c r="AP590" s="14"/>
    </row>
    <row r="591" spans="1:42" ht="13">
      <c r="A591" s="38"/>
      <c r="B591" s="14"/>
      <c r="C591" s="38"/>
      <c r="D591" s="38"/>
      <c r="E591" s="38"/>
      <c r="F591" s="38"/>
      <c r="G591" s="38"/>
      <c r="H591" s="14"/>
      <c r="I591" s="38"/>
      <c r="J591" s="38"/>
      <c r="K591" s="14"/>
      <c r="L591" s="14"/>
      <c r="M591" s="14"/>
      <c r="N591" s="39"/>
      <c r="O591" s="39"/>
      <c r="P591" s="39"/>
      <c r="Q591" s="39"/>
      <c r="R591" s="39"/>
      <c r="S591" s="39"/>
      <c r="T591" s="39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  <c r="AJ591" s="14"/>
      <c r="AK591" s="14"/>
      <c r="AL591" s="14"/>
      <c r="AM591" s="14"/>
      <c r="AN591" s="14"/>
      <c r="AO591" s="14"/>
      <c r="AP591" s="14"/>
    </row>
    <row r="592" spans="1:42" ht="13">
      <c r="A592" s="38"/>
      <c r="B592" s="14"/>
      <c r="C592" s="38"/>
      <c r="D592" s="38"/>
      <c r="E592" s="38"/>
      <c r="F592" s="38"/>
      <c r="G592" s="38"/>
      <c r="H592" s="14"/>
      <c r="I592" s="38"/>
      <c r="J592" s="38"/>
      <c r="K592" s="14"/>
      <c r="L592" s="14"/>
      <c r="M592" s="14"/>
      <c r="N592" s="39"/>
      <c r="O592" s="39"/>
      <c r="P592" s="39"/>
      <c r="Q592" s="39"/>
      <c r="R592" s="39"/>
      <c r="S592" s="39"/>
      <c r="T592" s="39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  <c r="AI592" s="14"/>
      <c r="AJ592" s="14"/>
      <c r="AK592" s="14"/>
      <c r="AL592" s="14"/>
      <c r="AM592" s="14"/>
      <c r="AN592" s="14"/>
      <c r="AO592" s="14"/>
      <c r="AP592" s="14"/>
    </row>
    <row r="593" spans="1:42" ht="13">
      <c r="A593" s="38"/>
      <c r="B593" s="14"/>
      <c r="C593" s="38"/>
      <c r="D593" s="38"/>
      <c r="E593" s="38"/>
      <c r="F593" s="38"/>
      <c r="G593" s="38"/>
      <c r="H593" s="14"/>
      <c r="I593" s="38"/>
      <c r="J593" s="38"/>
      <c r="K593" s="14"/>
      <c r="L593" s="14"/>
      <c r="M593" s="14"/>
      <c r="N593" s="39"/>
      <c r="O593" s="39"/>
      <c r="P593" s="39"/>
      <c r="Q593" s="39"/>
      <c r="R593" s="39"/>
      <c r="S593" s="39"/>
      <c r="T593" s="39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  <c r="AK593" s="14"/>
      <c r="AL593" s="14"/>
      <c r="AM593" s="14"/>
      <c r="AN593" s="14"/>
      <c r="AO593" s="14"/>
      <c r="AP593" s="14"/>
    </row>
    <row r="594" spans="1:42" ht="13">
      <c r="A594" s="38"/>
      <c r="B594" s="14"/>
      <c r="C594" s="38"/>
      <c r="D594" s="38"/>
      <c r="E594" s="38"/>
      <c r="F594" s="38"/>
      <c r="G594" s="38"/>
      <c r="H594" s="14"/>
      <c r="I594" s="38"/>
      <c r="J594" s="38"/>
      <c r="K594" s="14"/>
      <c r="L594" s="14"/>
      <c r="M594" s="14"/>
      <c r="N594" s="39"/>
      <c r="O594" s="39"/>
      <c r="P594" s="39"/>
      <c r="Q594" s="39"/>
      <c r="R594" s="39"/>
      <c r="S594" s="39"/>
      <c r="T594" s="39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  <c r="AI594" s="14"/>
      <c r="AJ594" s="14"/>
      <c r="AK594" s="14"/>
      <c r="AL594" s="14"/>
      <c r="AM594" s="14"/>
      <c r="AN594" s="14"/>
      <c r="AO594" s="14"/>
      <c r="AP594" s="14"/>
    </row>
    <row r="595" spans="1:42" ht="13">
      <c r="A595" s="38"/>
      <c r="B595" s="14"/>
      <c r="C595" s="38"/>
      <c r="D595" s="38"/>
      <c r="E595" s="38"/>
      <c r="F595" s="38"/>
      <c r="G595" s="38"/>
      <c r="H595" s="14"/>
      <c r="I595" s="38"/>
      <c r="J595" s="38"/>
      <c r="K595" s="14"/>
      <c r="L595" s="14"/>
      <c r="M595" s="14"/>
      <c r="N595" s="39"/>
      <c r="O595" s="39"/>
      <c r="P595" s="39"/>
      <c r="Q595" s="39"/>
      <c r="R595" s="39"/>
      <c r="S595" s="39"/>
      <c r="T595" s="39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  <c r="AI595" s="14"/>
      <c r="AJ595" s="14"/>
      <c r="AK595" s="14"/>
      <c r="AL595" s="14"/>
      <c r="AM595" s="14"/>
      <c r="AN595" s="14"/>
      <c r="AO595" s="14"/>
      <c r="AP595" s="14"/>
    </row>
    <row r="596" spans="1:42" ht="13">
      <c r="A596" s="38"/>
      <c r="B596" s="14"/>
      <c r="C596" s="38"/>
      <c r="D596" s="38"/>
      <c r="E596" s="38"/>
      <c r="F596" s="38"/>
      <c r="G596" s="38"/>
      <c r="H596" s="14"/>
      <c r="I596" s="38"/>
      <c r="J596" s="38"/>
      <c r="K596" s="14"/>
      <c r="L596" s="14"/>
      <c r="M596" s="14"/>
      <c r="N596" s="39"/>
      <c r="O596" s="39"/>
      <c r="P596" s="39"/>
      <c r="Q596" s="39"/>
      <c r="R596" s="39"/>
      <c r="S596" s="39"/>
      <c r="T596" s="39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  <c r="AH596" s="14"/>
      <c r="AI596" s="14"/>
      <c r="AJ596" s="14"/>
      <c r="AK596" s="14"/>
      <c r="AL596" s="14"/>
      <c r="AM596" s="14"/>
      <c r="AN596" s="14"/>
      <c r="AO596" s="14"/>
      <c r="AP596" s="14"/>
    </row>
    <row r="597" spans="1:42" ht="13">
      <c r="A597" s="38"/>
      <c r="B597" s="14"/>
      <c r="C597" s="38"/>
      <c r="D597" s="38"/>
      <c r="E597" s="38"/>
      <c r="F597" s="38"/>
      <c r="G597" s="38"/>
      <c r="H597" s="14"/>
      <c r="I597" s="38"/>
      <c r="J597" s="38"/>
      <c r="K597" s="14"/>
      <c r="L597" s="14"/>
      <c r="M597" s="14"/>
      <c r="N597" s="39"/>
      <c r="O597" s="39"/>
      <c r="P597" s="39"/>
      <c r="Q597" s="39"/>
      <c r="R597" s="39"/>
      <c r="S597" s="39"/>
      <c r="T597" s="39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4"/>
      <c r="AI597" s="14"/>
      <c r="AJ597" s="14"/>
      <c r="AK597" s="14"/>
      <c r="AL597" s="14"/>
      <c r="AM597" s="14"/>
      <c r="AN597" s="14"/>
      <c r="AO597" s="14"/>
      <c r="AP597" s="14"/>
    </row>
    <row r="598" spans="1:42" ht="13">
      <c r="A598" s="38"/>
      <c r="B598" s="14"/>
      <c r="C598" s="38"/>
      <c r="D598" s="38"/>
      <c r="E598" s="38"/>
      <c r="F598" s="38"/>
      <c r="G598" s="38"/>
      <c r="H598" s="14"/>
      <c r="I598" s="38"/>
      <c r="J598" s="38"/>
      <c r="K598" s="14"/>
      <c r="L598" s="14"/>
      <c r="M598" s="14"/>
      <c r="N598" s="39"/>
      <c r="O598" s="39"/>
      <c r="P598" s="39"/>
      <c r="Q598" s="39"/>
      <c r="R598" s="39"/>
      <c r="S598" s="39"/>
      <c r="T598" s="39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  <c r="AH598" s="14"/>
      <c r="AI598" s="14"/>
      <c r="AJ598" s="14"/>
      <c r="AK598" s="14"/>
      <c r="AL598" s="14"/>
      <c r="AM598" s="14"/>
      <c r="AN598" s="14"/>
      <c r="AO598" s="14"/>
      <c r="AP598" s="14"/>
    </row>
    <row r="599" spans="1:42" ht="13">
      <c r="A599" s="38"/>
      <c r="B599" s="14"/>
      <c r="C599" s="38"/>
      <c r="D599" s="38"/>
      <c r="E599" s="38"/>
      <c r="F599" s="38"/>
      <c r="G599" s="38"/>
      <c r="H599" s="14"/>
      <c r="I599" s="38"/>
      <c r="J599" s="38"/>
      <c r="K599" s="14"/>
      <c r="L599" s="14"/>
      <c r="M599" s="14"/>
      <c r="N599" s="39"/>
      <c r="O599" s="39"/>
      <c r="P599" s="39"/>
      <c r="Q599" s="39"/>
      <c r="R599" s="39"/>
      <c r="S599" s="39"/>
      <c r="T599" s="39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  <c r="AI599" s="14"/>
      <c r="AJ599" s="14"/>
      <c r="AK599" s="14"/>
      <c r="AL599" s="14"/>
      <c r="AM599" s="14"/>
      <c r="AN599" s="14"/>
      <c r="AO599" s="14"/>
      <c r="AP599" s="14"/>
    </row>
    <row r="600" spans="1:42" ht="13">
      <c r="A600" s="38"/>
      <c r="B600" s="14"/>
      <c r="C600" s="38"/>
      <c r="D600" s="38"/>
      <c r="E600" s="38"/>
      <c r="F600" s="38"/>
      <c r="G600" s="38"/>
      <c r="H600" s="14"/>
      <c r="I600" s="38"/>
      <c r="J600" s="38"/>
      <c r="K600" s="14"/>
      <c r="L600" s="14"/>
      <c r="M600" s="14"/>
      <c r="N600" s="39"/>
      <c r="O600" s="39"/>
      <c r="P600" s="39"/>
      <c r="Q600" s="39"/>
      <c r="R600" s="39"/>
      <c r="S600" s="39"/>
      <c r="T600" s="39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  <c r="AH600" s="14"/>
      <c r="AI600" s="14"/>
      <c r="AJ600" s="14"/>
      <c r="AK600" s="14"/>
      <c r="AL600" s="14"/>
      <c r="AM600" s="14"/>
      <c r="AN600" s="14"/>
      <c r="AO600" s="14"/>
      <c r="AP600" s="14"/>
    </row>
    <row r="601" spans="1:42" ht="13">
      <c r="A601" s="38"/>
      <c r="B601" s="14"/>
      <c r="C601" s="38"/>
      <c r="D601" s="38"/>
      <c r="E601" s="38"/>
      <c r="F601" s="38"/>
      <c r="G601" s="38"/>
      <c r="H601" s="14"/>
      <c r="I601" s="38"/>
      <c r="J601" s="38"/>
      <c r="K601" s="14"/>
      <c r="L601" s="14"/>
      <c r="M601" s="14"/>
      <c r="N601" s="39"/>
      <c r="O601" s="39"/>
      <c r="P601" s="39"/>
      <c r="Q601" s="39"/>
      <c r="R601" s="39"/>
      <c r="S601" s="39"/>
      <c r="T601" s="39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  <c r="AH601" s="14"/>
      <c r="AI601" s="14"/>
      <c r="AJ601" s="14"/>
      <c r="AK601" s="14"/>
      <c r="AL601" s="14"/>
      <c r="AM601" s="14"/>
      <c r="AN601" s="14"/>
      <c r="AO601" s="14"/>
      <c r="AP601" s="14"/>
    </row>
    <row r="602" spans="1:42" ht="13">
      <c r="A602" s="38"/>
      <c r="B602" s="14"/>
      <c r="C602" s="38"/>
      <c r="D602" s="38"/>
      <c r="E602" s="38"/>
      <c r="F602" s="38"/>
      <c r="G602" s="38"/>
      <c r="H602" s="14"/>
      <c r="I602" s="38"/>
      <c r="J602" s="38"/>
      <c r="K602" s="14"/>
      <c r="L602" s="14"/>
      <c r="M602" s="14"/>
      <c r="N602" s="39"/>
      <c r="O602" s="39"/>
      <c r="P602" s="39"/>
      <c r="Q602" s="39"/>
      <c r="R602" s="39"/>
      <c r="S602" s="39"/>
      <c r="T602" s="39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  <c r="AH602" s="14"/>
      <c r="AI602" s="14"/>
      <c r="AJ602" s="14"/>
      <c r="AK602" s="14"/>
      <c r="AL602" s="14"/>
      <c r="AM602" s="14"/>
      <c r="AN602" s="14"/>
      <c r="AO602" s="14"/>
      <c r="AP602" s="14"/>
    </row>
    <row r="603" spans="1:42" ht="13">
      <c r="A603" s="38"/>
      <c r="B603" s="14"/>
      <c r="C603" s="38"/>
      <c r="D603" s="38"/>
      <c r="E603" s="38"/>
      <c r="F603" s="38"/>
      <c r="G603" s="38"/>
      <c r="H603" s="14"/>
      <c r="I603" s="38"/>
      <c r="J603" s="38"/>
      <c r="K603" s="14"/>
      <c r="L603" s="14"/>
      <c r="M603" s="14"/>
      <c r="N603" s="39"/>
      <c r="O603" s="39"/>
      <c r="P603" s="39"/>
      <c r="Q603" s="39"/>
      <c r="R603" s="39"/>
      <c r="S603" s="39"/>
      <c r="T603" s="39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  <c r="AI603" s="14"/>
      <c r="AJ603" s="14"/>
      <c r="AK603" s="14"/>
      <c r="AL603" s="14"/>
      <c r="AM603" s="14"/>
      <c r="AN603" s="14"/>
      <c r="AO603" s="14"/>
      <c r="AP603" s="14"/>
    </row>
    <row r="604" spans="1:42" ht="13">
      <c r="A604" s="38"/>
      <c r="B604" s="14"/>
      <c r="C604" s="38"/>
      <c r="D604" s="38"/>
      <c r="E604" s="38"/>
      <c r="F604" s="38"/>
      <c r="G604" s="38"/>
      <c r="H604" s="14"/>
      <c r="I604" s="38"/>
      <c r="J604" s="38"/>
      <c r="K604" s="14"/>
      <c r="L604" s="14"/>
      <c r="M604" s="14"/>
      <c r="N604" s="39"/>
      <c r="O604" s="39"/>
      <c r="P604" s="39"/>
      <c r="Q604" s="39"/>
      <c r="R604" s="39"/>
      <c r="S604" s="39"/>
      <c r="T604" s="39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  <c r="AH604" s="14"/>
      <c r="AI604" s="14"/>
      <c r="AJ604" s="14"/>
      <c r="AK604" s="14"/>
      <c r="AL604" s="14"/>
      <c r="AM604" s="14"/>
      <c r="AN604" s="14"/>
      <c r="AO604" s="14"/>
      <c r="AP604" s="14"/>
    </row>
    <row r="605" spans="1:42" ht="13">
      <c r="A605" s="38"/>
      <c r="B605" s="14"/>
      <c r="C605" s="38"/>
      <c r="D605" s="38"/>
      <c r="E605" s="38"/>
      <c r="F605" s="38"/>
      <c r="G605" s="38"/>
      <c r="H605" s="14"/>
      <c r="I605" s="38"/>
      <c r="J605" s="38"/>
      <c r="K605" s="14"/>
      <c r="L605" s="14"/>
      <c r="M605" s="14"/>
      <c r="N605" s="39"/>
      <c r="O605" s="39"/>
      <c r="P605" s="39"/>
      <c r="Q605" s="39"/>
      <c r="R605" s="39"/>
      <c r="S605" s="39"/>
      <c r="T605" s="39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  <c r="AI605" s="14"/>
      <c r="AJ605" s="14"/>
      <c r="AK605" s="14"/>
      <c r="AL605" s="14"/>
      <c r="AM605" s="14"/>
      <c r="AN605" s="14"/>
      <c r="AO605" s="14"/>
      <c r="AP605" s="14"/>
    </row>
    <row r="606" spans="1:42" ht="13">
      <c r="A606" s="38"/>
      <c r="B606" s="14"/>
      <c r="C606" s="38"/>
      <c r="D606" s="38"/>
      <c r="E606" s="38"/>
      <c r="F606" s="38"/>
      <c r="G606" s="38"/>
      <c r="H606" s="14"/>
      <c r="I606" s="38"/>
      <c r="J606" s="38"/>
      <c r="K606" s="14"/>
      <c r="L606" s="14"/>
      <c r="M606" s="14"/>
      <c r="N606" s="39"/>
      <c r="O606" s="39"/>
      <c r="P606" s="39"/>
      <c r="Q606" s="39"/>
      <c r="R606" s="39"/>
      <c r="S606" s="39"/>
      <c r="T606" s="39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  <c r="AH606" s="14"/>
      <c r="AI606" s="14"/>
      <c r="AJ606" s="14"/>
      <c r="AK606" s="14"/>
      <c r="AL606" s="14"/>
      <c r="AM606" s="14"/>
      <c r="AN606" s="14"/>
      <c r="AO606" s="14"/>
      <c r="AP606" s="14"/>
    </row>
    <row r="607" spans="1:42" ht="13">
      <c r="A607" s="38"/>
      <c r="B607" s="14"/>
      <c r="C607" s="38"/>
      <c r="D607" s="38"/>
      <c r="E607" s="38"/>
      <c r="F607" s="38"/>
      <c r="G607" s="38"/>
      <c r="H607" s="14"/>
      <c r="I607" s="38"/>
      <c r="J607" s="38"/>
      <c r="K607" s="14"/>
      <c r="L607" s="14"/>
      <c r="M607" s="14"/>
      <c r="N607" s="39"/>
      <c r="O607" s="39"/>
      <c r="P607" s="39"/>
      <c r="Q607" s="39"/>
      <c r="R607" s="39"/>
      <c r="S607" s="39"/>
      <c r="T607" s="39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  <c r="AH607" s="14"/>
      <c r="AI607" s="14"/>
      <c r="AJ607" s="14"/>
      <c r="AK607" s="14"/>
      <c r="AL607" s="14"/>
      <c r="AM607" s="14"/>
      <c r="AN607" s="14"/>
      <c r="AO607" s="14"/>
      <c r="AP607" s="14"/>
    </row>
    <row r="608" spans="1:42" ht="13">
      <c r="A608" s="38"/>
      <c r="B608" s="14"/>
      <c r="C608" s="38"/>
      <c r="D608" s="38"/>
      <c r="E608" s="38"/>
      <c r="F608" s="38"/>
      <c r="G608" s="38"/>
      <c r="H608" s="14"/>
      <c r="I608" s="38"/>
      <c r="J608" s="38"/>
      <c r="K608" s="14"/>
      <c r="L608" s="14"/>
      <c r="M608" s="14"/>
      <c r="N608" s="39"/>
      <c r="O608" s="39"/>
      <c r="P608" s="39"/>
      <c r="Q608" s="39"/>
      <c r="R608" s="39"/>
      <c r="S608" s="39"/>
      <c r="T608" s="39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  <c r="AH608" s="14"/>
      <c r="AI608" s="14"/>
      <c r="AJ608" s="14"/>
      <c r="AK608" s="14"/>
      <c r="AL608" s="14"/>
      <c r="AM608" s="14"/>
      <c r="AN608" s="14"/>
      <c r="AO608" s="14"/>
      <c r="AP608" s="14"/>
    </row>
    <row r="609" spans="1:42" ht="13">
      <c r="A609" s="38"/>
      <c r="B609" s="14"/>
      <c r="C609" s="38"/>
      <c r="D609" s="38"/>
      <c r="E609" s="38"/>
      <c r="F609" s="38"/>
      <c r="G609" s="38"/>
      <c r="H609" s="14"/>
      <c r="I609" s="38"/>
      <c r="J609" s="38"/>
      <c r="K609" s="14"/>
      <c r="L609" s="14"/>
      <c r="M609" s="14"/>
      <c r="N609" s="39"/>
      <c r="O609" s="39"/>
      <c r="P609" s="39"/>
      <c r="Q609" s="39"/>
      <c r="R609" s="39"/>
      <c r="S609" s="39"/>
      <c r="T609" s="39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  <c r="AH609" s="14"/>
      <c r="AI609" s="14"/>
      <c r="AJ609" s="14"/>
      <c r="AK609" s="14"/>
      <c r="AL609" s="14"/>
      <c r="AM609" s="14"/>
      <c r="AN609" s="14"/>
      <c r="AO609" s="14"/>
      <c r="AP609" s="14"/>
    </row>
    <row r="610" spans="1:42" ht="13">
      <c r="A610" s="38"/>
      <c r="B610" s="14"/>
      <c r="C610" s="38"/>
      <c r="D610" s="38"/>
      <c r="E610" s="38"/>
      <c r="F610" s="38"/>
      <c r="G610" s="38"/>
      <c r="H610" s="14"/>
      <c r="I610" s="38"/>
      <c r="J610" s="38"/>
      <c r="K610" s="14"/>
      <c r="L610" s="14"/>
      <c r="M610" s="14"/>
      <c r="N610" s="39"/>
      <c r="O610" s="39"/>
      <c r="P610" s="39"/>
      <c r="Q610" s="39"/>
      <c r="R610" s="39"/>
      <c r="S610" s="39"/>
      <c r="T610" s="39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  <c r="AH610" s="14"/>
      <c r="AI610" s="14"/>
      <c r="AJ610" s="14"/>
      <c r="AK610" s="14"/>
      <c r="AL610" s="14"/>
      <c r="AM610" s="14"/>
      <c r="AN610" s="14"/>
      <c r="AO610" s="14"/>
      <c r="AP610" s="14"/>
    </row>
    <row r="611" spans="1:42" ht="13">
      <c r="A611" s="38"/>
      <c r="B611" s="14"/>
      <c r="C611" s="38"/>
      <c r="D611" s="38"/>
      <c r="E611" s="38"/>
      <c r="F611" s="38"/>
      <c r="G611" s="38"/>
      <c r="H611" s="14"/>
      <c r="I611" s="38"/>
      <c r="J611" s="38"/>
      <c r="K611" s="14"/>
      <c r="L611" s="14"/>
      <c r="M611" s="14"/>
      <c r="N611" s="39"/>
      <c r="O611" s="39"/>
      <c r="P611" s="39"/>
      <c r="Q611" s="39"/>
      <c r="R611" s="39"/>
      <c r="S611" s="39"/>
      <c r="T611" s="39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  <c r="AH611" s="14"/>
      <c r="AI611" s="14"/>
      <c r="AJ611" s="14"/>
      <c r="AK611" s="14"/>
      <c r="AL611" s="14"/>
      <c r="AM611" s="14"/>
      <c r="AN611" s="14"/>
      <c r="AO611" s="14"/>
      <c r="AP611" s="14"/>
    </row>
    <row r="612" spans="1:42" ht="13">
      <c r="A612" s="38"/>
      <c r="B612" s="14"/>
      <c r="C612" s="38"/>
      <c r="D612" s="38"/>
      <c r="E612" s="38"/>
      <c r="F612" s="38"/>
      <c r="G612" s="38"/>
      <c r="H612" s="14"/>
      <c r="I612" s="38"/>
      <c r="J612" s="38"/>
      <c r="K612" s="14"/>
      <c r="L612" s="14"/>
      <c r="M612" s="14"/>
      <c r="N612" s="39"/>
      <c r="O612" s="39"/>
      <c r="P612" s="39"/>
      <c r="Q612" s="39"/>
      <c r="R612" s="39"/>
      <c r="S612" s="39"/>
      <c r="T612" s="39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  <c r="AH612" s="14"/>
      <c r="AI612" s="14"/>
      <c r="AJ612" s="14"/>
      <c r="AK612" s="14"/>
      <c r="AL612" s="14"/>
      <c r="AM612" s="14"/>
      <c r="AN612" s="14"/>
      <c r="AO612" s="14"/>
      <c r="AP612" s="14"/>
    </row>
    <row r="613" spans="1:42" ht="13">
      <c r="A613" s="38"/>
      <c r="B613" s="14"/>
      <c r="C613" s="38"/>
      <c r="D613" s="38"/>
      <c r="E613" s="38"/>
      <c r="F613" s="38"/>
      <c r="G613" s="38"/>
      <c r="H613" s="14"/>
      <c r="I613" s="38"/>
      <c r="J613" s="38"/>
      <c r="K613" s="14"/>
      <c r="L613" s="14"/>
      <c r="M613" s="14"/>
      <c r="N613" s="39"/>
      <c r="O613" s="39"/>
      <c r="P613" s="39"/>
      <c r="Q613" s="39"/>
      <c r="R613" s="39"/>
      <c r="S613" s="39"/>
      <c r="T613" s="39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  <c r="AH613" s="14"/>
      <c r="AI613" s="14"/>
      <c r="AJ613" s="14"/>
      <c r="AK613" s="14"/>
      <c r="AL613" s="14"/>
      <c r="AM613" s="14"/>
      <c r="AN613" s="14"/>
      <c r="AO613" s="14"/>
      <c r="AP613" s="14"/>
    </row>
    <row r="614" spans="1:42" ht="13">
      <c r="A614" s="38"/>
      <c r="B614" s="14"/>
      <c r="C614" s="38"/>
      <c r="D614" s="38"/>
      <c r="E614" s="38"/>
      <c r="F614" s="38"/>
      <c r="G614" s="38"/>
      <c r="H614" s="14"/>
      <c r="I614" s="38"/>
      <c r="J614" s="38"/>
      <c r="K614" s="14"/>
      <c r="L614" s="14"/>
      <c r="M614" s="14"/>
      <c r="N614" s="39"/>
      <c r="O614" s="39"/>
      <c r="P614" s="39"/>
      <c r="Q614" s="39"/>
      <c r="R614" s="39"/>
      <c r="S614" s="39"/>
      <c r="T614" s="39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  <c r="AH614" s="14"/>
      <c r="AI614" s="14"/>
      <c r="AJ614" s="14"/>
      <c r="AK614" s="14"/>
      <c r="AL614" s="14"/>
      <c r="AM614" s="14"/>
      <c r="AN614" s="14"/>
      <c r="AO614" s="14"/>
      <c r="AP614" s="14"/>
    </row>
    <row r="615" spans="1:42" ht="13">
      <c r="A615" s="38"/>
      <c r="B615" s="14"/>
      <c r="C615" s="38"/>
      <c r="D615" s="38"/>
      <c r="E615" s="38"/>
      <c r="F615" s="38"/>
      <c r="G615" s="38"/>
      <c r="H615" s="14"/>
      <c r="I615" s="38"/>
      <c r="J615" s="38"/>
      <c r="K615" s="14"/>
      <c r="L615" s="14"/>
      <c r="M615" s="14"/>
      <c r="N615" s="39"/>
      <c r="O615" s="39"/>
      <c r="P615" s="39"/>
      <c r="Q615" s="39"/>
      <c r="R615" s="39"/>
      <c r="S615" s="39"/>
      <c r="T615" s="39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  <c r="AH615" s="14"/>
      <c r="AI615" s="14"/>
      <c r="AJ615" s="14"/>
      <c r="AK615" s="14"/>
      <c r="AL615" s="14"/>
      <c r="AM615" s="14"/>
      <c r="AN615" s="14"/>
      <c r="AO615" s="14"/>
      <c r="AP615" s="14"/>
    </row>
    <row r="616" spans="1:42" ht="13">
      <c r="A616" s="38"/>
      <c r="B616" s="14"/>
      <c r="C616" s="38"/>
      <c r="D616" s="38"/>
      <c r="E616" s="38"/>
      <c r="F616" s="38"/>
      <c r="G616" s="38"/>
      <c r="H616" s="14"/>
      <c r="I616" s="38"/>
      <c r="J616" s="38"/>
      <c r="K616" s="14"/>
      <c r="L616" s="14"/>
      <c r="M616" s="14"/>
      <c r="N616" s="39"/>
      <c r="O616" s="39"/>
      <c r="P616" s="39"/>
      <c r="Q616" s="39"/>
      <c r="R616" s="39"/>
      <c r="S616" s="39"/>
      <c r="T616" s="39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  <c r="AH616" s="14"/>
      <c r="AI616" s="14"/>
      <c r="AJ616" s="14"/>
      <c r="AK616" s="14"/>
      <c r="AL616" s="14"/>
      <c r="AM616" s="14"/>
      <c r="AN616" s="14"/>
      <c r="AO616" s="14"/>
      <c r="AP616" s="14"/>
    </row>
    <row r="617" spans="1:42" ht="13">
      <c r="A617" s="38"/>
      <c r="B617" s="14"/>
      <c r="C617" s="38"/>
      <c r="D617" s="38"/>
      <c r="E617" s="38"/>
      <c r="F617" s="38"/>
      <c r="G617" s="38"/>
      <c r="H617" s="14"/>
      <c r="I617" s="38"/>
      <c r="J617" s="38"/>
      <c r="K617" s="14"/>
      <c r="L617" s="14"/>
      <c r="M617" s="14"/>
      <c r="N617" s="39"/>
      <c r="O617" s="39"/>
      <c r="P617" s="39"/>
      <c r="Q617" s="39"/>
      <c r="R617" s="39"/>
      <c r="S617" s="39"/>
      <c r="T617" s="39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  <c r="AI617" s="14"/>
      <c r="AJ617" s="14"/>
      <c r="AK617" s="14"/>
      <c r="AL617" s="14"/>
      <c r="AM617" s="14"/>
      <c r="AN617" s="14"/>
      <c r="AO617" s="14"/>
      <c r="AP617" s="14"/>
    </row>
    <row r="618" spans="1:42" ht="13">
      <c r="A618" s="38"/>
      <c r="B618" s="14"/>
      <c r="C618" s="38"/>
      <c r="D618" s="38"/>
      <c r="E618" s="38"/>
      <c r="F618" s="38"/>
      <c r="G618" s="38"/>
      <c r="H618" s="14"/>
      <c r="I618" s="38"/>
      <c r="J618" s="38"/>
      <c r="K618" s="14"/>
      <c r="L618" s="14"/>
      <c r="M618" s="14"/>
      <c r="N618" s="39"/>
      <c r="O618" s="39"/>
      <c r="P618" s="39"/>
      <c r="Q618" s="39"/>
      <c r="R618" s="39"/>
      <c r="S618" s="39"/>
      <c r="T618" s="39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  <c r="AH618" s="14"/>
      <c r="AI618" s="14"/>
      <c r="AJ618" s="14"/>
      <c r="AK618" s="14"/>
      <c r="AL618" s="14"/>
      <c r="AM618" s="14"/>
      <c r="AN618" s="14"/>
      <c r="AO618" s="14"/>
      <c r="AP618" s="14"/>
    </row>
    <row r="619" spans="1:42" ht="13">
      <c r="A619" s="38"/>
      <c r="B619" s="14"/>
      <c r="C619" s="38"/>
      <c r="D619" s="38"/>
      <c r="E619" s="38"/>
      <c r="F619" s="38"/>
      <c r="G619" s="38"/>
      <c r="H619" s="14"/>
      <c r="I619" s="38"/>
      <c r="J619" s="38"/>
      <c r="K619" s="14"/>
      <c r="L619" s="14"/>
      <c r="M619" s="14"/>
      <c r="N619" s="39"/>
      <c r="O619" s="39"/>
      <c r="P619" s="39"/>
      <c r="Q619" s="39"/>
      <c r="R619" s="39"/>
      <c r="S619" s="39"/>
      <c r="T619" s="39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  <c r="AI619" s="14"/>
      <c r="AJ619" s="14"/>
      <c r="AK619" s="14"/>
      <c r="AL619" s="14"/>
      <c r="AM619" s="14"/>
      <c r="AN619" s="14"/>
      <c r="AO619" s="14"/>
      <c r="AP619" s="14"/>
    </row>
    <row r="620" spans="1:42" ht="13">
      <c r="A620" s="38"/>
      <c r="B620" s="14"/>
      <c r="C620" s="38"/>
      <c r="D620" s="38"/>
      <c r="E620" s="38"/>
      <c r="F620" s="38"/>
      <c r="G620" s="38"/>
      <c r="H620" s="14"/>
      <c r="I620" s="38"/>
      <c r="J620" s="38"/>
      <c r="K620" s="14"/>
      <c r="L620" s="14"/>
      <c r="M620" s="14"/>
      <c r="N620" s="39"/>
      <c r="O620" s="39"/>
      <c r="P620" s="39"/>
      <c r="Q620" s="39"/>
      <c r="R620" s="39"/>
      <c r="S620" s="39"/>
      <c r="T620" s="39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  <c r="AH620" s="14"/>
      <c r="AI620" s="14"/>
      <c r="AJ620" s="14"/>
      <c r="AK620" s="14"/>
      <c r="AL620" s="14"/>
      <c r="AM620" s="14"/>
      <c r="AN620" s="14"/>
      <c r="AO620" s="14"/>
      <c r="AP620" s="14"/>
    </row>
    <row r="621" spans="1:42" ht="13">
      <c r="A621" s="38"/>
      <c r="B621" s="14"/>
      <c r="C621" s="38"/>
      <c r="D621" s="38"/>
      <c r="E621" s="38"/>
      <c r="F621" s="38"/>
      <c r="G621" s="38"/>
      <c r="H621" s="14"/>
      <c r="I621" s="38"/>
      <c r="J621" s="38"/>
      <c r="K621" s="14"/>
      <c r="L621" s="14"/>
      <c r="M621" s="14"/>
      <c r="N621" s="39"/>
      <c r="O621" s="39"/>
      <c r="P621" s="39"/>
      <c r="Q621" s="39"/>
      <c r="R621" s="39"/>
      <c r="S621" s="39"/>
      <c r="T621" s="39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  <c r="AH621" s="14"/>
      <c r="AI621" s="14"/>
      <c r="AJ621" s="14"/>
      <c r="AK621" s="14"/>
      <c r="AL621" s="14"/>
      <c r="AM621" s="14"/>
      <c r="AN621" s="14"/>
      <c r="AO621" s="14"/>
      <c r="AP621" s="14"/>
    </row>
    <row r="622" spans="1:42" ht="13">
      <c r="A622" s="38"/>
      <c r="B622" s="14"/>
      <c r="C622" s="38"/>
      <c r="D622" s="38"/>
      <c r="E622" s="38"/>
      <c r="F622" s="38"/>
      <c r="G622" s="38"/>
      <c r="H622" s="14"/>
      <c r="I622" s="38"/>
      <c r="J622" s="38"/>
      <c r="K622" s="14"/>
      <c r="L622" s="14"/>
      <c r="M622" s="14"/>
      <c r="N622" s="39"/>
      <c r="O622" s="39"/>
      <c r="P622" s="39"/>
      <c r="Q622" s="39"/>
      <c r="R622" s="39"/>
      <c r="S622" s="39"/>
      <c r="T622" s="39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  <c r="AH622" s="14"/>
      <c r="AI622" s="14"/>
      <c r="AJ622" s="14"/>
      <c r="AK622" s="14"/>
      <c r="AL622" s="14"/>
      <c r="AM622" s="14"/>
      <c r="AN622" s="14"/>
      <c r="AO622" s="14"/>
      <c r="AP622" s="14"/>
    </row>
    <row r="623" spans="1:42" ht="13">
      <c r="A623" s="38"/>
      <c r="B623" s="14"/>
      <c r="C623" s="38"/>
      <c r="D623" s="38"/>
      <c r="E623" s="38"/>
      <c r="F623" s="38"/>
      <c r="G623" s="38"/>
      <c r="H623" s="14"/>
      <c r="I623" s="38"/>
      <c r="J623" s="38"/>
      <c r="K623" s="14"/>
      <c r="L623" s="14"/>
      <c r="M623" s="14"/>
      <c r="N623" s="39"/>
      <c r="O623" s="39"/>
      <c r="P623" s="39"/>
      <c r="Q623" s="39"/>
      <c r="R623" s="39"/>
      <c r="S623" s="39"/>
      <c r="T623" s="39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  <c r="AH623" s="14"/>
      <c r="AI623" s="14"/>
      <c r="AJ623" s="14"/>
      <c r="AK623" s="14"/>
      <c r="AL623" s="14"/>
      <c r="AM623" s="14"/>
      <c r="AN623" s="14"/>
      <c r="AO623" s="14"/>
      <c r="AP623" s="14"/>
    </row>
    <row r="624" spans="1:42" ht="13">
      <c r="A624" s="38"/>
      <c r="B624" s="14"/>
      <c r="C624" s="38"/>
      <c r="D624" s="38"/>
      <c r="E624" s="38"/>
      <c r="F624" s="38"/>
      <c r="G624" s="38"/>
      <c r="H624" s="14"/>
      <c r="I624" s="38"/>
      <c r="J624" s="38"/>
      <c r="K624" s="14"/>
      <c r="L624" s="14"/>
      <c r="M624" s="14"/>
      <c r="N624" s="39"/>
      <c r="O624" s="39"/>
      <c r="P624" s="39"/>
      <c r="Q624" s="39"/>
      <c r="R624" s="39"/>
      <c r="S624" s="39"/>
      <c r="T624" s="39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  <c r="AH624" s="14"/>
      <c r="AI624" s="14"/>
      <c r="AJ624" s="14"/>
      <c r="AK624" s="14"/>
      <c r="AL624" s="14"/>
      <c r="AM624" s="14"/>
      <c r="AN624" s="14"/>
      <c r="AO624" s="14"/>
      <c r="AP624" s="14"/>
    </row>
    <row r="625" spans="1:42" ht="13">
      <c r="A625" s="38"/>
      <c r="B625" s="14"/>
      <c r="C625" s="38"/>
      <c r="D625" s="38"/>
      <c r="E625" s="38"/>
      <c r="F625" s="38"/>
      <c r="G625" s="38"/>
      <c r="H625" s="14"/>
      <c r="I625" s="38"/>
      <c r="J625" s="38"/>
      <c r="K625" s="14"/>
      <c r="L625" s="14"/>
      <c r="M625" s="14"/>
      <c r="N625" s="39"/>
      <c r="O625" s="39"/>
      <c r="P625" s="39"/>
      <c r="Q625" s="39"/>
      <c r="R625" s="39"/>
      <c r="S625" s="39"/>
      <c r="T625" s="39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  <c r="AH625" s="14"/>
      <c r="AI625" s="14"/>
      <c r="AJ625" s="14"/>
      <c r="AK625" s="14"/>
      <c r="AL625" s="14"/>
      <c r="AM625" s="14"/>
      <c r="AN625" s="14"/>
      <c r="AO625" s="14"/>
      <c r="AP625" s="14"/>
    </row>
    <row r="626" spans="1:42" ht="13">
      <c r="A626" s="38"/>
      <c r="B626" s="14"/>
      <c r="C626" s="38"/>
      <c r="D626" s="38"/>
      <c r="E626" s="38"/>
      <c r="F626" s="38"/>
      <c r="G626" s="38"/>
      <c r="H626" s="14"/>
      <c r="I626" s="38"/>
      <c r="J626" s="38"/>
      <c r="K626" s="14"/>
      <c r="L626" s="14"/>
      <c r="M626" s="14"/>
      <c r="N626" s="39"/>
      <c r="O626" s="39"/>
      <c r="P626" s="39"/>
      <c r="Q626" s="39"/>
      <c r="R626" s="39"/>
      <c r="S626" s="39"/>
      <c r="T626" s="39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  <c r="AH626" s="14"/>
      <c r="AI626" s="14"/>
      <c r="AJ626" s="14"/>
      <c r="AK626" s="14"/>
      <c r="AL626" s="14"/>
      <c r="AM626" s="14"/>
      <c r="AN626" s="14"/>
      <c r="AO626" s="14"/>
      <c r="AP626" s="14"/>
    </row>
    <row r="627" spans="1:42" ht="13">
      <c r="A627" s="38"/>
      <c r="B627" s="14"/>
      <c r="C627" s="38"/>
      <c r="D627" s="38"/>
      <c r="E627" s="38"/>
      <c r="F627" s="38"/>
      <c r="G627" s="38"/>
      <c r="H627" s="14"/>
      <c r="I627" s="38"/>
      <c r="J627" s="38"/>
      <c r="K627" s="14"/>
      <c r="L627" s="14"/>
      <c r="M627" s="14"/>
      <c r="N627" s="39"/>
      <c r="O627" s="39"/>
      <c r="P627" s="39"/>
      <c r="Q627" s="39"/>
      <c r="R627" s="39"/>
      <c r="S627" s="39"/>
      <c r="T627" s="39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  <c r="AH627" s="14"/>
      <c r="AI627" s="14"/>
      <c r="AJ627" s="14"/>
      <c r="AK627" s="14"/>
      <c r="AL627" s="14"/>
      <c r="AM627" s="14"/>
      <c r="AN627" s="14"/>
      <c r="AO627" s="14"/>
      <c r="AP627" s="14"/>
    </row>
    <row r="628" spans="1:42" ht="13">
      <c r="A628" s="38"/>
      <c r="B628" s="14"/>
      <c r="C628" s="38"/>
      <c r="D628" s="38"/>
      <c r="E628" s="38"/>
      <c r="F628" s="38"/>
      <c r="G628" s="38"/>
      <c r="H628" s="14"/>
      <c r="I628" s="38"/>
      <c r="J628" s="38"/>
      <c r="K628" s="14"/>
      <c r="L628" s="14"/>
      <c r="M628" s="14"/>
      <c r="N628" s="39"/>
      <c r="O628" s="39"/>
      <c r="P628" s="39"/>
      <c r="Q628" s="39"/>
      <c r="R628" s="39"/>
      <c r="S628" s="39"/>
      <c r="T628" s="39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  <c r="AH628" s="14"/>
      <c r="AI628" s="14"/>
      <c r="AJ628" s="14"/>
      <c r="AK628" s="14"/>
      <c r="AL628" s="14"/>
      <c r="AM628" s="14"/>
      <c r="AN628" s="14"/>
      <c r="AO628" s="14"/>
      <c r="AP628" s="14"/>
    </row>
    <row r="629" spans="1:42" ht="13">
      <c r="A629" s="38"/>
      <c r="B629" s="14"/>
      <c r="C629" s="38"/>
      <c r="D629" s="38"/>
      <c r="E629" s="38"/>
      <c r="F629" s="38"/>
      <c r="G629" s="38"/>
      <c r="H629" s="14"/>
      <c r="I629" s="38"/>
      <c r="J629" s="38"/>
      <c r="K629" s="14"/>
      <c r="L629" s="14"/>
      <c r="M629" s="14"/>
      <c r="N629" s="39"/>
      <c r="O629" s="39"/>
      <c r="P629" s="39"/>
      <c r="Q629" s="39"/>
      <c r="R629" s="39"/>
      <c r="S629" s="39"/>
      <c r="T629" s="39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  <c r="AH629" s="14"/>
      <c r="AI629" s="14"/>
      <c r="AJ629" s="14"/>
      <c r="AK629" s="14"/>
      <c r="AL629" s="14"/>
      <c r="AM629" s="14"/>
      <c r="AN629" s="14"/>
      <c r="AO629" s="14"/>
      <c r="AP629" s="14"/>
    </row>
    <row r="630" spans="1:42" ht="13">
      <c r="A630" s="38"/>
      <c r="B630" s="14"/>
      <c r="C630" s="38"/>
      <c r="D630" s="38"/>
      <c r="E630" s="38"/>
      <c r="F630" s="38"/>
      <c r="G630" s="38"/>
      <c r="H630" s="14"/>
      <c r="I630" s="38"/>
      <c r="J630" s="38"/>
      <c r="K630" s="14"/>
      <c r="L630" s="14"/>
      <c r="M630" s="14"/>
      <c r="N630" s="39"/>
      <c r="O630" s="39"/>
      <c r="P630" s="39"/>
      <c r="Q630" s="39"/>
      <c r="R630" s="39"/>
      <c r="S630" s="39"/>
      <c r="T630" s="39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  <c r="AH630" s="14"/>
      <c r="AI630" s="14"/>
      <c r="AJ630" s="14"/>
      <c r="AK630" s="14"/>
      <c r="AL630" s="14"/>
      <c r="AM630" s="14"/>
      <c r="AN630" s="14"/>
      <c r="AO630" s="14"/>
      <c r="AP630" s="14"/>
    </row>
    <row r="631" spans="1:42" ht="13">
      <c r="A631" s="38"/>
      <c r="B631" s="14"/>
      <c r="C631" s="38"/>
      <c r="D631" s="38"/>
      <c r="E631" s="38"/>
      <c r="F631" s="38"/>
      <c r="G631" s="38"/>
      <c r="H631" s="14"/>
      <c r="I631" s="38"/>
      <c r="J631" s="38"/>
      <c r="K631" s="14"/>
      <c r="L631" s="14"/>
      <c r="M631" s="14"/>
      <c r="N631" s="39"/>
      <c r="O631" s="39"/>
      <c r="P631" s="39"/>
      <c r="Q631" s="39"/>
      <c r="R631" s="39"/>
      <c r="S631" s="39"/>
      <c r="T631" s="39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  <c r="AH631" s="14"/>
      <c r="AI631" s="14"/>
      <c r="AJ631" s="14"/>
      <c r="AK631" s="14"/>
      <c r="AL631" s="14"/>
      <c r="AM631" s="14"/>
      <c r="AN631" s="14"/>
      <c r="AO631" s="14"/>
      <c r="AP631" s="14"/>
    </row>
    <row r="632" spans="1:42" ht="13">
      <c r="A632" s="38"/>
      <c r="B632" s="14"/>
      <c r="C632" s="38"/>
      <c r="D632" s="38"/>
      <c r="E632" s="38"/>
      <c r="F632" s="38"/>
      <c r="G632" s="38"/>
      <c r="H632" s="14"/>
      <c r="I632" s="38"/>
      <c r="J632" s="38"/>
      <c r="K632" s="14"/>
      <c r="L632" s="14"/>
      <c r="M632" s="14"/>
      <c r="N632" s="39"/>
      <c r="O632" s="39"/>
      <c r="P632" s="39"/>
      <c r="Q632" s="39"/>
      <c r="R632" s="39"/>
      <c r="S632" s="39"/>
      <c r="T632" s="39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  <c r="AH632" s="14"/>
      <c r="AI632" s="14"/>
      <c r="AJ632" s="14"/>
      <c r="AK632" s="14"/>
      <c r="AL632" s="14"/>
      <c r="AM632" s="14"/>
      <c r="AN632" s="14"/>
      <c r="AO632" s="14"/>
      <c r="AP632" s="14"/>
    </row>
    <row r="633" spans="1:42" ht="13">
      <c r="A633" s="38"/>
      <c r="B633" s="14"/>
      <c r="C633" s="38"/>
      <c r="D633" s="38"/>
      <c r="E633" s="38"/>
      <c r="F633" s="38"/>
      <c r="G633" s="38"/>
      <c r="H633" s="14"/>
      <c r="I633" s="38"/>
      <c r="J633" s="38"/>
      <c r="K633" s="14"/>
      <c r="L633" s="14"/>
      <c r="M633" s="14"/>
      <c r="N633" s="39"/>
      <c r="O633" s="39"/>
      <c r="P633" s="39"/>
      <c r="Q633" s="39"/>
      <c r="R633" s="39"/>
      <c r="S633" s="39"/>
      <c r="T633" s="39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  <c r="AH633" s="14"/>
      <c r="AI633" s="14"/>
      <c r="AJ633" s="14"/>
      <c r="AK633" s="14"/>
      <c r="AL633" s="14"/>
      <c r="AM633" s="14"/>
      <c r="AN633" s="14"/>
      <c r="AO633" s="14"/>
      <c r="AP633" s="14"/>
    </row>
    <row r="634" spans="1:42" ht="13">
      <c r="A634" s="38"/>
      <c r="B634" s="14"/>
      <c r="C634" s="38"/>
      <c r="D634" s="38"/>
      <c r="E634" s="38"/>
      <c r="F634" s="38"/>
      <c r="G634" s="38"/>
      <c r="H634" s="14"/>
      <c r="I634" s="38"/>
      <c r="J634" s="38"/>
      <c r="K634" s="14"/>
      <c r="L634" s="14"/>
      <c r="M634" s="14"/>
      <c r="N634" s="39"/>
      <c r="O634" s="39"/>
      <c r="P634" s="39"/>
      <c r="Q634" s="39"/>
      <c r="R634" s="39"/>
      <c r="S634" s="39"/>
      <c r="T634" s="39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  <c r="AH634" s="14"/>
      <c r="AI634" s="14"/>
      <c r="AJ634" s="14"/>
      <c r="AK634" s="14"/>
      <c r="AL634" s="14"/>
      <c r="AM634" s="14"/>
      <c r="AN634" s="14"/>
      <c r="AO634" s="14"/>
      <c r="AP634" s="14"/>
    </row>
    <row r="635" spans="1:42" ht="13">
      <c r="A635" s="38"/>
      <c r="B635" s="14"/>
      <c r="C635" s="38"/>
      <c r="D635" s="38"/>
      <c r="E635" s="38"/>
      <c r="F635" s="38"/>
      <c r="G635" s="38"/>
      <c r="H635" s="14"/>
      <c r="I635" s="38"/>
      <c r="J635" s="38"/>
      <c r="K635" s="14"/>
      <c r="L635" s="14"/>
      <c r="M635" s="14"/>
      <c r="N635" s="39"/>
      <c r="O635" s="39"/>
      <c r="P635" s="39"/>
      <c r="Q635" s="39"/>
      <c r="R635" s="39"/>
      <c r="S635" s="39"/>
      <c r="T635" s="39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  <c r="AI635" s="14"/>
      <c r="AJ635" s="14"/>
      <c r="AK635" s="14"/>
      <c r="AL635" s="14"/>
      <c r="AM635" s="14"/>
      <c r="AN635" s="14"/>
      <c r="AO635" s="14"/>
      <c r="AP635" s="14"/>
    </row>
    <row r="636" spans="1:42" ht="13">
      <c r="A636" s="38"/>
      <c r="B636" s="14"/>
      <c r="C636" s="38"/>
      <c r="D636" s="38"/>
      <c r="E636" s="38"/>
      <c r="F636" s="38"/>
      <c r="G636" s="38"/>
      <c r="H636" s="14"/>
      <c r="I636" s="38"/>
      <c r="J636" s="38"/>
      <c r="K636" s="14"/>
      <c r="L636" s="14"/>
      <c r="M636" s="14"/>
      <c r="N636" s="39"/>
      <c r="O636" s="39"/>
      <c r="P636" s="39"/>
      <c r="Q636" s="39"/>
      <c r="R636" s="39"/>
      <c r="S636" s="39"/>
      <c r="T636" s="39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  <c r="AH636" s="14"/>
      <c r="AI636" s="14"/>
      <c r="AJ636" s="14"/>
      <c r="AK636" s="14"/>
      <c r="AL636" s="14"/>
      <c r="AM636" s="14"/>
      <c r="AN636" s="14"/>
      <c r="AO636" s="14"/>
      <c r="AP636" s="14"/>
    </row>
    <row r="637" spans="1:42" ht="13">
      <c r="A637" s="38"/>
      <c r="B637" s="14"/>
      <c r="C637" s="38"/>
      <c r="D637" s="38"/>
      <c r="E637" s="38"/>
      <c r="F637" s="38"/>
      <c r="G637" s="38"/>
      <c r="H637" s="14"/>
      <c r="I637" s="38"/>
      <c r="J637" s="38"/>
      <c r="K637" s="14"/>
      <c r="L637" s="14"/>
      <c r="M637" s="14"/>
      <c r="N637" s="39"/>
      <c r="O637" s="39"/>
      <c r="P637" s="39"/>
      <c r="Q637" s="39"/>
      <c r="R637" s="39"/>
      <c r="S637" s="39"/>
      <c r="T637" s="39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  <c r="AH637" s="14"/>
      <c r="AI637" s="14"/>
      <c r="AJ637" s="14"/>
      <c r="AK637" s="14"/>
      <c r="AL637" s="14"/>
      <c r="AM637" s="14"/>
      <c r="AN637" s="14"/>
      <c r="AO637" s="14"/>
      <c r="AP637" s="14"/>
    </row>
    <row r="638" spans="1:42" ht="13">
      <c r="A638" s="38"/>
      <c r="B638" s="14"/>
      <c r="C638" s="38"/>
      <c r="D638" s="38"/>
      <c r="E638" s="38"/>
      <c r="F638" s="38"/>
      <c r="G638" s="38"/>
      <c r="H638" s="14"/>
      <c r="I638" s="38"/>
      <c r="J638" s="38"/>
      <c r="K638" s="14"/>
      <c r="L638" s="14"/>
      <c r="M638" s="14"/>
      <c r="N638" s="39"/>
      <c r="O638" s="39"/>
      <c r="P638" s="39"/>
      <c r="Q638" s="39"/>
      <c r="R638" s="39"/>
      <c r="S638" s="39"/>
      <c r="T638" s="39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  <c r="AH638" s="14"/>
      <c r="AI638" s="14"/>
      <c r="AJ638" s="14"/>
      <c r="AK638" s="14"/>
      <c r="AL638" s="14"/>
      <c r="AM638" s="14"/>
      <c r="AN638" s="14"/>
      <c r="AO638" s="14"/>
      <c r="AP638" s="14"/>
    </row>
    <row r="639" spans="1:42" ht="13">
      <c r="A639" s="38"/>
      <c r="B639" s="14"/>
      <c r="C639" s="38"/>
      <c r="D639" s="38"/>
      <c r="E639" s="38"/>
      <c r="F639" s="38"/>
      <c r="G639" s="38"/>
      <c r="H639" s="14"/>
      <c r="I639" s="38"/>
      <c r="J639" s="38"/>
      <c r="K639" s="14"/>
      <c r="L639" s="14"/>
      <c r="M639" s="14"/>
      <c r="N639" s="39"/>
      <c r="O639" s="39"/>
      <c r="P639" s="39"/>
      <c r="Q639" s="39"/>
      <c r="R639" s="39"/>
      <c r="S639" s="39"/>
      <c r="T639" s="39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  <c r="AH639" s="14"/>
      <c r="AI639" s="14"/>
      <c r="AJ639" s="14"/>
      <c r="AK639" s="14"/>
      <c r="AL639" s="14"/>
      <c r="AM639" s="14"/>
      <c r="AN639" s="14"/>
      <c r="AO639" s="14"/>
      <c r="AP639" s="14"/>
    </row>
    <row r="640" spans="1:42" ht="13">
      <c r="A640" s="38"/>
      <c r="B640" s="14"/>
      <c r="C640" s="38"/>
      <c r="D640" s="38"/>
      <c r="E640" s="38"/>
      <c r="F640" s="38"/>
      <c r="G640" s="38"/>
      <c r="H640" s="14"/>
      <c r="I640" s="38"/>
      <c r="J640" s="38"/>
      <c r="K640" s="14"/>
      <c r="L640" s="14"/>
      <c r="M640" s="14"/>
      <c r="N640" s="39"/>
      <c r="O640" s="39"/>
      <c r="P640" s="39"/>
      <c r="Q640" s="39"/>
      <c r="R640" s="39"/>
      <c r="S640" s="39"/>
      <c r="T640" s="39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  <c r="AH640" s="14"/>
      <c r="AI640" s="14"/>
      <c r="AJ640" s="14"/>
      <c r="AK640" s="14"/>
      <c r="AL640" s="14"/>
      <c r="AM640" s="14"/>
      <c r="AN640" s="14"/>
      <c r="AO640" s="14"/>
      <c r="AP640" s="14"/>
    </row>
    <row r="641" spans="1:42" ht="13">
      <c r="A641" s="38"/>
      <c r="B641" s="14"/>
      <c r="C641" s="38"/>
      <c r="D641" s="38"/>
      <c r="E641" s="38"/>
      <c r="F641" s="38"/>
      <c r="G641" s="38"/>
      <c r="H641" s="14"/>
      <c r="I641" s="38"/>
      <c r="J641" s="38"/>
      <c r="K641" s="14"/>
      <c r="L641" s="14"/>
      <c r="M641" s="14"/>
      <c r="N641" s="39"/>
      <c r="O641" s="39"/>
      <c r="P641" s="39"/>
      <c r="Q641" s="39"/>
      <c r="R641" s="39"/>
      <c r="S641" s="39"/>
      <c r="T641" s="39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  <c r="AH641" s="14"/>
      <c r="AI641" s="14"/>
      <c r="AJ641" s="14"/>
      <c r="AK641" s="14"/>
      <c r="AL641" s="14"/>
      <c r="AM641" s="14"/>
      <c r="AN641" s="14"/>
      <c r="AO641" s="14"/>
      <c r="AP641" s="14"/>
    </row>
    <row r="642" spans="1:42" ht="13">
      <c r="A642" s="38"/>
      <c r="B642" s="14"/>
      <c r="C642" s="38"/>
      <c r="D642" s="38"/>
      <c r="E642" s="38"/>
      <c r="F642" s="38"/>
      <c r="G642" s="38"/>
      <c r="H642" s="14"/>
      <c r="I642" s="38"/>
      <c r="J642" s="38"/>
      <c r="K642" s="14"/>
      <c r="L642" s="14"/>
      <c r="M642" s="14"/>
      <c r="N642" s="39"/>
      <c r="O642" s="39"/>
      <c r="P642" s="39"/>
      <c r="Q642" s="39"/>
      <c r="R642" s="39"/>
      <c r="S642" s="39"/>
      <c r="T642" s="39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  <c r="AH642" s="14"/>
      <c r="AI642" s="14"/>
      <c r="AJ642" s="14"/>
      <c r="AK642" s="14"/>
      <c r="AL642" s="14"/>
      <c r="AM642" s="14"/>
      <c r="AN642" s="14"/>
      <c r="AO642" s="14"/>
      <c r="AP642" s="14"/>
    </row>
    <row r="643" spans="1:42" ht="13">
      <c r="A643" s="38"/>
      <c r="B643" s="14"/>
      <c r="C643" s="38"/>
      <c r="D643" s="38"/>
      <c r="E643" s="38"/>
      <c r="F643" s="38"/>
      <c r="G643" s="38"/>
      <c r="H643" s="14"/>
      <c r="I643" s="38"/>
      <c r="J643" s="38"/>
      <c r="K643" s="14"/>
      <c r="L643" s="14"/>
      <c r="M643" s="14"/>
      <c r="N643" s="39"/>
      <c r="O643" s="39"/>
      <c r="P643" s="39"/>
      <c r="Q643" s="39"/>
      <c r="R643" s="39"/>
      <c r="S643" s="39"/>
      <c r="T643" s="39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  <c r="AH643" s="14"/>
      <c r="AI643" s="14"/>
      <c r="AJ643" s="14"/>
      <c r="AK643" s="14"/>
      <c r="AL643" s="14"/>
      <c r="AM643" s="14"/>
      <c r="AN643" s="14"/>
      <c r="AO643" s="14"/>
      <c r="AP643" s="14"/>
    </row>
    <row r="644" spans="1:42" ht="13">
      <c r="A644" s="38"/>
      <c r="B644" s="14"/>
      <c r="C644" s="38"/>
      <c r="D644" s="38"/>
      <c r="E644" s="38"/>
      <c r="F644" s="38"/>
      <c r="G644" s="38"/>
      <c r="H644" s="14"/>
      <c r="I644" s="38"/>
      <c r="J644" s="38"/>
      <c r="K644" s="14"/>
      <c r="L644" s="14"/>
      <c r="M644" s="14"/>
      <c r="N644" s="39"/>
      <c r="O644" s="39"/>
      <c r="P644" s="39"/>
      <c r="Q644" s="39"/>
      <c r="R644" s="39"/>
      <c r="S644" s="39"/>
      <c r="T644" s="39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  <c r="AH644" s="14"/>
      <c r="AI644" s="14"/>
      <c r="AJ644" s="14"/>
      <c r="AK644" s="14"/>
      <c r="AL644" s="14"/>
      <c r="AM644" s="14"/>
      <c r="AN644" s="14"/>
      <c r="AO644" s="14"/>
      <c r="AP644" s="14"/>
    </row>
    <row r="645" spans="1:42" ht="13">
      <c r="A645" s="38"/>
      <c r="B645" s="14"/>
      <c r="C645" s="38"/>
      <c r="D645" s="38"/>
      <c r="E645" s="38"/>
      <c r="F645" s="38"/>
      <c r="G645" s="38"/>
      <c r="H645" s="14"/>
      <c r="I645" s="38"/>
      <c r="J645" s="38"/>
      <c r="K645" s="14"/>
      <c r="L645" s="14"/>
      <c r="M645" s="14"/>
      <c r="N645" s="39"/>
      <c r="O645" s="39"/>
      <c r="P645" s="39"/>
      <c r="Q645" s="39"/>
      <c r="R645" s="39"/>
      <c r="S645" s="39"/>
      <c r="T645" s="39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  <c r="AH645" s="14"/>
      <c r="AI645" s="14"/>
      <c r="AJ645" s="14"/>
      <c r="AK645" s="14"/>
      <c r="AL645" s="14"/>
      <c r="AM645" s="14"/>
      <c r="AN645" s="14"/>
      <c r="AO645" s="14"/>
      <c r="AP645" s="14"/>
    </row>
    <row r="646" spans="1:42" ht="13">
      <c r="A646" s="38"/>
      <c r="B646" s="14"/>
      <c r="C646" s="38"/>
      <c r="D646" s="38"/>
      <c r="E646" s="38"/>
      <c r="F646" s="38"/>
      <c r="G646" s="38"/>
      <c r="H646" s="14"/>
      <c r="I646" s="38"/>
      <c r="J646" s="38"/>
      <c r="K646" s="14"/>
      <c r="L646" s="14"/>
      <c r="M646" s="14"/>
      <c r="N646" s="39"/>
      <c r="O646" s="39"/>
      <c r="P646" s="39"/>
      <c r="Q646" s="39"/>
      <c r="R646" s="39"/>
      <c r="S646" s="39"/>
      <c r="T646" s="39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  <c r="AH646" s="14"/>
      <c r="AI646" s="14"/>
      <c r="AJ646" s="14"/>
      <c r="AK646" s="14"/>
      <c r="AL646" s="14"/>
      <c r="AM646" s="14"/>
      <c r="AN646" s="14"/>
      <c r="AO646" s="14"/>
      <c r="AP646" s="14"/>
    </row>
    <row r="647" spans="1:42" ht="13">
      <c r="A647" s="38"/>
      <c r="B647" s="14"/>
      <c r="C647" s="38"/>
      <c r="D647" s="38"/>
      <c r="E647" s="38"/>
      <c r="F647" s="38"/>
      <c r="G647" s="38"/>
      <c r="H647" s="14"/>
      <c r="I647" s="38"/>
      <c r="J647" s="38"/>
      <c r="K647" s="14"/>
      <c r="L647" s="14"/>
      <c r="M647" s="14"/>
      <c r="N647" s="39"/>
      <c r="O647" s="39"/>
      <c r="P647" s="39"/>
      <c r="Q647" s="39"/>
      <c r="R647" s="39"/>
      <c r="S647" s="39"/>
      <c r="T647" s="39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  <c r="AH647" s="14"/>
      <c r="AI647" s="14"/>
      <c r="AJ647" s="14"/>
      <c r="AK647" s="14"/>
      <c r="AL647" s="14"/>
      <c r="AM647" s="14"/>
      <c r="AN647" s="14"/>
      <c r="AO647" s="14"/>
      <c r="AP647" s="14"/>
    </row>
    <row r="648" spans="1:42" ht="13">
      <c r="A648" s="38"/>
      <c r="B648" s="14"/>
      <c r="C648" s="38"/>
      <c r="D648" s="38"/>
      <c r="E648" s="38"/>
      <c r="F648" s="38"/>
      <c r="G648" s="38"/>
      <c r="H648" s="14"/>
      <c r="I648" s="38"/>
      <c r="J648" s="38"/>
      <c r="K648" s="14"/>
      <c r="L648" s="14"/>
      <c r="M648" s="14"/>
      <c r="N648" s="39"/>
      <c r="O648" s="39"/>
      <c r="P648" s="39"/>
      <c r="Q648" s="39"/>
      <c r="R648" s="39"/>
      <c r="S648" s="39"/>
      <c r="T648" s="39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  <c r="AH648" s="14"/>
      <c r="AI648" s="14"/>
      <c r="AJ648" s="14"/>
      <c r="AK648" s="14"/>
      <c r="AL648" s="14"/>
      <c r="AM648" s="14"/>
      <c r="AN648" s="14"/>
      <c r="AO648" s="14"/>
      <c r="AP648" s="14"/>
    </row>
    <row r="649" spans="1:42" ht="13">
      <c r="A649" s="38"/>
      <c r="B649" s="14"/>
      <c r="C649" s="38"/>
      <c r="D649" s="38"/>
      <c r="E649" s="38"/>
      <c r="F649" s="38"/>
      <c r="G649" s="38"/>
      <c r="H649" s="14"/>
      <c r="I649" s="38"/>
      <c r="J649" s="38"/>
      <c r="K649" s="14"/>
      <c r="L649" s="14"/>
      <c r="M649" s="14"/>
      <c r="N649" s="39"/>
      <c r="O649" s="39"/>
      <c r="P649" s="39"/>
      <c r="Q649" s="39"/>
      <c r="R649" s="39"/>
      <c r="S649" s="39"/>
      <c r="T649" s="39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  <c r="AH649" s="14"/>
      <c r="AI649" s="14"/>
      <c r="AJ649" s="14"/>
      <c r="AK649" s="14"/>
      <c r="AL649" s="14"/>
      <c r="AM649" s="14"/>
      <c r="AN649" s="14"/>
      <c r="AO649" s="14"/>
      <c r="AP649" s="14"/>
    </row>
    <row r="650" spans="1:42" ht="13">
      <c r="A650" s="38"/>
      <c r="B650" s="14"/>
      <c r="C650" s="38"/>
      <c r="D650" s="38"/>
      <c r="E650" s="38"/>
      <c r="F650" s="38"/>
      <c r="G650" s="38"/>
      <c r="H650" s="14"/>
      <c r="I650" s="38"/>
      <c r="J650" s="38"/>
      <c r="K650" s="14"/>
      <c r="L650" s="14"/>
      <c r="M650" s="14"/>
      <c r="N650" s="39"/>
      <c r="O650" s="39"/>
      <c r="P650" s="39"/>
      <c r="Q650" s="39"/>
      <c r="R650" s="39"/>
      <c r="S650" s="39"/>
      <c r="T650" s="39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  <c r="AH650" s="14"/>
      <c r="AI650" s="14"/>
      <c r="AJ650" s="14"/>
      <c r="AK650" s="14"/>
      <c r="AL650" s="14"/>
      <c r="AM650" s="14"/>
      <c r="AN650" s="14"/>
      <c r="AO650" s="14"/>
      <c r="AP650" s="14"/>
    </row>
    <row r="651" spans="1:42" ht="13">
      <c r="A651" s="38"/>
      <c r="B651" s="14"/>
      <c r="C651" s="38"/>
      <c r="D651" s="38"/>
      <c r="E651" s="38"/>
      <c r="F651" s="38"/>
      <c r="G651" s="38"/>
      <c r="H651" s="14"/>
      <c r="I651" s="38"/>
      <c r="J651" s="38"/>
      <c r="K651" s="14"/>
      <c r="L651" s="14"/>
      <c r="M651" s="14"/>
      <c r="N651" s="39"/>
      <c r="O651" s="39"/>
      <c r="P651" s="39"/>
      <c r="Q651" s="39"/>
      <c r="R651" s="39"/>
      <c r="S651" s="39"/>
      <c r="T651" s="39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  <c r="AH651" s="14"/>
      <c r="AI651" s="14"/>
      <c r="AJ651" s="14"/>
      <c r="AK651" s="14"/>
      <c r="AL651" s="14"/>
      <c r="AM651" s="14"/>
      <c r="AN651" s="14"/>
      <c r="AO651" s="14"/>
      <c r="AP651" s="14"/>
    </row>
    <row r="652" spans="1:42" ht="13">
      <c r="A652" s="38"/>
      <c r="B652" s="14"/>
      <c r="C652" s="38"/>
      <c r="D652" s="38"/>
      <c r="E652" s="38"/>
      <c r="F652" s="38"/>
      <c r="G652" s="38"/>
      <c r="H652" s="14"/>
      <c r="I652" s="38"/>
      <c r="J652" s="38"/>
      <c r="K652" s="14"/>
      <c r="L652" s="14"/>
      <c r="M652" s="14"/>
      <c r="N652" s="39"/>
      <c r="O652" s="39"/>
      <c r="P652" s="39"/>
      <c r="Q652" s="39"/>
      <c r="R652" s="39"/>
      <c r="S652" s="39"/>
      <c r="T652" s="39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  <c r="AH652" s="14"/>
      <c r="AI652" s="14"/>
      <c r="AJ652" s="14"/>
      <c r="AK652" s="14"/>
      <c r="AL652" s="14"/>
      <c r="AM652" s="14"/>
      <c r="AN652" s="14"/>
      <c r="AO652" s="14"/>
      <c r="AP652" s="14"/>
    </row>
    <row r="653" spans="1:42" ht="13">
      <c r="A653" s="38"/>
      <c r="B653" s="14"/>
      <c r="C653" s="38"/>
      <c r="D653" s="38"/>
      <c r="E653" s="38"/>
      <c r="F653" s="38"/>
      <c r="G653" s="38"/>
      <c r="H653" s="14"/>
      <c r="I653" s="38"/>
      <c r="J653" s="38"/>
      <c r="K653" s="14"/>
      <c r="L653" s="14"/>
      <c r="M653" s="14"/>
      <c r="N653" s="39"/>
      <c r="O653" s="39"/>
      <c r="P653" s="39"/>
      <c r="Q653" s="39"/>
      <c r="R653" s="39"/>
      <c r="S653" s="39"/>
      <c r="T653" s="39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  <c r="AH653" s="14"/>
      <c r="AI653" s="14"/>
      <c r="AJ653" s="14"/>
      <c r="AK653" s="14"/>
      <c r="AL653" s="14"/>
      <c r="AM653" s="14"/>
      <c r="AN653" s="14"/>
      <c r="AO653" s="14"/>
      <c r="AP653" s="14"/>
    </row>
    <row r="654" spans="1:42" ht="13">
      <c r="A654" s="38"/>
      <c r="B654" s="14"/>
      <c r="C654" s="38"/>
      <c r="D654" s="38"/>
      <c r="E654" s="38"/>
      <c r="F654" s="38"/>
      <c r="G654" s="38"/>
      <c r="H654" s="14"/>
      <c r="I654" s="38"/>
      <c r="J654" s="38"/>
      <c r="K654" s="14"/>
      <c r="L654" s="14"/>
      <c r="M654" s="14"/>
      <c r="N654" s="39"/>
      <c r="O654" s="39"/>
      <c r="P654" s="39"/>
      <c r="Q654" s="39"/>
      <c r="R654" s="39"/>
      <c r="S654" s="39"/>
      <c r="T654" s="39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  <c r="AH654" s="14"/>
      <c r="AI654" s="14"/>
      <c r="AJ654" s="14"/>
      <c r="AK654" s="14"/>
      <c r="AL654" s="14"/>
      <c r="AM654" s="14"/>
      <c r="AN654" s="14"/>
      <c r="AO654" s="14"/>
      <c r="AP654" s="14"/>
    </row>
    <row r="655" spans="1:42" ht="13">
      <c r="A655" s="38"/>
      <c r="B655" s="14"/>
      <c r="C655" s="38"/>
      <c r="D655" s="38"/>
      <c r="E655" s="38"/>
      <c r="F655" s="38"/>
      <c r="G655" s="38"/>
      <c r="H655" s="14"/>
      <c r="I655" s="38"/>
      <c r="J655" s="38"/>
      <c r="K655" s="14"/>
      <c r="L655" s="14"/>
      <c r="M655" s="14"/>
      <c r="N655" s="39"/>
      <c r="O655" s="39"/>
      <c r="P655" s="39"/>
      <c r="Q655" s="39"/>
      <c r="R655" s="39"/>
      <c r="S655" s="39"/>
      <c r="T655" s="39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  <c r="AH655" s="14"/>
      <c r="AI655" s="14"/>
      <c r="AJ655" s="14"/>
      <c r="AK655" s="14"/>
      <c r="AL655" s="14"/>
      <c r="AM655" s="14"/>
      <c r="AN655" s="14"/>
      <c r="AO655" s="14"/>
      <c r="AP655" s="14"/>
    </row>
    <row r="656" spans="1:42" ht="13">
      <c r="A656" s="38"/>
      <c r="B656" s="14"/>
      <c r="C656" s="38"/>
      <c r="D656" s="38"/>
      <c r="E656" s="38"/>
      <c r="F656" s="38"/>
      <c r="G656" s="38"/>
      <c r="H656" s="14"/>
      <c r="I656" s="38"/>
      <c r="J656" s="38"/>
      <c r="K656" s="14"/>
      <c r="L656" s="14"/>
      <c r="M656" s="14"/>
      <c r="N656" s="39"/>
      <c r="O656" s="39"/>
      <c r="P656" s="39"/>
      <c r="Q656" s="39"/>
      <c r="R656" s="39"/>
      <c r="S656" s="39"/>
      <c r="T656" s="39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  <c r="AG656" s="14"/>
      <c r="AH656" s="14"/>
      <c r="AI656" s="14"/>
      <c r="AJ656" s="14"/>
      <c r="AK656" s="14"/>
      <c r="AL656" s="14"/>
      <c r="AM656" s="14"/>
      <c r="AN656" s="14"/>
      <c r="AO656" s="14"/>
      <c r="AP656" s="14"/>
    </row>
    <row r="657" spans="1:42" ht="13">
      <c r="A657" s="38"/>
      <c r="B657" s="14"/>
      <c r="C657" s="38"/>
      <c r="D657" s="38"/>
      <c r="E657" s="38"/>
      <c r="F657" s="38"/>
      <c r="G657" s="38"/>
      <c r="H657" s="14"/>
      <c r="I657" s="38"/>
      <c r="J657" s="38"/>
      <c r="K657" s="14"/>
      <c r="L657" s="14"/>
      <c r="M657" s="14"/>
      <c r="N657" s="39"/>
      <c r="O657" s="39"/>
      <c r="P657" s="39"/>
      <c r="Q657" s="39"/>
      <c r="R657" s="39"/>
      <c r="S657" s="39"/>
      <c r="T657" s="39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  <c r="AH657" s="14"/>
      <c r="AI657" s="14"/>
      <c r="AJ657" s="14"/>
      <c r="AK657" s="14"/>
      <c r="AL657" s="14"/>
      <c r="AM657" s="14"/>
      <c r="AN657" s="14"/>
      <c r="AO657" s="14"/>
      <c r="AP657" s="14"/>
    </row>
    <row r="658" spans="1:42" ht="13">
      <c r="A658" s="38"/>
      <c r="B658" s="14"/>
      <c r="C658" s="38"/>
      <c r="D658" s="38"/>
      <c r="E658" s="38"/>
      <c r="F658" s="38"/>
      <c r="G658" s="38"/>
      <c r="H658" s="14"/>
      <c r="I658" s="38"/>
      <c r="J658" s="38"/>
      <c r="K658" s="14"/>
      <c r="L658" s="14"/>
      <c r="M658" s="14"/>
      <c r="N658" s="39"/>
      <c r="O658" s="39"/>
      <c r="P658" s="39"/>
      <c r="Q658" s="39"/>
      <c r="R658" s="39"/>
      <c r="S658" s="39"/>
      <c r="T658" s="39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  <c r="AG658" s="14"/>
      <c r="AH658" s="14"/>
      <c r="AI658" s="14"/>
      <c r="AJ658" s="14"/>
      <c r="AK658" s="14"/>
      <c r="AL658" s="14"/>
      <c r="AM658" s="14"/>
      <c r="AN658" s="14"/>
      <c r="AO658" s="14"/>
      <c r="AP658" s="14"/>
    </row>
    <row r="659" spans="1:42" ht="13">
      <c r="A659" s="38"/>
      <c r="B659" s="14"/>
      <c r="C659" s="38"/>
      <c r="D659" s="38"/>
      <c r="E659" s="38"/>
      <c r="F659" s="38"/>
      <c r="G659" s="38"/>
      <c r="H659" s="14"/>
      <c r="I659" s="38"/>
      <c r="J659" s="38"/>
      <c r="K659" s="14"/>
      <c r="L659" s="14"/>
      <c r="M659" s="14"/>
      <c r="N659" s="39"/>
      <c r="O659" s="39"/>
      <c r="P659" s="39"/>
      <c r="Q659" s="39"/>
      <c r="R659" s="39"/>
      <c r="S659" s="39"/>
      <c r="T659" s="39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  <c r="AH659" s="14"/>
      <c r="AI659" s="14"/>
      <c r="AJ659" s="14"/>
      <c r="AK659" s="14"/>
      <c r="AL659" s="14"/>
      <c r="AM659" s="14"/>
      <c r="AN659" s="14"/>
      <c r="AO659" s="14"/>
      <c r="AP659" s="14"/>
    </row>
    <row r="660" spans="1:42" ht="13">
      <c r="A660" s="38"/>
      <c r="B660" s="14"/>
      <c r="C660" s="38"/>
      <c r="D660" s="38"/>
      <c r="E660" s="38"/>
      <c r="F660" s="38"/>
      <c r="G660" s="38"/>
      <c r="H660" s="14"/>
      <c r="I660" s="38"/>
      <c r="J660" s="38"/>
      <c r="K660" s="14"/>
      <c r="L660" s="14"/>
      <c r="M660" s="14"/>
      <c r="N660" s="39"/>
      <c r="O660" s="39"/>
      <c r="P660" s="39"/>
      <c r="Q660" s="39"/>
      <c r="R660" s="39"/>
      <c r="S660" s="39"/>
      <c r="T660" s="39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  <c r="AG660" s="14"/>
      <c r="AH660" s="14"/>
      <c r="AI660" s="14"/>
      <c r="AJ660" s="14"/>
      <c r="AK660" s="14"/>
      <c r="AL660" s="14"/>
      <c r="AM660" s="14"/>
      <c r="AN660" s="14"/>
      <c r="AO660" s="14"/>
      <c r="AP660" s="14"/>
    </row>
    <row r="661" spans="1:42" ht="13">
      <c r="A661" s="38"/>
      <c r="B661" s="14"/>
      <c r="C661" s="38"/>
      <c r="D661" s="38"/>
      <c r="E661" s="38"/>
      <c r="F661" s="38"/>
      <c r="G661" s="38"/>
      <c r="H661" s="14"/>
      <c r="I661" s="38"/>
      <c r="J661" s="38"/>
      <c r="K661" s="14"/>
      <c r="L661" s="14"/>
      <c r="M661" s="14"/>
      <c r="N661" s="39"/>
      <c r="O661" s="39"/>
      <c r="P661" s="39"/>
      <c r="Q661" s="39"/>
      <c r="R661" s="39"/>
      <c r="S661" s="39"/>
      <c r="T661" s="39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  <c r="AH661" s="14"/>
      <c r="AI661" s="14"/>
      <c r="AJ661" s="14"/>
      <c r="AK661" s="14"/>
      <c r="AL661" s="14"/>
      <c r="AM661" s="14"/>
      <c r="AN661" s="14"/>
      <c r="AO661" s="14"/>
      <c r="AP661" s="14"/>
    </row>
    <row r="662" spans="1:42" ht="13">
      <c r="A662" s="38"/>
      <c r="B662" s="14"/>
      <c r="C662" s="38"/>
      <c r="D662" s="38"/>
      <c r="E662" s="38"/>
      <c r="F662" s="38"/>
      <c r="G662" s="38"/>
      <c r="H662" s="14"/>
      <c r="I662" s="38"/>
      <c r="J662" s="38"/>
      <c r="K662" s="14"/>
      <c r="L662" s="14"/>
      <c r="M662" s="14"/>
      <c r="N662" s="39"/>
      <c r="O662" s="39"/>
      <c r="P662" s="39"/>
      <c r="Q662" s="39"/>
      <c r="R662" s="39"/>
      <c r="S662" s="39"/>
      <c r="T662" s="39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  <c r="AH662" s="14"/>
      <c r="AI662" s="14"/>
      <c r="AJ662" s="14"/>
      <c r="AK662" s="14"/>
      <c r="AL662" s="14"/>
      <c r="AM662" s="14"/>
      <c r="AN662" s="14"/>
      <c r="AO662" s="14"/>
      <c r="AP662" s="14"/>
    </row>
    <row r="663" spans="1:42" ht="13">
      <c r="A663" s="38"/>
      <c r="B663" s="14"/>
      <c r="C663" s="38"/>
      <c r="D663" s="38"/>
      <c r="E663" s="38"/>
      <c r="F663" s="38"/>
      <c r="G663" s="38"/>
      <c r="H663" s="14"/>
      <c r="I663" s="38"/>
      <c r="J663" s="38"/>
      <c r="K663" s="14"/>
      <c r="L663" s="14"/>
      <c r="M663" s="14"/>
      <c r="N663" s="39"/>
      <c r="O663" s="39"/>
      <c r="P663" s="39"/>
      <c r="Q663" s="39"/>
      <c r="R663" s="39"/>
      <c r="S663" s="39"/>
      <c r="T663" s="39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  <c r="AF663" s="14"/>
      <c r="AG663" s="14"/>
      <c r="AH663" s="14"/>
      <c r="AI663" s="14"/>
      <c r="AJ663" s="14"/>
      <c r="AK663" s="14"/>
      <c r="AL663" s="14"/>
      <c r="AM663" s="14"/>
      <c r="AN663" s="14"/>
      <c r="AO663" s="14"/>
      <c r="AP663" s="14"/>
    </row>
    <row r="664" spans="1:42" ht="13">
      <c r="A664" s="38"/>
      <c r="B664" s="14"/>
      <c r="C664" s="38"/>
      <c r="D664" s="38"/>
      <c r="E664" s="38"/>
      <c r="F664" s="38"/>
      <c r="G664" s="38"/>
      <c r="H664" s="14"/>
      <c r="I664" s="38"/>
      <c r="J664" s="38"/>
      <c r="K664" s="14"/>
      <c r="L664" s="14"/>
      <c r="M664" s="14"/>
      <c r="N664" s="39"/>
      <c r="O664" s="39"/>
      <c r="P664" s="39"/>
      <c r="Q664" s="39"/>
      <c r="R664" s="39"/>
      <c r="S664" s="39"/>
      <c r="T664" s="39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  <c r="AF664" s="14"/>
      <c r="AG664" s="14"/>
      <c r="AH664" s="14"/>
      <c r="AI664" s="14"/>
      <c r="AJ664" s="14"/>
      <c r="AK664" s="14"/>
      <c r="AL664" s="14"/>
      <c r="AM664" s="14"/>
      <c r="AN664" s="14"/>
      <c r="AO664" s="14"/>
      <c r="AP664" s="14"/>
    </row>
    <row r="665" spans="1:42" ht="13">
      <c r="A665" s="38"/>
      <c r="B665" s="14"/>
      <c r="C665" s="38"/>
      <c r="D665" s="38"/>
      <c r="E665" s="38"/>
      <c r="F665" s="38"/>
      <c r="G665" s="38"/>
      <c r="H665" s="14"/>
      <c r="I665" s="38"/>
      <c r="J665" s="38"/>
      <c r="K665" s="14"/>
      <c r="L665" s="14"/>
      <c r="M665" s="14"/>
      <c r="N665" s="39"/>
      <c r="O665" s="39"/>
      <c r="P665" s="39"/>
      <c r="Q665" s="39"/>
      <c r="R665" s="39"/>
      <c r="S665" s="39"/>
      <c r="T665" s="39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  <c r="AH665" s="14"/>
      <c r="AI665" s="14"/>
      <c r="AJ665" s="14"/>
      <c r="AK665" s="14"/>
      <c r="AL665" s="14"/>
      <c r="AM665" s="14"/>
      <c r="AN665" s="14"/>
      <c r="AO665" s="14"/>
      <c r="AP665" s="14"/>
    </row>
    <row r="666" spans="1:42" ht="13">
      <c r="A666" s="38"/>
      <c r="B666" s="14"/>
      <c r="C666" s="38"/>
      <c r="D666" s="38"/>
      <c r="E666" s="38"/>
      <c r="F666" s="38"/>
      <c r="G666" s="38"/>
      <c r="H666" s="14"/>
      <c r="I666" s="38"/>
      <c r="J666" s="38"/>
      <c r="K666" s="14"/>
      <c r="L666" s="14"/>
      <c r="M666" s="14"/>
      <c r="N666" s="39"/>
      <c r="O666" s="39"/>
      <c r="P666" s="39"/>
      <c r="Q666" s="39"/>
      <c r="R666" s="39"/>
      <c r="S666" s="39"/>
      <c r="T666" s="39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  <c r="AH666" s="14"/>
      <c r="AI666" s="14"/>
      <c r="AJ666" s="14"/>
      <c r="AK666" s="14"/>
      <c r="AL666" s="14"/>
      <c r="AM666" s="14"/>
      <c r="AN666" s="14"/>
      <c r="AO666" s="14"/>
      <c r="AP666" s="14"/>
    </row>
    <row r="667" spans="1:42" ht="13">
      <c r="A667" s="38"/>
      <c r="B667" s="14"/>
      <c r="C667" s="38"/>
      <c r="D667" s="38"/>
      <c r="E667" s="38"/>
      <c r="F667" s="38"/>
      <c r="G667" s="38"/>
      <c r="H667" s="14"/>
      <c r="I667" s="38"/>
      <c r="J667" s="38"/>
      <c r="K667" s="14"/>
      <c r="L667" s="14"/>
      <c r="M667" s="14"/>
      <c r="N667" s="39"/>
      <c r="O667" s="39"/>
      <c r="P667" s="39"/>
      <c r="Q667" s="39"/>
      <c r="R667" s="39"/>
      <c r="S667" s="39"/>
      <c r="T667" s="39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  <c r="AH667" s="14"/>
      <c r="AI667" s="14"/>
      <c r="AJ667" s="14"/>
      <c r="AK667" s="14"/>
      <c r="AL667" s="14"/>
      <c r="AM667" s="14"/>
      <c r="AN667" s="14"/>
      <c r="AO667" s="14"/>
      <c r="AP667" s="14"/>
    </row>
    <row r="668" spans="1:42" ht="13">
      <c r="A668" s="38"/>
      <c r="B668" s="14"/>
      <c r="C668" s="38"/>
      <c r="D668" s="38"/>
      <c r="E668" s="38"/>
      <c r="F668" s="38"/>
      <c r="G668" s="38"/>
      <c r="H668" s="14"/>
      <c r="I668" s="38"/>
      <c r="J668" s="38"/>
      <c r="K668" s="14"/>
      <c r="L668" s="14"/>
      <c r="M668" s="14"/>
      <c r="N668" s="39"/>
      <c r="O668" s="39"/>
      <c r="P668" s="39"/>
      <c r="Q668" s="39"/>
      <c r="R668" s="39"/>
      <c r="S668" s="39"/>
      <c r="T668" s="39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  <c r="AH668" s="14"/>
      <c r="AI668" s="14"/>
      <c r="AJ668" s="14"/>
      <c r="AK668" s="14"/>
      <c r="AL668" s="14"/>
      <c r="AM668" s="14"/>
      <c r="AN668" s="14"/>
      <c r="AO668" s="14"/>
      <c r="AP668" s="14"/>
    </row>
    <row r="669" spans="1:42" ht="13">
      <c r="A669" s="38"/>
      <c r="B669" s="14"/>
      <c r="C669" s="38"/>
      <c r="D669" s="38"/>
      <c r="E669" s="38"/>
      <c r="F669" s="38"/>
      <c r="G669" s="38"/>
      <c r="H669" s="14"/>
      <c r="I669" s="38"/>
      <c r="J669" s="38"/>
      <c r="K669" s="14"/>
      <c r="L669" s="14"/>
      <c r="M669" s="14"/>
      <c r="N669" s="39"/>
      <c r="O669" s="39"/>
      <c r="P669" s="39"/>
      <c r="Q669" s="39"/>
      <c r="R669" s="39"/>
      <c r="S669" s="39"/>
      <c r="T669" s="39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  <c r="AH669" s="14"/>
      <c r="AI669" s="14"/>
      <c r="AJ669" s="14"/>
      <c r="AK669" s="14"/>
      <c r="AL669" s="14"/>
      <c r="AM669" s="14"/>
      <c r="AN669" s="14"/>
      <c r="AO669" s="14"/>
      <c r="AP669" s="14"/>
    </row>
    <row r="670" spans="1:42" ht="13">
      <c r="A670" s="38"/>
      <c r="B670" s="14"/>
      <c r="C670" s="38"/>
      <c r="D670" s="38"/>
      <c r="E670" s="38"/>
      <c r="F670" s="38"/>
      <c r="G670" s="38"/>
      <c r="H670" s="14"/>
      <c r="I670" s="38"/>
      <c r="J670" s="38"/>
      <c r="K670" s="14"/>
      <c r="L670" s="14"/>
      <c r="M670" s="14"/>
      <c r="N670" s="39"/>
      <c r="O670" s="39"/>
      <c r="P670" s="39"/>
      <c r="Q670" s="39"/>
      <c r="R670" s="39"/>
      <c r="S670" s="39"/>
      <c r="T670" s="39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  <c r="AF670" s="14"/>
      <c r="AG670" s="14"/>
      <c r="AH670" s="14"/>
      <c r="AI670" s="14"/>
      <c r="AJ670" s="14"/>
      <c r="AK670" s="14"/>
      <c r="AL670" s="14"/>
      <c r="AM670" s="14"/>
      <c r="AN670" s="14"/>
      <c r="AO670" s="14"/>
      <c r="AP670" s="14"/>
    </row>
    <row r="671" spans="1:42" ht="13">
      <c r="A671" s="38"/>
      <c r="B671" s="14"/>
      <c r="C671" s="38"/>
      <c r="D671" s="38"/>
      <c r="E671" s="38"/>
      <c r="F671" s="38"/>
      <c r="G671" s="38"/>
      <c r="H671" s="14"/>
      <c r="I671" s="38"/>
      <c r="J671" s="38"/>
      <c r="K671" s="14"/>
      <c r="L671" s="14"/>
      <c r="M671" s="14"/>
      <c r="N671" s="39"/>
      <c r="O671" s="39"/>
      <c r="P671" s="39"/>
      <c r="Q671" s="39"/>
      <c r="R671" s="39"/>
      <c r="S671" s="39"/>
      <c r="T671" s="39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  <c r="AH671" s="14"/>
      <c r="AI671" s="14"/>
      <c r="AJ671" s="14"/>
      <c r="AK671" s="14"/>
      <c r="AL671" s="14"/>
      <c r="AM671" s="14"/>
      <c r="AN671" s="14"/>
      <c r="AO671" s="14"/>
      <c r="AP671" s="14"/>
    </row>
    <row r="672" spans="1:42" ht="13">
      <c r="A672" s="38"/>
      <c r="B672" s="14"/>
      <c r="C672" s="38"/>
      <c r="D672" s="38"/>
      <c r="E672" s="38"/>
      <c r="F672" s="38"/>
      <c r="G672" s="38"/>
      <c r="H672" s="14"/>
      <c r="I672" s="38"/>
      <c r="J672" s="38"/>
      <c r="K672" s="14"/>
      <c r="L672" s="14"/>
      <c r="M672" s="14"/>
      <c r="N672" s="39"/>
      <c r="O672" s="39"/>
      <c r="P672" s="39"/>
      <c r="Q672" s="39"/>
      <c r="R672" s="39"/>
      <c r="S672" s="39"/>
      <c r="T672" s="39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  <c r="AF672" s="14"/>
      <c r="AG672" s="14"/>
      <c r="AH672" s="14"/>
      <c r="AI672" s="14"/>
      <c r="AJ672" s="14"/>
      <c r="AK672" s="14"/>
      <c r="AL672" s="14"/>
      <c r="AM672" s="14"/>
      <c r="AN672" s="14"/>
      <c r="AO672" s="14"/>
      <c r="AP672" s="14"/>
    </row>
    <row r="673" spans="1:42" ht="13">
      <c r="A673" s="38"/>
      <c r="B673" s="14"/>
      <c r="C673" s="38"/>
      <c r="D673" s="38"/>
      <c r="E673" s="38"/>
      <c r="F673" s="38"/>
      <c r="G673" s="38"/>
      <c r="H673" s="14"/>
      <c r="I673" s="38"/>
      <c r="J673" s="38"/>
      <c r="K673" s="14"/>
      <c r="L673" s="14"/>
      <c r="M673" s="14"/>
      <c r="N673" s="39"/>
      <c r="O673" s="39"/>
      <c r="P673" s="39"/>
      <c r="Q673" s="39"/>
      <c r="R673" s="39"/>
      <c r="S673" s="39"/>
      <c r="T673" s="39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  <c r="AH673" s="14"/>
      <c r="AI673" s="14"/>
      <c r="AJ673" s="14"/>
      <c r="AK673" s="14"/>
      <c r="AL673" s="14"/>
      <c r="AM673" s="14"/>
      <c r="AN673" s="14"/>
      <c r="AO673" s="14"/>
      <c r="AP673" s="14"/>
    </row>
    <row r="674" spans="1:42" ht="13">
      <c r="A674" s="38"/>
      <c r="B674" s="14"/>
      <c r="C674" s="38"/>
      <c r="D674" s="38"/>
      <c r="E674" s="38"/>
      <c r="F674" s="38"/>
      <c r="G674" s="38"/>
      <c r="H674" s="14"/>
      <c r="I674" s="38"/>
      <c r="J674" s="38"/>
      <c r="K674" s="14"/>
      <c r="L674" s="14"/>
      <c r="M674" s="14"/>
      <c r="N674" s="39"/>
      <c r="O674" s="39"/>
      <c r="P674" s="39"/>
      <c r="Q674" s="39"/>
      <c r="R674" s="39"/>
      <c r="S674" s="39"/>
      <c r="T674" s="39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  <c r="AF674" s="14"/>
      <c r="AG674" s="14"/>
      <c r="AH674" s="14"/>
      <c r="AI674" s="14"/>
      <c r="AJ674" s="14"/>
      <c r="AK674" s="14"/>
      <c r="AL674" s="14"/>
      <c r="AM674" s="14"/>
      <c r="AN674" s="14"/>
      <c r="AO674" s="14"/>
      <c r="AP674" s="14"/>
    </row>
    <row r="675" spans="1:42" ht="13">
      <c r="A675" s="38"/>
      <c r="B675" s="14"/>
      <c r="C675" s="38"/>
      <c r="D675" s="38"/>
      <c r="E675" s="38"/>
      <c r="F675" s="38"/>
      <c r="G675" s="38"/>
      <c r="H675" s="14"/>
      <c r="I675" s="38"/>
      <c r="J675" s="38"/>
      <c r="K675" s="14"/>
      <c r="L675" s="14"/>
      <c r="M675" s="14"/>
      <c r="N675" s="39"/>
      <c r="O675" s="39"/>
      <c r="P675" s="39"/>
      <c r="Q675" s="39"/>
      <c r="R675" s="39"/>
      <c r="S675" s="39"/>
      <c r="T675" s="39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  <c r="AH675" s="14"/>
      <c r="AI675" s="14"/>
      <c r="AJ675" s="14"/>
      <c r="AK675" s="14"/>
      <c r="AL675" s="14"/>
      <c r="AM675" s="14"/>
      <c r="AN675" s="14"/>
      <c r="AO675" s="14"/>
      <c r="AP675" s="14"/>
    </row>
    <row r="676" spans="1:42" ht="13">
      <c r="A676" s="38"/>
      <c r="B676" s="14"/>
      <c r="C676" s="38"/>
      <c r="D676" s="38"/>
      <c r="E676" s="38"/>
      <c r="F676" s="38"/>
      <c r="G676" s="38"/>
      <c r="H676" s="14"/>
      <c r="I676" s="38"/>
      <c r="J676" s="38"/>
      <c r="K676" s="14"/>
      <c r="L676" s="14"/>
      <c r="M676" s="14"/>
      <c r="N676" s="39"/>
      <c r="O676" s="39"/>
      <c r="P676" s="39"/>
      <c r="Q676" s="39"/>
      <c r="R676" s="39"/>
      <c r="S676" s="39"/>
      <c r="T676" s="39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  <c r="AF676" s="14"/>
      <c r="AG676" s="14"/>
      <c r="AH676" s="14"/>
      <c r="AI676" s="14"/>
      <c r="AJ676" s="14"/>
      <c r="AK676" s="14"/>
      <c r="AL676" s="14"/>
      <c r="AM676" s="14"/>
      <c r="AN676" s="14"/>
      <c r="AO676" s="14"/>
      <c r="AP676" s="14"/>
    </row>
    <row r="677" spans="1:42" ht="13">
      <c r="A677" s="38"/>
      <c r="B677" s="14"/>
      <c r="C677" s="38"/>
      <c r="D677" s="38"/>
      <c r="E677" s="38"/>
      <c r="F677" s="38"/>
      <c r="G677" s="38"/>
      <c r="H677" s="14"/>
      <c r="I677" s="38"/>
      <c r="J677" s="38"/>
      <c r="K677" s="14"/>
      <c r="L677" s="14"/>
      <c r="M677" s="14"/>
      <c r="N677" s="39"/>
      <c r="O677" s="39"/>
      <c r="P677" s="39"/>
      <c r="Q677" s="39"/>
      <c r="R677" s="39"/>
      <c r="S677" s="39"/>
      <c r="T677" s="39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  <c r="AH677" s="14"/>
      <c r="AI677" s="14"/>
      <c r="AJ677" s="14"/>
      <c r="AK677" s="14"/>
      <c r="AL677" s="14"/>
      <c r="AM677" s="14"/>
      <c r="AN677" s="14"/>
      <c r="AO677" s="14"/>
      <c r="AP677" s="14"/>
    </row>
    <row r="678" spans="1:42" ht="13">
      <c r="A678" s="38"/>
      <c r="B678" s="14"/>
      <c r="C678" s="38"/>
      <c r="D678" s="38"/>
      <c r="E678" s="38"/>
      <c r="F678" s="38"/>
      <c r="G678" s="38"/>
      <c r="H678" s="14"/>
      <c r="I678" s="38"/>
      <c r="J678" s="38"/>
      <c r="K678" s="14"/>
      <c r="L678" s="14"/>
      <c r="M678" s="14"/>
      <c r="N678" s="39"/>
      <c r="O678" s="39"/>
      <c r="P678" s="39"/>
      <c r="Q678" s="39"/>
      <c r="R678" s="39"/>
      <c r="S678" s="39"/>
      <c r="T678" s="39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  <c r="AF678" s="14"/>
      <c r="AG678" s="14"/>
      <c r="AH678" s="14"/>
      <c r="AI678" s="14"/>
      <c r="AJ678" s="14"/>
      <c r="AK678" s="14"/>
      <c r="AL678" s="14"/>
      <c r="AM678" s="14"/>
      <c r="AN678" s="14"/>
      <c r="AO678" s="14"/>
      <c r="AP678" s="14"/>
    </row>
    <row r="679" spans="1:42" ht="13">
      <c r="A679" s="38"/>
      <c r="B679" s="14"/>
      <c r="C679" s="38"/>
      <c r="D679" s="38"/>
      <c r="E679" s="38"/>
      <c r="F679" s="38"/>
      <c r="G679" s="38"/>
      <c r="H679" s="14"/>
      <c r="I679" s="38"/>
      <c r="J679" s="38"/>
      <c r="K679" s="14"/>
      <c r="L679" s="14"/>
      <c r="M679" s="14"/>
      <c r="N679" s="39"/>
      <c r="O679" s="39"/>
      <c r="P679" s="39"/>
      <c r="Q679" s="39"/>
      <c r="R679" s="39"/>
      <c r="S679" s="39"/>
      <c r="T679" s="39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  <c r="AH679" s="14"/>
      <c r="AI679" s="14"/>
      <c r="AJ679" s="14"/>
      <c r="AK679" s="14"/>
      <c r="AL679" s="14"/>
      <c r="AM679" s="14"/>
      <c r="AN679" s="14"/>
      <c r="AO679" s="14"/>
      <c r="AP679" s="14"/>
    </row>
    <row r="680" spans="1:42" ht="13">
      <c r="A680" s="38"/>
      <c r="B680" s="14"/>
      <c r="C680" s="38"/>
      <c r="D680" s="38"/>
      <c r="E680" s="38"/>
      <c r="F680" s="38"/>
      <c r="G680" s="38"/>
      <c r="H680" s="14"/>
      <c r="I680" s="38"/>
      <c r="J680" s="38"/>
      <c r="K680" s="14"/>
      <c r="L680" s="14"/>
      <c r="M680" s="14"/>
      <c r="N680" s="39"/>
      <c r="O680" s="39"/>
      <c r="P680" s="39"/>
      <c r="Q680" s="39"/>
      <c r="R680" s="39"/>
      <c r="S680" s="39"/>
      <c r="T680" s="39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  <c r="AH680" s="14"/>
      <c r="AI680" s="14"/>
      <c r="AJ680" s="14"/>
      <c r="AK680" s="14"/>
      <c r="AL680" s="14"/>
      <c r="AM680" s="14"/>
      <c r="AN680" s="14"/>
      <c r="AO680" s="14"/>
      <c r="AP680" s="14"/>
    </row>
    <row r="681" spans="1:42" ht="13">
      <c r="A681" s="38"/>
      <c r="B681" s="14"/>
      <c r="C681" s="38"/>
      <c r="D681" s="38"/>
      <c r="E681" s="38"/>
      <c r="F681" s="38"/>
      <c r="G681" s="38"/>
      <c r="H681" s="14"/>
      <c r="I681" s="38"/>
      <c r="J681" s="38"/>
      <c r="K681" s="14"/>
      <c r="L681" s="14"/>
      <c r="M681" s="14"/>
      <c r="N681" s="39"/>
      <c r="O681" s="39"/>
      <c r="P681" s="39"/>
      <c r="Q681" s="39"/>
      <c r="R681" s="39"/>
      <c r="S681" s="39"/>
      <c r="T681" s="39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  <c r="AH681" s="14"/>
      <c r="AI681" s="14"/>
      <c r="AJ681" s="14"/>
      <c r="AK681" s="14"/>
      <c r="AL681" s="14"/>
      <c r="AM681" s="14"/>
      <c r="AN681" s="14"/>
      <c r="AO681" s="14"/>
      <c r="AP681" s="14"/>
    </row>
    <row r="682" spans="1:42" ht="13">
      <c r="A682" s="38"/>
      <c r="B682" s="14"/>
      <c r="C682" s="38"/>
      <c r="D682" s="38"/>
      <c r="E682" s="38"/>
      <c r="F682" s="38"/>
      <c r="G682" s="38"/>
      <c r="H682" s="14"/>
      <c r="I682" s="38"/>
      <c r="J682" s="38"/>
      <c r="K682" s="14"/>
      <c r="L682" s="14"/>
      <c r="M682" s="14"/>
      <c r="N682" s="39"/>
      <c r="O682" s="39"/>
      <c r="P682" s="39"/>
      <c r="Q682" s="39"/>
      <c r="R682" s="39"/>
      <c r="S682" s="39"/>
      <c r="T682" s="39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  <c r="AE682" s="14"/>
      <c r="AF682" s="14"/>
      <c r="AG682" s="14"/>
      <c r="AH682" s="14"/>
      <c r="AI682" s="14"/>
      <c r="AJ682" s="14"/>
      <c r="AK682" s="14"/>
      <c r="AL682" s="14"/>
      <c r="AM682" s="14"/>
      <c r="AN682" s="14"/>
      <c r="AO682" s="14"/>
      <c r="AP682" s="14"/>
    </row>
    <row r="683" spans="1:42" ht="13">
      <c r="A683" s="38"/>
      <c r="B683" s="14"/>
      <c r="C683" s="38"/>
      <c r="D683" s="38"/>
      <c r="E683" s="38"/>
      <c r="F683" s="38"/>
      <c r="G683" s="38"/>
      <c r="H683" s="14"/>
      <c r="I683" s="38"/>
      <c r="J683" s="38"/>
      <c r="K683" s="14"/>
      <c r="L683" s="14"/>
      <c r="M683" s="14"/>
      <c r="N683" s="39"/>
      <c r="O683" s="39"/>
      <c r="P683" s="39"/>
      <c r="Q683" s="39"/>
      <c r="R683" s="39"/>
      <c r="S683" s="39"/>
      <c r="T683" s="39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  <c r="AH683" s="14"/>
      <c r="AI683" s="14"/>
      <c r="AJ683" s="14"/>
      <c r="AK683" s="14"/>
      <c r="AL683" s="14"/>
      <c r="AM683" s="14"/>
      <c r="AN683" s="14"/>
      <c r="AO683" s="14"/>
      <c r="AP683" s="14"/>
    </row>
    <row r="684" spans="1:42" ht="13">
      <c r="A684" s="38"/>
      <c r="B684" s="14"/>
      <c r="C684" s="38"/>
      <c r="D684" s="38"/>
      <c r="E684" s="38"/>
      <c r="F684" s="38"/>
      <c r="G684" s="38"/>
      <c r="H684" s="14"/>
      <c r="I684" s="38"/>
      <c r="J684" s="38"/>
      <c r="K684" s="14"/>
      <c r="L684" s="14"/>
      <c r="M684" s="14"/>
      <c r="N684" s="39"/>
      <c r="O684" s="39"/>
      <c r="P684" s="39"/>
      <c r="Q684" s="39"/>
      <c r="R684" s="39"/>
      <c r="S684" s="39"/>
      <c r="T684" s="39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  <c r="AF684" s="14"/>
      <c r="AG684" s="14"/>
      <c r="AH684" s="14"/>
      <c r="AI684" s="14"/>
      <c r="AJ684" s="14"/>
      <c r="AK684" s="14"/>
      <c r="AL684" s="14"/>
      <c r="AM684" s="14"/>
      <c r="AN684" s="14"/>
      <c r="AO684" s="14"/>
      <c r="AP684" s="14"/>
    </row>
    <row r="685" spans="1:42" ht="13">
      <c r="A685" s="38"/>
      <c r="B685" s="14"/>
      <c r="C685" s="38"/>
      <c r="D685" s="38"/>
      <c r="E685" s="38"/>
      <c r="F685" s="38"/>
      <c r="G685" s="38"/>
      <c r="H685" s="14"/>
      <c r="I685" s="38"/>
      <c r="J685" s="38"/>
      <c r="K685" s="14"/>
      <c r="L685" s="14"/>
      <c r="M685" s="14"/>
      <c r="N685" s="39"/>
      <c r="O685" s="39"/>
      <c r="P685" s="39"/>
      <c r="Q685" s="39"/>
      <c r="R685" s="39"/>
      <c r="S685" s="39"/>
      <c r="T685" s="39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  <c r="AH685" s="14"/>
      <c r="AI685" s="14"/>
      <c r="AJ685" s="14"/>
      <c r="AK685" s="14"/>
      <c r="AL685" s="14"/>
      <c r="AM685" s="14"/>
      <c r="AN685" s="14"/>
      <c r="AO685" s="14"/>
      <c r="AP685" s="14"/>
    </row>
    <row r="686" spans="1:42" ht="13">
      <c r="A686" s="38"/>
      <c r="B686" s="14"/>
      <c r="C686" s="38"/>
      <c r="D686" s="38"/>
      <c r="E686" s="38"/>
      <c r="F686" s="38"/>
      <c r="G686" s="38"/>
      <c r="H686" s="14"/>
      <c r="I686" s="38"/>
      <c r="J686" s="38"/>
      <c r="K686" s="14"/>
      <c r="L686" s="14"/>
      <c r="M686" s="14"/>
      <c r="N686" s="39"/>
      <c r="O686" s="39"/>
      <c r="P686" s="39"/>
      <c r="Q686" s="39"/>
      <c r="R686" s="39"/>
      <c r="S686" s="39"/>
      <c r="T686" s="39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  <c r="AF686" s="14"/>
      <c r="AG686" s="14"/>
      <c r="AH686" s="14"/>
      <c r="AI686" s="14"/>
      <c r="AJ686" s="14"/>
      <c r="AK686" s="14"/>
      <c r="AL686" s="14"/>
      <c r="AM686" s="14"/>
      <c r="AN686" s="14"/>
      <c r="AO686" s="14"/>
      <c r="AP686" s="14"/>
    </row>
    <row r="687" spans="1:42" ht="13">
      <c r="A687" s="38"/>
      <c r="B687" s="14"/>
      <c r="C687" s="38"/>
      <c r="D687" s="38"/>
      <c r="E687" s="38"/>
      <c r="F687" s="38"/>
      <c r="G687" s="38"/>
      <c r="H687" s="14"/>
      <c r="I687" s="38"/>
      <c r="J687" s="38"/>
      <c r="K687" s="14"/>
      <c r="L687" s="14"/>
      <c r="M687" s="14"/>
      <c r="N687" s="39"/>
      <c r="O687" s="39"/>
      <c r="P687" s="39"/>
      <c r="Q687" s="39"/>
      <c r="R687" s="39"/>
      <c r="S687" s="39"/>
      <c r="T687" s="39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  <c r="AH687" s="14"/>
      <c r="AI687" s="14"/>
      <c r="AJ687" s="14"/>
      <c r="AK687" s="14"/>
      <c r="AL687" s="14"/>
      <c r="AM687" s="14"/>
      <c r="AN687" s="14"/>
      <c r="AO687" s="14"/>
      <c r="AP687" s="14"/>
    </row>
    <row r="688" spans="1:42" ht="13">
      <c r="A688" s="38"/>
      <c r="B688" s="14"/>
      <c r="C688" s="38"/>
      <c r="D688" s="38"/>
      <c r="E688" s="38"/>
      <c r="F688" s="38"/>
      <c r="G688" s="38"/>
      <c r="H688" s="14"/>
      <c r="I688" s="38"/>
      <c r="J688" s="38"/>
      <c r="K688" s="14"/>
      <c r="L688" s="14"/>
      <c r="M688" s="14"/>
      <c r="N688" s="39"/>
      <c r="O688" s="39"/>
      <c r="P688" s="39"/>
      <c r="Q688" s="39"/>
      <c r="R688" s="39"/>
      <c r="S688" s="39"/>
      <c r="T688" s="39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  <c r="AH688" s="14"/>
      <c r="AI688" s="14"/>
      <c r="AJ688" s="14"/>
      <c r="AK688" s="14"/>
      <c r="AL688" s="14"/>
      <c r="AM688" s="14"/>
      <c r="AN688" s="14"/>
      <c r="AO688" s="14"/>
      <c r="AP688" s="14"/>
    </row>
    <row r="689" spans="1:42" ht="13">
      <c r="A689" s="38"/>
      <c r="B689" s="14"/>
      <c r="C689" s="38"/>
      <c r="D689" s="38"/>
      <c r="E689" s="38"/>
      <c r="F689" s="38"/>
      <c r="G689" s="38"/>
      <c r="H689" s="14"/>
      <c r="I689" s="38"/>
      <c r="J689" s="38"/>
      <c r="K689" s="14"/>
      <c r="L689" s="14"/>
      <c r="M689" s="14"/>
      <c r="N689" s="39"/>
      <c r="O689" s="39"/>
      <c r="P689" s="39"/>
      <c r="Q689" s="39"/>
      <c r="R689" s="39"/>
      <c r="S689" s="39"/>
      <c r="T689" s="39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  <c r="AH689" s="14"/>
      <c r="AI689" s="14"/>
      <c r="AJ689" s="14"/>
      <c r="AK689" s="14"/>
      <c r="AL689" s="14"/>
      <c r="AM689" s="14"/>
      <c r="AN689" s="14"/>
      <c r="AO689" s="14"/>
      <c r="AP689" s="14"/>
    </row>
    <row r="690" spans="1:42" ht="13">
      <c r="A690" s="38"/>
      <c r="B690" s="14"/>
      <c r="C690" s="38"/>
      <c r="D690" s="38"/>
      <c r="E690" s="38"/>
      <c r="F690" s="38"/>
      <c r="G690" s="38"/>
      <c r="H690" s="14"/>
      <c r="I690" s="38"/>
      <c r="J690" s="38"/>
      <c r="K690" s="14"/>
      <c r="L690" s="14"/>
      <c r="M690" s="14"/>
      <c r="N690" s="39"/>
      <c r="O690" s="39"/>
      <c r="P690" s="39"/>
      <c r="Q690" s="39"/>
      <c r="R690" s="39"/>
      <c r="S690" s="39"/>
      <c r="T690" s="39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  <c r="AF690" s="14"/>
      <c r="AG690" s="14"/>
      <c r="AH690" s="14"/>
      <c r="AI690" s="14"/>
      <c r="AJ690" s="14"/>
      <c r="AK690" s="14"/>
      <c r="AL690" s="14"/>
      <c r="AM690" s="14"/>
      <c r="AN690" s="14"/>
      <c r="AO690" s="14"/>
      <c r="AP690" s="14"/>
    </row>
    <row r="691" spans="1:42" ht="13">
      <c r="A691" s="38"/>
      <c r="B691" s="14"/>
      <c r="C691" s="38"/>
      <c r="D691" s="38"/>
      <c r="E691" s="38"/>
      <c r="F691" s="38"/>
      <c r="G691" s="38"/>
      <c r="H691" s="14"/>
      <c r="I691" s="38"/>
      <c r="J691" s="38"/>
      <c r="K691" s="14"/>
      <c r="L691" s="14"/>
      <c r="M691" s="14"/>
      <c r="N691" s="39"/>
      <c r="O691" s="39"/>
      <c r="P691" s="39"/>
      <c r="Q691" s="39"/>
      <c r="R691" s="39"/>
      <c r="S691" s="39"/>
      <c r="T691" s="39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  <c r="AH691" s="14"/>
      <c r="AI691" s="14"/>
      <c r="AJ691" s="14"/>
      <c r="AK691" s="14"/>
      <c r="AL691" s="14"/>
      <c r="AM691" s="14"/>
      <c r="AN691" s="14"/>
      <c r="AO691" s="14"/>
      <c r="AP691" s="14"/>
    </row>
    <row r="692" spans="1:42" ht="13">
      <c r="A692" s="38"/>
      <c r="B692" s="14"/>
      <c r="C692" s="38"/>
      <c r="D692" s="38"/>
      <c r="E692" s="38"/>
      <c r="F692" s="38"/>
      <c r="G692" s="38"/>
      <c r="H692" s="14"/>
      <c r="I692" s="38"/>
      <c r="J692" s="38"/>
      <c r="K692" s="14"/>
      <c r="L692" s="14"/>
      <c r="M692" s="14"/>
      <c r="N692" s="39"/>
      <c r="O692" s="39"/>
      <c r="P692" s="39"/>
      <c r="Q692" s="39"/>
      <c r="R692" s="39"/>
      <c r="S692" s="39"/>
      <c r="T692" s="39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  <c r="AF692" s="14"/>
      <c r="AG692" s="14"/>
      <c r="AH692" s="14"/>
      <c r="AI692" s="14"/>
      <c r="AJ692" s="14"/>
      <c r="AK692" s="14"/>
      <c r="AL692" s="14"/>
      <c r="AM692" s="14"/>
      <c r="AN692" s="14"/>
      <c r="AO692" s="14"/>
      <c r="AP692" s="14"/>
    </row>
    <row r="693" spans="1:42" ht="13">
      <c r="A693" s="38"/>
      <c r="B693" s="14"/>
      <c r="C693" s="38"/>
      <c r="D693" s="38"/>
      <c r="E693" s="38"/>
      <c r="F693" s="38"/>
      <c r="G693" s="38"/>
      <c r="H693" s="14"/>
      <c r="I693" s="38"/>
      <c r="J693" s="38"/>
      <c r="K693" s="14"/>
      <c r="L693" s="14"/>
      <c r="M693" s="14"/>
      <c r="N693" s="39"/>
      <c r="O693" s="39"/>
      <c r="P693" s="39"/>
      <c r="Q693" s="39"/>
      <c r="R693" s="39"/>
      <c r="S693" s="39"/>
      <c r="T693" s="39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  <c r="AH693" s="14"/>
      <c r="AI693" s="14"/>
      <c r="AJ693" s="14"/>
      <c r="AK693" s="14"/>
      <c r="AL693" s="14"/>
      <c r="AM693" s="14"/>
      <c r="AN693" s="14"/>
      <c r="AO693" s="14"/>
      <c r="AP693" s="14"/>
    </row>
    <row r="694" spans="1:42" ht="13">
      <c r="A694" s="38"/>
      <c r="B694" s="14"/>
      <c r="C694" s="38"/>
      <c r="D694" s="38"/>
      <c r="E694" s="38"/>
      <c r="F694" s="38"/>
      <c r="G694" s="38"/>
      <c r="H694" s="14"/>
      <c r="I694" s="38"/>
      <c r="J694" s="38"/>
      <c r="K694" s="14"/>
      <c r="L694" s="14"/>
      <c r="M694" s="14"/>
      <c r="N694" s="39"/>
      <c r="O694" s="39"/>
      <c r="P694" s="39"/>
      <c r="Q694" s="39"/>
      <c r="R694" s="39"/>
      <c r="S694" s="39"/>
      <c r="T694" s="39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  <c r="AF694" s="14"/>
      <c r="AG694" s="14"/>
      <c r="AH694" s="14"/>
      <c r="AI694" s="14"/>
      <c r="AJ694" s="14"/>
      <c r="AK694" s="14"/>
      <c r="AL694" s="14"/>
      <c r="AM694" s="14"/>
      <c r="AN694" s="14"/>
      <c r="AO694" s="14"/>
      <c r="AP694" s="14"/>
    </row>
    <row r="695" spans="1:42" ht="13">
      <c r="A695" s="38"/>
      <c r="B695" s="14"/>
      <c r="C695" s="38"/>
      <c r="D695" s="38"/>
      <c r="E695" s="38"/>
      <c r="F695" s="38"/>
      <c r="G695" s="38"/>
      <c r="H695" s="14"/>
      <c r="I695" s="38"/>
      <c r="J695" s="38"/>
      <c r="K695" s="14"/>
      <c r="L695" s="14"/>
      <c r="M695" s="14"/>
      <c r="N695" s="39"/>
      <c r="O695" s="39"/>
      <c r="P695" s="39"/>
      <c r="Q695" s="39"/>
      <c r="R695" s="39"/>
      <c r="S695" s="39"/>
      <c r="T695" s="39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  <c r="AH695" s="14"/>
      <c r="AI695" s="14"/>
      <c r="AJ695" s="14"/>
      <c r="AK695" s="14"/>
      <c r="AL695" s="14"/>
      <c r="AM695" s="14"/>
      <c r="AN695" s="14"/>
      <c r="AO695" s="14"/>
      <c r="AP695" s="14"/>
    </row>
    <row r="696" spans="1:42" ht="13">
      <c r="A696" s="38"/>
      <c r="B696" s="14"/>
      <c r="C696" s="38"/>
      <c r="D696" s="38"/>
      <c r="E696" s="38"/>
      <c r="F696" s="38"/>
      <c r="G696" s="38"/>
      <c r="H696" s="14"/>
      <c r="I696" s="38"/>
      <c r="J696" s="38"/>
      <c r="K696" s="14"/>
      <c r="L696" s="14"/>
      <c r="M696" s="14"/>
      <c r="N696" s="39"/>
      <c r="O696" s="39"/>
      <c r="P696" s="39"/>
      <c r="Q696" s="39"/>
      <c r="R696" s="39"/>
      <c r="S696" s="39"/>
      <c r="T696" s="39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  <c r="AH696" s="14"/>
      <c r="AI696" s="14"/>
      <c r="AJ696" s="14"/>
      <c r="AK696" s="14"/>
      <c r="AL696" s="14"/>
      <c r="AM696" s="14"/>
      <c r="AN696" s="14"/>
      <c r="AO696" s="14"/>
      <c r="AP696" s="14"/>
    </row>
    <row r="697" spans="1:42" ht="13">
      <c r="A697" s="38"/>
      <c r="B697" s="14"/>
      <c r="C697" s="38"/>
      <c r="D697" s="38"/>
      <c r="E697" s="38"/>
      <c r="F697" s="38"/>
      <c r="G697" s="38"/>
      <c r="H697" s="14"/>
      <c r="I697" s="38"/>
      <c r="J697" s="38"/>
      <c r="K697" s="14"/>
      <c r="L697" s="14"/>
      <c r="M697" s="14"/>
      <c r="N697" s="39"/>
      <c r="O697" s="39"/>
      <c r="P697" s="39"/>
      <c r="Q697" s="39"/>
      <c r="R697" s="39"/>
      <c r="S697" s="39"/>
      <c r="T697" s="39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  <c r="AH697" s="14"/>
      <c r="AI697" s="14"/>
      <c r="AJ697" s="14"/>
      <c r="AK697" s="14"/>
      <c r="AL697" s="14"/>
      <c r="AM697" s="14"/>
      <c r="AN697" s="14"/>
      <c r="AO697" s="14"/>
      <c r="AP697" s="14"/>
    </row>
    <row r="698" spans="1:42" ht="13">
      <c r="A698" s="38"/>
      <c r="B698" s="14"/>
      <c r="C698" s="38"/>
      <c r="D698" s="38"/>
      <c r="E698" s="38"/>
      <c r="F698" s="38"/>
      <c r="G698" s="38"/>
      <c r="H698" s="14"/>
      <c r="I698" s="38"/>
      <c r="J698" s="38"/>
      <c r="K698" s="14"/>
      <c r="L698" s="14"/>
      <c r="M698" s="14"/>
      <c r="N698" s="39"/>
      <c r="O698" s="39"/>
      <c r="P698" s="39"/>
      <c r="Q698" s="39"/>
      <c r="R698" s="39"/>
      <c r="S698" s="39"/>
      <c r="T698" s="39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  <c r="AH698" s="14"/>
      <c r="AI698" s="14"/>
      <c r="AJ698" s="14"/>
      <c r="AK698" s="14"/>
      <c r="AL698" s="14"/>
      <c r="AM698" s="14"/>
      <c r="AN698" s="14"/>
      <c r="AO698" s="14"/>
      <c r="AP698" s="14"/>
    </row>
    <row r="699" spans="1:42" ht="13">
      <c r="A699" s="38"/>
      <c r="B699" s="14"/>
      <c r="C699" s="38"/>
      <c r="D699" s="38"/>
      <c r="E699" s="38"/>
      <c r="F699" s="38"/>
      <c r="G699" s="38"/>
      <c r="H699" s="14"/>
      <c r="I699" s="38"/>
      <c r="J699" s="38"/>
      <c r="K699" s="14"/>
      <c r="L699" s="14"/>
      <c r="M699" s="14"/>
      <c r="N699" s="39"/>
      <c r="O699" s="39"/>
      <c r="P699" s="39"/>
      <c r="Q699" s="39"/>
      <c r="R699" s="39"/>
      <c r="S699" s="39"/>
      <c r="T699" s="39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  <c r="AH699" s="14"/>
      <c r="AI699" s="14"/>
      <c r="AJ699" s="14"/>
      <c r="AK699" s="14"/>
      <c r="AL699" s="14"/>
      <c r="AM699" s="14"/>
      <c r="AN699" s="14"/>
      <c r="AO699" s="14"/>
      <c r="AP699" s="14"/>
    </row>
    <row r="700" spans="1:42" ht="13">
      <c r="A700" s="38"/>
      <c r="B700" s="14"/>
      <c r="C700" s="38"/>
      <c r="D700" s="38"/>
      <c r="E700" s="38"/>
      <c r="F700" s="38"/>
      <c r="G700" s="38"/>
      <c r="H700" s="14"/>
      <c r="I700" s="38"/>
      <c r="J700" s="38"/>
      <c r="K700" s="14"/>
      <c r="L700" s="14"/>
      <c r="M700" s="14"/>
      <c r="N700" s="39"/>
      <c r="O700" s="39"/>
      <c r="P700" s="39"/>
      <c r="Q700" s="39"/>
      <c r="R700" s="39"/>
      <c r="S700" s="39"/>
      <c r="T700" s="39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  <c r="AH700" s="14"/>
      <c r="AI700" s="14"/>
      <c r="AJ700" s="14"/>
      <c r="AK700" s="14"/>
      <c r="AL700" s="14"/>
      <c r="AM700" s="14"/>
      <c r="AN700" s="14"/>
      <c r="AO700" s="14"/>
      <c r="AP700" s="14"/>
    </row>
    <row r="701" spans="1:42" ht="13">
      <c r="A701" s="38"/>
      <c r="B701" s="14"/>
      <c r="C701" s="38"/>
      <c r="D701" s="38"/>
      <c r="E701" s="38"/>
      <c r="F701" s="38"/>
      <c r="G701" s="38"/>
      <c r="H701" s="14"/>
      <c r="I701" s="38"/>
      <c r="J701" s="38"/>
      <c r="K701" s="14"/>
      <c r="L701" s="14"/>
      <c r="M701" s="14"/>
      <c r="N701" s="39"/>
      <c r="O701" s="39"/>
      <c r="P701" s="39"/>
      <c r="Q701" s="39"/>
      <c r="R701" s="39"/>
      <c r="S701" s="39"/>
      <c r="T701" s="39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  <c r="AH701" s="14"/>
      <c r="AI701" s="14"/>
      <c r="AJ701" s="14"/>
      <c r="AK701" s="14"/>
      <c r="AL701" s="14"/>
      <c r="AM701" s="14"/>
      <c r="AN701" s="14"/>
      <c r="AO701" s="14"/>
      <c r="AP701" s="14"/>
    </row>
    <row r="702" spans="1:42" ht="13">
      <c r="A702" s="38"/>
      <c r="B702" s="14"/>
      <c r="C702" s="38"/>
      <c r="D702" s="38"/>
      <c r="E702" s="38"/>
      <c r="F702" s="38"/>
      <c r="G702" s="38"/>
      <c r="H702" s="14"/>
      <c r="I702" s="38"/>
      <c r="J702" s="38"/>
      <c r="K702" s="14"/>
      <c r="L702" s="14"/>
      <c r="M702" s="14"/>
      <c r="N702" s="39"/>
      <c r="O702" s="39"/>
      <c r="P702" s="39"/>
      <c r="Q702" s="39"/>
      <c r="R702" s="39"/>
      <c r="S702" s="39"/>
      <c r="T702" s="39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  <c r="AH702" s="14"/>
      <c r="AI702" s="14"/>
      <c r="AJ702" s="14"/>
      <c r="AK702" s="14"/>
      <c r="AL702" s="14"/>
      <c r="AM702" s="14"/>
      <c r="AN702" s="14"/>
      <c r="AO702" s="14"/>
      <c r="AP702" s="14"/>
    </row>
    <row r="703" spans="1:42" ht="13">
      <c r="A703" s="38"/>
      <c r="B703" s="14"/>
      <c r="C703" s="38"/>
      <c r="D703" s="38"/>
      <c r="E703" s="38"/>
      <c r="F703" s="38"/>
      <c r="G703" s="38"/>
      <c r="H703" s="14"/>
      <c r="I703" s="38"/>
      <c r="J703" s="38"/>
      <c r="K703" s="14"/>
      <c r="L703" s="14"/>
      <c r="M703" s="14"/>
      <c r="N703" s="39"/>
      <c r="O703" s="39"/>
      <c r="P703" s="39"/>
      <c r="Q703" s="39"/>
      <c r="R703" s="39"/>
      <c r="S703" s="39"/>
      <c r="T703" s="39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  <c r="AH703" s="14"/>
      <c r="AI703" s="14"/>
      <c r="AJ703" s="14"/>
      <c r="AK703" s="14"/>
      <c r="AL703" s="14"/>
      <c r="AM703" s="14"/>
      <c r="AN703" s="14"/>
      <c r="AO703" s="14"/>
      <c r="AP703" s="14"/>
    </row>
    <row r="704" spans="1:42" ht="13">
      <c r="A704" s="38"/>
      <c r="B704" s="14"/>
      <c r="C704" s="38"/>
      <c r="D704" s="38"/>
      <c r="E704" s="38"/>
      <c r="F704" s="38"/>
      <c r="G704" s="38"/>
      <c r="H704" s="14"/>
      <c r="I704" s="38"/>
      <c r="J704" s="38"/>
      <c r="K704" s="14"/>
      <c r="L704" s="14"/>
      <c r="M704" s="14"/>
      <c r="N704" s="39"/>
      <c r="O704" s="39"/>
      <c r="P704" s="39"/>
      <c r="Q704" s="39"/>
      <c r="R704" s="39"/>
      <c r="S704" s="39"/>
      <c r="T704" s="39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  <c r="AF704" s="14"/>
      <c r="AG704" s="14"/>
      <c r="AH704" s="14"/>
      <c r="AI704" s="14"/>
      <c r="AJ704" s="14"/>
      <c r="AK704" s="14"/>
      <c r="AL704" s="14"/>
      <c r="AM704" s="14"/>
      <c r="AN704" s="14"/>
      <c r="AO704" s="14"/>
      <c r="AP704" s="14"/>
    </row>
    <row r="705" spans="1:42" ht="13">
      <c r="A705" s="38"/>
      <c r="B705" s="14"/>
      <c r="C705" s="38"/>
      <c r="D705" s="38"/>
      <c r="E705" s="38"/>
      <c r="F705" s="38"/>
      <c r="G705" s="38"/>
      <c r="H705" s="14"/>
      <c r="I705" s="38"/>
      <c r="J705" s="38"/>
      <c r="K705" s="14"/>
      <c r="L705" s="14"/>
      <c r="M705" s="14"/>
      <c r="N705" s="39"/>
      <c r="O705" s="39"/>
      <c r="P705" s="39"/>
      <c r="Q705" s="39"/>
      <c r="R705" s="39"/>
      <c r="S705" s="39"/>
      <c r="T705" s="39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  <c r="AH705" s="14"/>
      <c r="AI705" s="14"/>
      <c r="AJ705" s="14"/>
      <c r="AK705" s="14"/>
      <c r="AL705" s="14"/>
      <c r="AM705" s="14"/>
      <c r="AN705" s="14"/>
      <c r="AO705" s="14"/>
      <c r="AP705" s="14"/>
    </row>
    <row r="706" spans="1:42" ht="13">
      <c r="A706" s="38"/>
      <c r="B706" s="14"/>
      <c r="C706" s="38"/>
      <c r="D706" s="38"/>
      <c r="E706" s="38"/>
      <c r="F706" s="38"/>
      <c r="G706" s="38"/>
      <c r="H706" s="14"/>
      <c r="I706" s="38"/>
      <c r="J706" s="38"/>
      <c r="K706" s="14"/>
      <c r="L706" s="14"/>
      <c r="M706" s="14"/>
      <c r="N706" s="39"/>
      <c r="O706" s="39"/>
      <c r="P706" s="39"/>
      <c r="Q706" s="39"/>
      <c r="R706" s="39"/>
      <c r="S706" s="39"/>
      <c r="T706" s="39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  <c r="AF706" s="14"/>
      <c r="AG706" s="14"/>
      <c r="AH706" s="14"/>
      <c r="AI706" s="14"/>
      <c r="AJ706" s="14"/>
      <c r="AK706" s="14"/>
      <c r="AL706" s="14"/>
      <c r="AM706" s="14"/>
      <c r="AN706" s="14"/>
      <c r="AO706" s="14"/>
      <c r="AP706" s="14"/>
    </row>
    <row r="707" spans="1:42" ht="13">
      <c r="A707" s="38"/>
      <c r="B707" s="14"/>
      <c r="C707" s="38"/>
      <c r="D707" s="38"/>
      <c r="E707" s="38"/>
      <c r="F707" s="38"/>
      <c r="G707" s="38"/>
      <c r="H707" s="14"/>
      <c r="I707" s="38"/>
      <c r="J707" s="38"/>
      <c r="K707" s="14"/>
      <c r="L707" s="14"/>
      <c r="M707" s="14"/>
      <c r="N707" s="39"/>
      <c r="O707" s="39"/>
      <c r="P707" s="39"/>
      <c r="Q707" s="39"/>
      <c r="R707" s="39"/>
      <c r="S707" s="39"/>
      <c r="T707" s="39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  <c r="AH707" s="14"/>
      <c r="AI707" s="14"/>
      <c r="AJ707" s="14"/>
      <c r="AK707" s="14"/>
      <c r="AL707" s="14"/>
      <c r="AM707" s="14"/>
      <c r="AN707" s="14"/>
      <c r="AO707" s="14"/>
      <c r="AP707" s="14"/>
    </row>
    <row r="708" spans="1:42" ht="13">
      <c r="A708" s="38"/>
      <c r="B708" s="14"/>
      <c r="C708" s="38"/>
      <c r="D708" s="38"/>
      <c r="E708" s="38"/>
      <c r="F708" s="38"/>
      <c r="G708" s="38"/>
      <c r="H708" s="14"/>
      <c r="I708" s="38"/>
      <c r="J708" s="38"/>
      <c r="K708" s="14"/>
      <c r="L708" s="14"/>
      <c r="M708" s="14"/>
      <c r="N708" s="39"/>
      <c r="O708" s="39"/>
      <c r="P708" s="39"/>
      <c r="Q708" s="39"/>
      <c r="R708" s="39"/>
      <c r="S708" s="39"/>
      <c r="T708" s="39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  <c r="AF708" s="14"/>
      <c r="AG708" s="14"/>
      <c r="AH708" s="14"/>
      <c r="AI708" s="14"/>
      <c r="AJ708" s="14"/>
      <c r="AK708" s="14"/>
      <c r="AL708" s="14"/>
      <c r="AM708" s="14"/>
      <c r="AN708" s="14"/>
      <c r="AO708" s="14"/>
      <c r="AP708" s="14"/>
    </row>
    <row r="709" spans="1:42" ht="13">
      <c r="A709" s="38"/>
      <c r="B709" s="14"/>
      <c r="C709" s="38"/>
      <c r="D709" s="38"/>
      <c r="E709" s="38"/>
      <c r="F709" s="38"/>
      <c r="G709" s="38"/>
      <c r="H709" s="14"/>
      <c r="I709" s="38"/>
      <c r="J709" s="38"/>
      <c r="K709" s="14"/>
      <c r="L709" s="14"/>
      <c r="M709" s="14"/>
      <c r="N709" s="39"/>
      <c r="O709" s="39"/>
      <c r="P709" s="39"/>
      <c r="Q709" s="39"/>
      <c r="R709" s="39"/>
      <c r="S709" s="39"/>
      <c r="T709" s="39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  <c r="AH709" s="14"/>
      <c r="AI709" s="14"/>
      <c r="AJ709" s="14"/>
      <c r="AK709" s="14"/>
      <c r="AL709" s="14"/>
      <c r="AM709" s="14"/>
      <c r="AN709" s="14"/>
      <c r="AO709" s="14"/>
      <c r="AP709" s="14"/>
    </row>
    <row r="710" spans="1:42" ht="13">
      <c r="A710" s="38"/>
      <c r="B710" s="14"/>
      <c r="C710" s="38"/>
      <c r="D710" s="38"/>
      <c r="E710" s="38"/>
      <c r="F710" s="38"/>
      <c r="G710" s="38"/>
      <c r="H710" s="14"/>
      <c r="I710" s="38"/>
      <c r="J710" s="38"/>
      <c r="K710" s="14"/>
      <c r="L710" s="14"/>
      <c r="M710" s="14"/>
      <c r="N710" s="39"/>
      <c r="O710" s="39"/>
      <c r="P710" s="39"/>
      <c r="Q710" s="39"/>
      <c r="R710" s="39"/>
      <c r="S710" s="39"/>
      <c r="T710" s="39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  <c r="AF710" s="14"/>
      <c r="AG710" s="14"/>
      <c r="AH710" s="14"/>
      <c r="AI710" s="14"/>
      <c r="AJ710" s="14"/>
      <c r="AK710" s="14"/>
      <c r="AL710" s="14"/>
      <c r="AM710" s="14"/>
      <c r="AN710" s="14"/>
      <c r="AO710" s="14"/>
      <c r="AP710" s="14"/>
    </row>
    <row r="711" spans="1:42" ht="13">
      <c r="A711" s="38"/>
      <c r="B711" s="14"/>
      <c r="C711" s="38"/>
      <c r="D711" s="38"/>
      <c r="E711" s="38"/>
      <c r="F711" s="38"/>
      <c r="G711" s="38"/>
      <c r="H711" s="14"/>
      <c r="I711" s="38"/>
      <c r="J711" s="38"/>
      <c r="K711" s="14"/>
      <c r="L711" s="14"/>
      <c r="M711" s="14"/>
      <c r="N711" s="39"/>
      <c r="O711" s="39"/>
      <c r="P711" s="39"/>
      <c r="Q711" s="39"/>
      <c r="R711" s="39"/>
      <c r="S711" s="39"/>
      <c r="T711" s="39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  <c r="AH711" s="14"/>
      <c r="AI711" s="14"/>
      <c r="AJ711" s="14"/>
      <c r="AK711" s="14"/>
      <c r="AL711" s="14"/>
      <c r="AM711" s="14"/>
      <c r="AN711" s="14"/>
      <c r="AO711" s="14"/>
      <c r="AP711" s="14"/>
    </row>
    <row r="712" spans="1:42" ht="13">
      <c r="A712" s="38"/>
      <c r="B712" s="14"/>
      <c r="C712" s="38"/>
      <c r="D712" s="38"/>
      <c r="E712" s="38"/>
      <c r="F712" s="38"/>
      <c r="G712" s="38"/>
      <c r="H712" s="14"/>
      <c r="I712" s="38"/>
      <c r="J712" s="38"/>
      <c r="K712" s="14"/>
      <c r="L712" s="14"/>
      <c r="M712" s="14"/>
      <c r="N712" s="39"/>
      <c r="O712" s="39"/>
      <c r="P712" s="39"/>
      <c r="Q712" s="39"/>
      <c r="R712" s="39"/>
      <c r="S712" s="39"/>
      <c r="T712" s="39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  <c r="AF712" s="14"/>
      <c r="AG712" s="14"/>
      <c r="AH712" s="14"/>
      <c r="AI712" s="14"/>
      <c r="AJ712" s="14"/>
      <c r="AK712" s="14"/>
      <c r="AL712" s="14"/>
      <c r="AM712" s="14"/>
      <c r="AN712" s="14"/>
      <c r="AO712" s="14"/>
      <c r="AP712" s="14"/>
    </row>
    <row r="713" spans="1:42" ht="13">
      <c r="A713" s="38"/>
      <c r="B713" s="14"/>
      <c r="C713" s="38"/>
      <c r="D713" s="38"/>
      <c r="E713" s="38"/>
      <c r="F713" s="38"/>
      <c r="G713" s="38"/>
      <c r="H713" s="14"/>
      <c r="I713" s="38"/>
      <c r="J713" s="38"/>
      <c r="K713" s="14"/>
      <c r="L713" s="14"/>
      <c r="M713" s="14"/>
      <c r="N713" s="39"/>
      <c r="O713" s="39"/>
      <c r="P713" s="39"/>
      <c r="Q713" s="39"/>
      <c r="R713" s="39"/>
      <c r="S713" s="39"/>
      <c r="T713" s="39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  <c r="AH713" s="14"/>
      <c r="AI713" s="14"/>
      <c r="AJ713" s="14"/>
      <c r="AK713" s="14"/>
      <c r="AL713" s="14"/>
      <c r="AM713" s="14"/>
      <c r="AN713" s="14"/>
      <c r="AO713" s="14"/>
      <c r="AP713" s="14"/>
    </row>
    <row r="714" spans="1:42" ht="13">
      <c r="A714" s="38"/>
      <c r="B714" s="14"/>
      <c r="C714" s="38"/>
      <c r="D714" s="38"/>
      <c r="E714" s="38"/>
      <c r="F714" s="38"/>
      <c r="G714" s="38"/>
      <c r="H714" s="14"/>
      <c r="I714" s="38"/>
      <c r="J714" s="38"/>
      <c r="K714" s="14"/>
      <c r="L714" s="14"/>
      <c r="M714" s="14"/>
      <c r="N714" s="39"/>
      <c r="O714" s="39"/>
      <c r="P714" s="39"/>
      <c r="Q714" s="39"/>
      <c r="R714" s="39"/>
      <c r="S714" s="39"/>
      <c r="T714" s="39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  <c r="AH714" s="14"/>
      <c r="AI714" s="14"/>
      <c r="AJ714" s="14"/>
      <c r="AK714" s="14"/>
      <c r="AL714" s="14"/>
      <c r="AM714" s="14"/>
      <c r="AN714" s="14"/>
      <c r="AO714" s="14"/>
      <c r="AP714" s="14"/>
    </row>
    <row r="715" spans="1:42" ht="13">
      <c r="A715" s="38"/>
      <c r="B715" s="14"/>
      <c r="C715" s="38"/>
      <c r="D715" s="38"/>
      <c r="E715" s="38"/>
      <c r="F715" s="38"/>
      <c r="G715" s="38"/>
      <c r="H715" s="14"/>
      <c r="I715" s="38"/>
      <c r="J715" s="38"/>
      <c r="K715" s="14"/>
      <c r="L715" s="14"/>
      <c r="M715" s="14"/>
      <c r="N715" s="39"/>
      <c r="O715" s="39"/>
      <c r="P715" s="39"/>
      <c r="Q715" s="39"/>
      <c r="R715" s="39"/>
      <c r="S715" s="39"/>
      <c r="T715" s="39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  <c r="AH715" s="14"/>
      <c r="AI715" s="14"/>
      <c r="AJ715" s="14"/>
      <c r="AK715" s="14"/>
      <c r="AL715" s="14"/>
      <c r="AM715" s="14"/>
      <c r="AN715" s="14"/>
      <c r="AO715" s="14"/>
      <c r="AP715" s="14"/>
    </row>
    <row r="716" spans="1:42" ht="13">
      <c r="A716" s="38"/>
      <c r="B716" s="14"/>
      <c r="C716" s="38"/>
      <c r="D716" s="38"/>
      <c r="E716" s="38"/>
      <c r="F716" s="38"/>
      <c r="G716" s="38"/>
      <c r="H716" s="14"/>
      <c r="I716" s="38"/>
      <c r="J716" s="38"/>
      <c r="K716" s="14"/>
      <c r="L716" s="14"/>
      <c r="M716" s="14"/>
      <c r="N716" s="39"/>
      <c r="O716" s="39"/>
      <c r="P716" s="39"/>
      <c r="Q716" s="39"/>
      <c r="R716" s="39"/>
      <c r="S716" s="39"/>
      <c r="T716" s="39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  <c r="AF716" s="14"/>
      <c r="AG716" s="14"/>
      <c r="AH716" s="14"/>
      <c r="AI716" s="14"/>
      <c r="AJ716" s="14"/>
      <c r="AK716" s="14"/>
      <c r="AL716" s="14"/>
      <c r="AM716" s="14"/>
      <c r="AN716" s="14"/>
      <c r="AO716" s="14"/>
      <c r="AP716" s="14"/>
    </row>
    <row r="717" spans="1:42" ht="13">
      <c r="A717" s="38"/>
      <c r="B717" s="14"/>
      <c r="C717" s="38"/>
      <c r="D717" s="38"/>
      <c r="E717" s="38"/>
      <c r="F717" s="38"/>
      <c r="G717" s="38"/>
      <c r="H717" s="14"/>
      <c r="I717" s="38"/>
      <c r="J717" s="38"/>
      <c r="K717" s="14"/>
      <c r="L717" s="14"/>
      <c r="M717" s="14"/>
      <c r="N717" s="39"/>
      <c r="O717" s="39"/>
      <c r="P717" s="39"/>
      <c r="Q717" s="39"/>
      <c r="R717" s="39"/>
      <c r="S717" s="39"/>
      <c r="T717" s="39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  <c r="AH717" s="14"/>
      <c r="AI717" s="14"/>
      <c r="AJ717" s="14"/>
      <c r="AK717" s="14"/>
      <c r="AL717" s="14"/>
      <c r="AM717" s="14"/>
      <c r="AN717" s="14"/>
      <c r="AO717" s="14"/>
      <c r="AP717" s="14"/>
    </row>
    <row r="718" spans="1:42" ht="13">
      <c r="A718" s="38"/>
      <c r="B718" s="14"/>
      <c r="C718" s="38"/>
      <c r="D718" s="38"/>
      <c r="E718" s="38"/>
      <c r="F718" s="38"/>
      <c r="G718" s="38"/>
      <c r="H718" s="14"/>
      <c r="I718" s="38"/>
      <c r="J718" s="38"/>
      <c r="K718" s="14"/>
      <c r="L718" s="14"/>
      <c r="M718" s="14"/>
      <c r="N718" s="39"/>
      <c r="O718" s="39"/>
      <c r="P718" s="39"/>
      <c r="Q718" s="39"/>
      <c r="R718" s="39"/>
      <c r="S718" s="39"/>
      <c r="T718" s="39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14"/>
      <c r="AG718" s="14"/>
      <c r="AH718" s="14"/>
      <c r="AI718" s="14"/>
      <c r="AJ718" s="14"/>
      <c r="AK718" s="14"/>
      <c r="AL718" s="14"/>
      <c r="AM718" s="14"/>
      <c r="AN718" s="14"/>
      <c r="AO718" s="14"/>
      <c r="AP718" s="14"/>
    </row>
    <row r="719" spans="1:42" ht="13">
      <c r="A719" s="38"/>
      <c r="B719" s="14"/>
      <c r="C719" s="38"/>
      <c r="D719" s="38"/>
      <c r="E719" s="38"/>
      <c r="F719" s="38"/>
      <c r="G719" s="38"/>
      <c r="H719" s="14"/>
      <c r="I719" s="38"/>
      <c r="J719" s="38"/>
      <c r="K719" s="14"/>
      <c r="L719" s="14"/>
      <c r="M719" s="14"/>
      <c r="N719" s="39"/>
      <c r="O719" s="39"/>
      <c r="P719" s="39"/>
      <c r="Q719" s="39"/>
      <c r="R719" s="39"/>
      <c r="S719" s="39"/>
      <c r="T719" s="39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  <c r="AH719" s="14"/>
      <c r="AI719" s="14"/>
      <c r="AJ719" s="14"/>
      <c r="AK719" s="14"/>
      <c r="AL719" s="14"/>
      <c r="AM719" s="14"/>
      <c r="AN719" s="14"/>
      <c r="AO719" s="14"/>
      <c r="AP719" s="14"/>
    </row>
    <row r="720" spans="1:42" ht="13">
      <c r="A720" s="38"/>
      <c r="B720" s="14"/>
      <c r="C720" s="38"/>
      <c r="D720" s="38"/>
      <c r="E720" s="38"/>
      <c r="F720" s="38"/>
      <c r="G720" s="38"/>
      <c r="H720" s="14"/>
      <c r="I720" s="38"/>
      <c r="J720" s="38"/>
      <c r="K720" s="14"/>
      <c r="L720" s="14"/>
      <c r="M720" s="14"/>
      <c r="N720" s="39"/>
      <c r="O720" s="39"/>
      <c r="P720" s="39"/>
      <c r="Q720" s="39"/>
      <c r="R720" s="39"/>
      <c r="S720" s="39"/>
      <c r="T720" s="39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  <c r="AH720" s="14"/>
      <c r="AI720" s="14"/>
      <c r="AJ720" s="14"/>
      <c r="AK720" s="14"/>
      <c r="AL720" s="14"/>
      <c r="AM720" s="14"/>
      <c r="AN720" s="14"/>
      <c r="AO720" s="14"/>
      <c r="AP720" s="14"/>
    </row>
    <row r="721" spans="1:42" ht="13">
      <c r="A721" s="38"/>
      <c r="B721" s="14"/>
      <c r="C721" s="38"/>
      <c r="D721" s="38"/>
      <c r="E721" s="38"/>
      <c r="F721" s="38"/>
      <c r="G721" s="38"/>
      <c r="H721" s="14"/>
      <c r="I721" s="38"/>
      <c r="J721" s="38"/>
      <c r="K721" s="14"/>
      <c r="L721" s="14"/>
      <c r="M721" s="14"/>
      <c r="N721" s="39"/>
      <c r="O721" s="39"/>
      <c r="P721" s="39"/>
      <c r="Q721" s="39"/>
      <c r="R721" s="39"/>
      <c r="S721" s="39"/>
      <c r="T721" s="39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  <c r="AH721" s="14"/>
      <c r="AI721" s="14"/>
      <c r="AJ721" s="14"/>
      <c r="AK721" s="14"/>
      <c r="AL721" s="14"/>
      <c r="AM721" s="14"/>
      <c r="AN721" s="14"/>
      <c r="AO721" s="14"/>
      <c r="AP721" s="14"/>
    </row>
    <row r="722" spans="1:42" ht="13">
      <c r="A722" s="38"/>
      <c r="B722" s="14"/>
      <c r="C722" s="38"/>
      <c r="D722" s="38"/>
      <c r="E722" s="38"/>
      <c r="F722" s="38"/>
      <c r="G722" s="38"/>
      <c r="H722" s="14"/>
      <c r="I722" s="38"/>
      <c r="J722" s="38"/>
      <c r="K722" s="14"/>
      <c r="L722" s="14"/>
      <c r="M722" s="14"/>
      <c r="N722" s="39"/>
      <c r="O722" s="39"/>
      <c r="P722" s="39"/>
      <c r="Q722" s="39"/>
      <c r="R722" s="39"/>
      <c r="S722" s="39"/>
      <c r="T722" s="39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  <c r="AH722" s="14"/>
      <c r="AI722" s="14"/>
      <c r="AJ722" s="14"/>
      <c r="AK722" s="14"/>
      <c r="AL722" s="14"/>
      <c r="AM722" s="14"/>
      <c r="AN722" s="14"/>
      <c r="AO722" s="14"/>
      <c r="AP722" s="14"/>
    </row>
    <row r="723" spans="1:42" ht="13">
      <c r="A723" s="38"/>
      <c r="B723" s="14"/>
      <c r="C723" s="38"/>
      <c r="D723" s="38"/>
      <c r="E723" s="38"/>
      <c r="F723" s="38"/>
      <c r="G723" s="38"/>
      <c r="H723" s="14"/>
      <c r="I723" s="38"/>
      <c r="J723" s="38"/>
      <c r="K723" s="14"/>
      <c r="L723" s="14"/>
      <c r="M723" s="14"/>
      <c r="N723" s="39"/>
      <c r="O723" s="39"/>
      <c r="P723" s="39"/>
      <c r="Q723" s="39"/>
      <c r="R723" s="39"/>
      <c r="S723" s="39"/>
      <c r="T723" s="39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  <c r="AH723" s="14"/>
      <c r="AI723" s="14"/>
      <c r="AJ723" s="14"/>
      <c r="AK723" s="14"/>
      <c r="AL723" s="14"/>
      <c r="AM723" s="14"/>
      <c r="AN723" s="14"/>
      <c r="AO723" s="14"/>
      <c r="AP723" s="14"/>
    </row>
    <row r="724" spans="1:42" ht="13">
      <c r="A724" s="38"/>
      <c r="B724" s="14"/>
      <c r="C724" s="38"/>
      <c r="D724" s="38"/>
      <c r="E724" s="38"/>
      <c r="F724" s="38"/>
      <c r="G724" s="38"/>
      <c r="H724" s="14"/>
      <c r="I724" s="38"/>
      <c r="J724" s="38"/>
      <c r="K724" s="14"/>
      <c r="L724" s="14"/>
      <c r="M724" s="14"/>
      <c r="N724" s="39"/>
      <c r="O724" s="39"/>
      <c r="P724" s="39"/>
      <c r="Q724" s="39"/>
      <c r="R724" s="39"/>
      <c r="S724" s="39"/>
      <c r="T724" s="39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  <c r="AG724" s="14"/>
      <c r="AH724" s="14"/>
      <c r="AI724" s="14"/>
      <c r="AJ724" s="14"/>
      <c r="AK724" s="14"/>
      <c r="AL724" s="14"/>
      <c r="AM724" s="14"/>
      <c r="AN724" s="14"/>
      <c r="AO724" s="14"/>
      <c r="AP724" s="14"/>
    </row>
    <row r="725" spans="1:42" ht="13">
      <c r="A725" s="38"/>
      <c r="B725" s="14"/>
      <c r="C725" s="38"/>
      <c r="D725" s="38"/>
      <c r="E725" s="38"/>
      <c r="F725" s="38"/>
      <c r="G725" s="38"/>
      <c r="H725" s="14"/>
      <c r="I725" s="38"/>
      <c r="J725" s="38"/>
      <c r="K725" s="14"/>
      <c r="L725" s="14"/>
      <c r="M725" s="14"/>
      <c r="N725" s="39"/>
      <c r="O725" s="39"/>
      <c r="P725" s="39"/>
      <c r="Q725" s="39"/>
      <c r="R725" s="39"/>
      <c r="S725" s="39"/>
      <c r="T725" s="39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  <c r="AH725" s="14"/>
      <c r="AI725" s="14"/>
      <c r="AJ725" s="14"/>
      <c r="AK725" s="14"/>
      <c r="AL725" s="14"/>
      <c r="AM725" s="14"/>
      <c r="AN725" s="14"/>
      <c r="AO725" s="14"/>
      <c r="AP725" s="14"/>
    </row>
    <row r="726" spans="1:42" ht="13">
      <c r="A726" s="38"/>
      <c r="B726" s="14"/>
      <c r="C726" s="38"/>
      <c r="D726" s="38"/>
      <c r="E726" s="38"/>
      <c r="F726" s="38"/>
      <c r="G726" s="38"/>
      <c r="H726" s="14"/>
      <c r="I726" s="38"/>
      <c r="J726" s="38"/>
      <c r="K726" s="14"/>
      <c r="L726" s="14"/>
      <c r="M726" s="14"/>
      <c r="N726" s="39"/>
      <c r="O726" s="39"/>
      <c r="P726" s="39"/>
      <c r="Q726" s="39"/>
      <c r="R726" s="39"/>
      <c r="S726" s="39"/>
      <c r="T726" s="39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  <c r="AG726" s="14"/>
      <c r="AH726" s="14"/>
      <c r="AI726" s="14"/>
      <c r="AJ726" s="14"/>
      <c r="AK726" s="14"/>
      <c r="AL726" s="14"/>
      <c r="AM726" s="14"/>
      <c r="AN726" s="14"/>
      <c r="AO726" s="14"/>
      <c r="AP726" s="14"/>
    </row>
    <row r="727" spans="1:42" ht="13">
      <c r="A727" s="38"/>
      <c r="B727" s="14"/>
      <c r="C727" s="38"/>
      <c r="D727" s="38"/>
      <c r="E727" s="38"/>
      <c r="F727" s="38"/>
      <c r="G727" s="38"/>
      <c r="H727" s="14"/>
      <c r="I727" s="38"/>
      <c r="J727" s="38"/>
      <c r="K727" s="14"/>
      <c r="L727" s="14"/>
      <c r="M727" s="14"/>
      <c r="N727" s="39"/>
      <c r="O727" s="39"/>
      <c r="P727" s="39"/>
      <c r="Q727" s="39"/>
      <c r="R727" s="39"/>
      <c r="S727" s="39"/>
      <c r="T727" s="39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  <c r="AH727" s="14"/>
      <c r="AI727" s="14"/>
      <c r="AJ727" s="14"/>
      <c r="AK727" s="14"/>
      <c r="AL727" s="14"/>
      <c r="AM727" s="14"/>
      <c r="AN727" s="14"/>
      <c r="AO727" s="14"/>
      <c r="AP727" s="14"/>
    </row>
    <row r="728" spans="1:42" ht="13">
      <c r="A728" s="38"/>
      <c r="B728" s="14"/>
      <c r="C728" s="38"/>
      <c r="D728" s="38"/>
      <c r="E728" s="38"/>
      <c r="F728" s="38"/>
      <c r="G728" s="38"/>
      <c r="H728" s="14"/>
      <c r="I728" s="38"/>
      <c r="J728" s="38"/>
      <c r="K728" s="14"/>
      <c r="L728" s="14"/>
      <c r="M728" s="14"/>
      <c r="N728" s="39"/>
      <c r="O728" s="39"/>
      <c r="P728" s="39"/>
      <c r="Q728" s="39"/>
      <c r="R728" s="39"/>
      <c r="S728" s="39"/>
      <c r="T728" s="39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  <c r="AH728" s="14"/>
      <c r="AI728" s="14"/>
      <c r="AJ728" s="14"/>
      <c r="AK728" s="14"/>
      <c r="AL728" s="14"/>
      <c r="AM728" s="14"/>
      <c r="AN728" s="14"/>
      <c r="AO728" s="14"/>
      <c r="AP728" s="14"/>
    </row>
    <row r="729" spans="1:42" ht="13">
      <c r="A729" s="38"/>
      <c r="B729" s="14"/>
      <c r="C729" s="38"/>
      <c r="D729" s="38"/>
      <c r="E729" s="38"/>
      <c r="F729" s="38"/>
      <c r="G729" s="38"/>
      <c r="H729" s="14"/>
      <c r="I729" s="38"/>
      <c r="J729" s="38"/>
      <c r="K729" s="14"/>
      <c r="L729" s="14"/>
      <c r="M729" s="14"/>
      <c r="N729" s="39"/>
      <c r="O729" s="39"/>
      <c r="P729" s="39"/>
      <c r="Q729" s="39"/>
      <c r="R729" s="39"/>
      <c r="S729" s="39"/>
      <c r="T729" s="39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  <c r="AH729" s="14"/>
      <c r="AI729" s="14"/>
      <c r="AJ729" s="14"/>
      <c r="AK729" s="14"/>
      <c r="AL729" s="14"/>
      <c r="AM729" s="14"/>
      <c r="AN729" s="14"/>
      <c r="AO729" s="14"/>
      <c r="AP729" s="14"/>
    </row>
    <row r="730" spans="1:42" ht="13">
      <c r="A730" s="38"/>
      <c r="B730" s="14"/>
      <c r="C730" s="38"/>
      <c r="D730" s="38"/>
      <c r="E730" s="38"/>
      <c r="F730" s="38"/>
      <c r="G730" s="38"/>
      <c r="H730" s="14"/>
      <c r="I730" s="38"/>
      <c r="J730" s="38"/>
      <c r="K730" s="14"/>
      <c r="L730" s="14"/>
      <c r="M730" s="14"/>
      <c r="N730" s="39"/>
      <c r="O730" s="39"/>
      <c r="P730" s="39"/>
      <c r="Q730" s="39"/>
      <c r="R730" s="39"/>
      <c r="S730" s="39"/>
      <c r="T730" s="39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  <c r="AH730" s="14"/>
      <c r="AI730" s="14"/>
      <c r="AJ730" s="14"/>
      <c r="AK730" s="14"/>
      <c r="AL730" s="14"/>
      <c r="AM730" s="14"/>
      <c r="AN730" s="14"/>
      <c r="AO730" s="14"/>
      <c r="AP730" s="14"/>
    </row>
    <row r="731" spans="1:42" ht="13">
      <c r="A731" s="38"/>
      <c r="B731" s="14"/>
      <c r="C731" s="38"/>
      <c r="D731" s="38"/>
      <c r="E731" s="38"/>
      <c r="F731" s="38"/>
      <c r="G731" s="38"/>
      <c r="H731" s="14"/>
      <c r="I731" s="38"/>
      <c r="J731" s="38"/>
      <c r="K731" s="14"/>
      <c r="L731" s="14"/>
      <c r="M731" s="14"/>
      <c r="N731" s="39"/>
      <c r="O731" s="39"/>
      <c r="P731" s="39"/>
      <c r="Q731" s="39"/>
      <c r="R731" s="39"/>
      <c r="S731" s="39"/>
      <c r="T731" s="39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  <c r="AH731" s="14"/>
      <c r="AI731" s="14"/>
      <c r="AJ731" s="14"/>
      <c r="AK731" s="14"/>
      <c r="AL731" s="14"/>
      <c r="AM731" s="14"/>
      <c r="AN731" s="14"/>
      <c r="AO731" s="14"/>
      <c r="AP731" s="14"/>
    </row>
    <row r="732" spans="1:42" ht="13">
      <c r="A732" s="38"/>
      <c r="B732" s="14"/>
      <c r="C732" s="38"/>
      <c r="D732" s="38"/>
      <c r="E732" s="38"/>
      <c r="F732" s="38"/>
      <c r="G732" s="38"/>
      <c r="H732" s="14"/>
      <c r="I732" s="38"/>
      <c r="J732" s="38"/>
      <c r="K732" s="14"/>
      <c r="L732" s="14"/>
      <c r="M732" s="14"/>
      <c r="N732" s="39"/>
      <c r="O732" s="39"/>
      <c r="P732" s="39"/>
      <c r="Q732" s="39"/>
      <c r="R732" s="39"/>
      <c r="S732" s="39"/>
      <c r="T732" s="39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  <c r="AG732" s="14"/>
      <c r="AH732" s="14"/>
      <c r="AI732" s="14"/>
      <c r="AJ732" s="14"/>
      <c r="AK732" s="14"/>
      <c r="AL732" s="14"/>
      <c r="AM732" s="14"/>
      <c r="AN732" s="14"/>
      <c r="AO732" s="14"/>
      <c r="AP732" s="14"/>
    </row>
    <row r="733" spans="1:42" ht="13">
      <c r="A733" s="38"/>
      <c r="B733" s="14"/>
      <c r="C733" s="38"/>
      <c r="D733" s="38"/>
      <c r="E733" s="38"/>
      <c r="F733" s="38"/>
      <c r="G733" s="38"/>
      <c r="H733" s="14"/>
      <c r="I733" s="38"/>
      <c r="J733" s="38"/>
      <c r="K733" s="14"/>
      <c r="L733" s="14"/>
      <c r="M733" s="14"/>
      <c r="N733" s="39"/>
      <c r="O733" s="39"/>
      <c r="P733" s="39"/>
      <c r="Q733" s="39"/>
      <c r="R733" s="39"/>
      <c r="S733" s="39"/>
      <c r="T733" s="39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  <c r="AH733" s="14"/>
      <c r="AI733" s="14"/>
      <c r="AJ733" s="14"/>
      <c r="AK733" s="14"/>
      <c r="AL733" s="14"/>
      <c r="AM733" s="14"/>
      <c r="AN733" s="14"/>
      <c r="AO733" s="14"/>
      <c r="AP733" s="14"/>
    </row>
    <row r="734" spans="1:42" ht="13">
      <c r="A734" s="38"/>
      <c r="B734" s="14"/>
      <c r="C734" s="38"/>
      <c r="D734" s="38"/>
      <c r="E734" s="38"/>
      <c r="F734" s="38"/>
      <c r="G734" s="38"/>
      <c r="H734" s="14"/>
      <c r="I734" s="38"/>
      <c r="J734" s="38"/>
      <c r="K734" s="14"/>
      <c r="L734" s="14"/>
      <c r="M734" s="14"/>
      <c r="N734" s="39"/>
      <c r="O734" s="39"/>
      <c r="P734" s="39"/>
      <c r="Q734" s="39"/>
      <c r="R734" s="39"/>
      <c r="S734" s="39"/>
      <c r="T734" s="39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  <c r="AH734" s="14"/>
      <c r="AI734" s="14"/>
      <c r="AJ734" s="14"/>
      <c r="AK734" s="14"/>
      <c r="AL734" s="14"/>
      <c r="AM734" s="14"/>
      <c r="AN734" s="14"/>
      <c r="AO734" s="14"/>
      <c r="AP734" s="14"/>
    </row>
    <row r="735" spans="1:42" ht="13">
      <c r="A735" s="38"/>
      <c r="B735" s="14"/>
      <c r="C735" s="38"/>
      <c r="D735" s="38"/>
      <c r="E735" s="38"/>
      <c r="F735" s="38"/>
      <c r="G735" s="38"/>
      <c r="H735" s="14"/>
      <c r="I735" s="38"/>
      <c r="J735" s="38"/>
      <c r="K735" s="14"/>
      <c r="L735" s="14"/>
      <c r="M735" s="14"/>
      <c r="N735" s="39"/>
      <c r="O735" s="39"/>
      <c r="P735" s="39"/>
      <c r="Q735" s="39"/>
      <c r="R735" s="39"/>
      <c r="S735" s="39"/>
      <c r="T735" s="39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  <c r="AH735" s="14"/>
      <c r="AI735" s="14"/>
      <c r="AJ735" s="14"/>
      <c r="AK735" s="14"/>
      <c r="AL735" s="14"/>
      <c r="AM735" s="14"/>
      <c r="AN735" s="14"/>
      <c r="AO735" s="14"/>
      <c r="AP735" s="14"/>
    </row>
    <row r="736" spans="1:42" ht="13">
      <c r="A736" s="38"/>
      <c r="B736" s="14"/>
      <c r="C736" s="38"/>
      <c r="D736" s="38"/>
      <c r="E736" s="38"/>
      <c r="F736" s="38"/>
      <c r="G736" s="38"/>
      <c r="H736" s="14"/>
      <c r="I736" s="38"/>
      <c r="J736" s="38"/>
      <c r="K736" s="14"/>
      <c r="L736" s="14"/>
      <c r="M736" s="14"/>
      <c r="N736" s="39"/>
      <c r="O736" s="39"/>
      <c r="P736" s="39"/>
      <c r="Q736" s="39"/>
      <c r="R736" s="39"/>
      <c r="S736" s="39"/>
      <c r="T736" s="39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  <c r="AH736" s="14"/>
      <c r="AI736" s="14"/>
      <c r="AJ736" s="14"/>
      <c r="AK736" s="14"/>
      <c r="AL736" s="14"/>
      <c r="AM736" s="14"/>
      <c r="AN736" s="14"/>
      <c r="AO736" s="14"/>
      <c r="AP736" s="14"/>
    </row>
    <row r="737" spans="1:42" ht="13">
      <c r="A737" s="38"/>
      <c r="B737" s="14"/>
      <c r="C737" s="38"/>
      <c r="D737" s="38"/>
      <c r="E737" s="38"/>
      <c r="F737" s="38"/>
      <c r="G737" s="38"/>
      <c r="H737" s="14"/>
      <c r="I737" s="38"/>
      <c r="J737" s="38"/>
      <c r="K737" s="14"/>
      <c r="L737" s="14"/>
      <c r="M737" s="14"/>
      <c r="N737" s="39"/>
      <c r="O737" s="39"/>
      <c r="P737" s="39"/>
      <c r="Q737" s="39"/>
      <c r="R737" s="39"/>
      <c r="S737" s="39"/>
      <c r="T737" s="39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  <c r="AH737" s="14"/>
      <c r="AI737" s="14"/>
      <c r="AJ737" s="14"/>
      <c r="AK737" s="14"/>
      <c r="AL737" s="14"/>
      <c r="AM737" s="14"/>
      <c r="AN737" s="14"/>
      <c r="AO737" s="14"/>
      <c r="AP737" s="14"/>
    </row>
    <row r="738" spans="1:42" ht="13">
      <c r="A738" s="38"/>
      <c r="B738" s="14"/>
      <c r="C738" s="38"/>
      <c r="D738" s="38"/>
      <c r="E738" s="38"/>
      <c r="F738" s="38"/>
      <c r="G738" s="38"/>
      <c r="H738" s="14"/>
      <c r="I738" s="38"/>
      <c r="J738" s="38"/>
      <c r="K738" s="14"/>
      <c r="L738" s="14"/>
      <c r="M738" s="14"/>
      <c r="N738" s="39"/>
      <c r="O738" s="39"/>
      <c r="P738" s="39"/>
      <c r="Q738" s="39"/>
      <c r="R738" s="39"/>
      <c r="S738" s="39"/>
      <c r="T738" s="39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  <c r="AH738" s="14"/>
      <c r="AI738" s="14"/>
      <c r="AJ738" s="14"/>
      <c r="AK738" s="14"/>
      <c r="AL738" s="14"/>
      <c r="AM738" s="14"/>
      <c r="AN738" s="14"/>
      <c r="AO738" s="14"/>
      <c r="AP738" s="14"/>
    </row>
    <row r="739" spans="1:42" ht="13">
      <c r="A739" s="38"/>
      <c r="B739" s="14"/>
      <c r="C739" s="38"/>
      <c r="D739" s="38"/>
      <c r="E739" s="38"/>
      <c r="F739" s="38"/>
      <c r="G739" s="38"/>
      <c r="H739" s="14"/>
      <c r="I739" s="38"/>
      <c r="J739" s="38"/>
      <c r="K739" s="14"/>
      <c r="L739" s="14"/>
      <c r="M739" s="14"/>
      <c r="N739" s="39"/>
      <c r="O739" s="39"/>
      <c r="P739" s="39"/>
      <c r="Q739" s="39"/>
      <c r="R739" s="39"/>
      <c r="S739" s="39"/>
      <c r="T739" s="39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  <c r="AH739" s="14"/>
      <c r="AI739" s="14"/>
      <c r="AJ739" s="14"/>
      <c r="AK739" s="14"/>
      <c r="AL739" s="14"/>
      <c r="AM739" s="14"/>
      <c r="AN739" s="14"/>
      <c r="AO739" s="14"/>
      <c r="AP739" s="14"/>
    </row>
    <row r="740" spans="1:42" ht="13">
      <c r="A740" s="38"/>
      <c r="B740" s="14"/>
      <c r="C740" s="38"/>
      <c r="D740" s="38"/>
      <c r="E740" s="38"/>
      <c r="F740" s="38"/>
      <c r="G740" s="38"/>
      <c r="H740" s="14"/>
      <c r="I740" s="38"/>
      <c r="J740" s="38"/>
      <c r="K740" s="14"/>
      <c r="L740" s="14"/>
      <c r="M740" s="14"/>
      <c r="N740" s="39"/>
      <c r="O740" s="39"/>
      <c r="P740" s="39"/>
      <c r="Q740" s="39"/>
      <c r="R740" s="39"/>
      <c r="S740" s="39"/>
      <c r="T740" s="39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  <c r="AH740" s="14"/>
      <c r="AI740" s="14"/>
      <c r="AJ740" s="14"/>
      <c r="AK740" s="14"/>
      <c r="AL740" s="14"/>
      <c r="AM740" s="14"/>
      <c r="AN740" s="14"/>
      <c r="AO740" s="14"/>
      <c r="AP740" s="14"/>
    </row>
    <row r="741" spans="1:42" ht="13">
      <c r="A741" s="38"/>
      <c r="B741" s="14"/>
      <c r="C741" s="38"/>
      <c r="D741" s="38"/>
      <c r="E741" s="38"/>
      <c r="F741" s="38"/>
      <c r="G741" s="38"/>
      <c r="H741" s="14"/>
      <c r="I741" s="38"/>
      <c r="J741" s="38"/>
      <c r="K741" s="14"/>
      <c r="L741" s="14"/>
      <c r="M741" s="14"/>
      <c r="N741" s="39"/>
      <c r="O741" s="39"/>
      <c r="P741" s="39"/>
      <c r="Q741" s="39"/>
      <c r="R741" s="39"/>
      <c r="S741" s="39"/>
      <c r="T741" s="39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  <c r="AH741" s="14"/>
      <c r="AI741" s="14"/>
      <c r="AJ741" s="14"/>
      <c r="AK741" s="14"/>
      <c r="AL741" s="14"/>
      <c r="AM741" s="14"/>
      <c r="AN741" s="14"/>
      <c r="AO741" s="14"/>
      <c r="AP741" s="14"/>
    </row>
    <row r="742" spans="1:42" ht="13">
      <c r="A742" s="38"/>
      <c r="B742" s="14"/>
      <c r="C742" s="38"/>
      <c r="D742" s="38"/>
      <c r="E742" s="38"/>
      <c r="F742" s="38"/>
      <c r="G742" s="38"/>
      <c r="H742" s="14"/>
      <c r="I742" s="38"/>
      <c r="J742" s="38"/>
      <c r="K742" s="14"/>
      <c r="L742" s="14"/>
      <c r="M742" s="14"/>
      <c r="N742" s="39"/>
      <c r="O742" s="39"/>
      <c r="P742" s="39"/>
      <c r="Q742" s="39"/>
      <c r="R742" s="39"/>
      <c r="S742" s="39"/>
      <c r="T742" s="39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  <c r="AH742" s="14"/>
      <c r="AI742" s="14"/>
      <c r="AJ742" s="14"/>
      <c r="AK742" s="14"/>
      <c r="AL742" s="14"/>
      <c r="AM742" s="14"/>
      <c r="AN742" s="14"/>
      <c r="AO742" s="14"/>
      <c r="AP742" s="14"/>
    </row>
    <row r="743" spans="1:42" ht="13">
      <c r="A743" s="38"/>
      <c r="B743" s="14"/>
      <c r="C743" s="38"/>
      <c r="D743" s="38"/>
      <c r="E743" s="38"/>
      <c r="F743" s="38"/>
      <c r="G743" s="38"/>
      <c r="H743" s="14"/>
      <c r="I743" s="38"/>
      <c r="J743" s="38"/>
      <c r="K743" s="14"/>
      <c r="L743" s="14"/>
      <c r="M743" s="14"/>
      <c r="N743" s="39"/>
      <c r="O743" s="39"/>
      <c r="P743" s="39"/>
      <c r="Q743" s="39"/>
      <c r="R743" s="39"/>
      <c r="S743" s="39"/>
      <c r="T743" s="39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  <c r="AH743" s="14"/>
      <c r="AI743" s="14"/>
      <c r="AJ743" s="14"/>
      <c r="AK743" s="14"/>
      <c r="AL743" s="14"/>
      <c r="AM743" s="14"/>
      <c r="AN743" s="14"/>
      <c r="AO743" s="14"/>
      <c r="AP743" s="14"/>
    </row>
    <row r="744" spans="1:42" ht="13">
      <c r="A744" s="38"/>
      <c r="B744" s="14"/>
      <c r="C744" s="38"/>
      <c r="D744" s="38"/>
      <c r="E744" s="38"/>
      <c r="F744" s="38"/>
      <c r="G744" s="38"/>
      <c r="H744" s="14"/>
      <c r="I744" s="38"/>
      <c r="J744" s="38"/>
      <c r="K744" s="14"/>
      <c r="L744" s="14"/>
      <c r="M744" s="14"/>
      <c r="N744" s="39"/>
      <c r="O744" s="39"/>
      <c r="P744" s="39"/>
      <c r="Q744" s="39"/>
      <c r="R744" s="39"/>
      <c r="S744" s="39"/>
      <c r="T744" s="39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  <c r="AH744" s="14"/>
      <c r="AI744" s="14"/>
      <c r="AJ744" s="14"/>
      <c r="AK744" s="14"/>
      <c r="AL744" s="14"/>
      <c r="AM744" s="14"/>
      <c r="AN744" s="14"/>
      <c r="AO744" s="14"/>
      <c r="AP744" s="14"/>
    </row>
    <row r="745" spans="1:42" ht="13">
      <c r="A745" s="38"/>
      <c r="B745" s="14"/>
      <c r="C745" s="38"/>
      <c r="D745" s="38"/>
      <c r="E745" s="38"/>
      <c r="F745" s="38"/>
      <c r="G745" s="38"/>
      <c r="H745" s="14"/>
      <c r="I745" s="38"/>
      <c r="J745" s="38"/>
      <c r="K745" s="14"/>
      <c r="L745" s="14"/>
      <c r="M745" s="14"/>
      <c r="N745" s="39"/>
      <c r="O745" s="39"/>
      <c r="P745" s="39"/>
      <c r="Q745" s="39"/>
      <c r="R745" s="39"/>
      <c r="S745" s="39"/>
      <c r="T745" s="39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  <c r="AH745" s="14"/>
      <c r="AI745" s="14"/>
      <c r="AJ745" s="14"/>
      <c r="AK745" s="14"/>
      <c r="AL745" s="14"/>
      <c r="AM745" s="14"/>
      <c r="AN745" s="14"/>
      <c r="AO745" s="14"/>
      <c r="AP745" s="14"/>
    </row>
    <row r="746" spans="1:42" ht="13">
      <c r="A746" s="38"/>
      <c r="B746" s="14"/>
      <c r="C746" s="38"/>
      <c r="D746" s="38"/>
      <c r="E746" s="38"/>
      <c r="F746" s="38"/>
      <c r="G746" s="38"/>
      <c r="H746" s="14"/>
      <c r="I746" s="38"/>
      <c r="J746" s="38"/>
      <c r="K746" s="14"/>
      <c r="L746" s="14"/>
      <c r="M746" s="14"/>
      <c r="N746" s="39"/>
      <c r="O746" s="39"/>
      <c r="P746" s="39"/>
      <c r="Q746" s="39"/>
      <c r="R746" s="39"/>
      <c r="S746" s="39"/>
      <c r="T746" s="39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  <c r="AG746" s="14"/>
      <c r="AH746" s="14"/>
      <c r="AI746" s="14"/>
      <c r="AJ746" s="14"/>
      <c r="AK746" s="14"/>
      <c r="AL746" s="14"/>
      <c r="AM746" s="14"/>
      <c r="AN746" s="14"/>
      <c r="AO746" s="14"/>
      <c r="AP746" s="14"/>
    </row>
    <row r="747" spans="1:42" ht="13">
      <c r="A747" s="38"/>
      <c r="B747" s="14"/>
      <c r="C747" s="38"/>
      <c r="D747" s="38"/>
      <c r="E747" s="38"/>
      <c r="F747" s="38"/>
      <c r="G747" s="38"/>
      <c r="H747" s="14"/>
      <c r="I747" s="38"/>
      <c r="J747" s="38"/>
      <c r="K747" s="14"/>
      <c r="L747" s="14"/>
      <c r="M747" s="14"/>
      <c r="N747" s="39"/>
      <c r="O747" s="39"/>
      <c r="P747" s="39"/>
      <c r="Q747" s="39"/>
      <c r="R747" s="39"/>
      <c r="S747" s="39"/>
      <c r="T747" s="39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  <c r="AH747" s="14"/>
      <c r="AI747" s="14"/>
      <c r="AJ747" s="14"/>
      <c r="AK747" s="14"/>
      <c r="AL747" s="14"/>
      <c r="AM747" s="14"/>
      <c r="AN747" s="14"/>
      <c r="AO747" s="14"/>
      <c r="AP747" s="14"/>
    </row>
    <row r="748" spans="1:42" ht="13">
      <c r="A748" s="38"/>
      <c r="B748" s="14"/>
      <c r="C748" s="38"/>
      <c r="D748" s="38"/>
      <c r="E748" s="38"/>
      <c r="F748" s="38"/>
      <c r="G748" s="38"/>
      <c r="H748" s="14"/>
      <c r="I748" s="38"/>
      <c r="J748" s="38"/>
      <c r="K748" s="14"/>
      <c r="L748" s="14"/>
      <c r="M748" s="14"/>
      <c r="N748" s="39"/>
      <c r="O748" s="39"/>
      <c r="P748" s="39"/>
      <c r="Q748" s="39"/>
      <c r="R748" s="39"/>
      <c r="S748" s="39"/>
      <c r="T748" s="39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  <c r="AG748" s="14"/>
      <c r="AH748" s="14"/>
      <c r="AI748" s="14"/>
      <c r="AJ748" s="14"/>
      <c r="AK748" s="14"/>
      <c r="AL748" s="14"/>
      <c r="AM748" s="14"/>
      <c r="AN748" s="14"/>
      <c r="AO748" s="14"/>
      <c r="AP748" s="14"/>
    </row>
    <row r="749" spans="1:42" ht="13">
      <c r="A749" s="38"/>
      <c r="B749" s="14"/>
      <c r="C749" s="38"/>
      <c r="D749" s="38"/>
      <c r="E749" s="38"/>
      <c r="F749" s="38"/>
      <c r="G749" s="38"/>
      <c r="H749" s="14"/>
      <c r="I749" s="38"/>
      <c r="J749" s="38"/>
      <c r="K749" s="14"/>
      <c r="L749" s="14"/>
      <c r="M749" s="14"/>
      <c r="N749" s="39"/>
      <c r="O749" s="39"/>
      <c r="P749" s="39"/>
      <c r="Q749" s="39"/>
      <c r="R749" s="39"/>
      <c r="S749" s="39"/>
      <c r="T749" s="39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  <c r="AH749" s="14"/>
      <c r="AI749" s="14"/>
      <c r="AJ749" s="14"/>
      <c r="AK749" s="14"/>
      <c r="AL749" s="14"/>
      <c r="AM749" s="14"/>
      <c r="AN749" s="14"/>
      <c r="AO749" s="14"/>
      <c r="AP749" s="14"/>
    </row>
    <row r="750" spans="1:42" ht="13">
      <c r="A750" s="38"/>
      <c r="B750" s="14"/>
      <c r="C750" s="38"/>
      <c r="D750" s="38"/>
      <c r="E750" s="38"/>
      <c r="F750" s="38"/>
      <c r="G750" s="38"/>
      <c r="H750" s="14"/>
      <c r="I750" s="38"/>
      <c r="J750" s="38"/>
      <c r="K750" s="14"/>
      <c r="L750" s="14"/>
      <c r="M750" s="14"/>
      <c r="N750" s="39"/>
      <c r="O750" s="39"/>
      <c r="P750" s="39"/>
      <c r="Q750" s="39"/>
      <c r="R750" s="39"/>
      <c r="S750" s="39"/>
      <c r="T750" s="39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  <c r="AF750" s="14"/>
      <c r="AG750" s="14"/>
      <c r="AH750" s="14"/>
      <c r="AI750" s="14"/>
      <c r="AJ750" s="14"/>
      <c r="AK750" s="14"/>
      <c r="AL750" s="14"/>
      <c r="AM750" s="14"/>
      <c r="AN750" s="14"/>
      <c r="AO750" s="14"/>
      <c r="AP750" s="14"/>
    </row>
    <row r="751" spans="1:42" ht="13">
      <c r="A751" s="38"/>
      <c r="B751" s="14"/>
      <c r="C751" s="38"/>
      <c r="D751" s="38"/>
      <c r="E751" s="38"/>
      <c r="F751" s="38"/>
      <c r="G751" s="38"/>
      <c r="H751" s="14"/>
      <c r="I751" s="38"/>
      <c r="J751" s="38"/>
      <c r="K751" s="14"/>
      <c r="L751" s="14"/>
      <c r="M751" s="14"/>
      <c r="N751" s="39"/>
      <c r="O751" s="39"/>
      <c r="P751" s="39"/>
      <c r="Q751" s="39"/>
      <c r="R751" s="39"/>
      <c r="S751" s="39"/>
      <c r="T751" s="39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  <c r="AH751" s="14"/>
      <c r="AI751" s="14"/>
      <c r="AJ751" s="14"/>
      <c r="AK751" s="14"/>
      <c r="AL751" s="14"/>
      <c r="AM751" s="14"/>
      <c r="AN751" s="14"/>
      <c r="AO751" s="14"/>
      <c r="AP751" s="14"/>
    </row>
    <row r="752" spans="1:42" ht="13">
      <c r="A752" s="38"/>
      <c r="B752" s="14"/>
      <c r="C752" s="38"/>
      <c r="D752" s="38"/>
      <c r="E752" s="38"/>
      <c r="F752" s="38"/>
      <c r="G752" s="38"/>
      <c r="H752" s="14"/>
      <c r="I752" s="38"/>
      <c r="J752" s="38"/>
      <c r="K752" s="14"/>
      <c r="L752" s="14"/>
      <c r="M752" s="14"/>
      <c r="N752" s="39"/>
      <c r="O752" s="39"/>
      <c r="P752" s="39"/>
      <c r="Q752" s="39"/>
      <c r="R752" s="39"/>
      <c r="S752" s="39"/>
      <c r="T752" s="39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  <c r="AH752" s="14"/>
      <c r="AI752" s="14"/>
      <c r="AJ752" s="14"/>
      <c r="AK752" s="14"/>
      <c r="AL752" s="14"/>
      <c r="AM752" s="14"/>
      <c r="AN752" s="14"/>
      <c r="AO752" s="14"/>
      <c r="AP752" s="14"/>
    </row>
    <row r="753" spans="1:42" ht="13">
      <c r="A753" s="38"/>
      <c r="B753" s="14"/>
      <c r="C753" s="38"/>
      <c r="D753" s="38"/>
      <c r="E753" s="38"/>
      <c r="F753" s="38"/>
      <c r="G753" s="38"/>
      <c r="H753" s="14"/>
      <c r="I753" s="38"/>
      <c r="J753" s="38"/>
      <c r="K753" s="14"/>
      <c r="L753" s="14"/>
      <c r="M753" s="14"/>
      <c r="N753" s="39"/>
      <c r="O753" s="39"/>
      <c r="P753" s="39"/>
      <c r="Q753" s="39"/>
      <c r="R753" s="39"/>
      <c r="S753" s="39"/>
      <c r="T753" s="39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  <c r="AH753" s="14"/>
      <c r="AI753" s="14"/>
      <c r="AJ753" s="14"/>
      <c r="AK753" s="14"/>
      <c r="AL753" s="14"/>
      <c r="AM753" s="14"/>
      <c r="AN753" s="14"/>
      <c r="AO753" s="14"/>
      <c r="AP753" s="14"/>
    </row>
    <row r="754" spans="1:42" ht="13">
      <c r="A754" s="38"/>
      <c r="B754" s="14"/>
      <c r="C754" s="38"/>
      <c r="D754" s="38"/>
      <c r="E754" s="38"/>
      <c r="F754" s="38"/>
      <c r="G754" s="38"/>
      <c r="H754" s="14"/>
      <c r="I754" s="38"/>
      <c r="J754" s="38"/>
      <c r="K754" s="14"/>
      <c r="L754" s="14"/>
      <c r="M754" s="14"/>
      <c r="N754" s="39"/>
      <c r="O754" s="39"/>
      <c r="P754" s="39"/>
      <c r="Q754" s="39"/>
      <c r="R754" s="39"/>
      <c r="S754" s="39"/>
      <c r="T754" s="39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  <c r="AH754" s="14"/>
      <c r="AI754" s="14"/>
      <c r="AJ754" s="14"/>
      <c r="AK754" s="14"/>
      <c r="AL754" s="14"/>
      <c r="AM754" s="14"/>
      <c r="AN754" s="14"/>
      <c r="AO754" s="14"/>
      <c r="AP754" s="14"/>
    </row>
    <row r="755" spans="1:42" ht="13">
      <c r="A755" s="38"/>
      <c r="B755" s="14"/>
      <c r="C755" s="38"/>
      <c r="D755" s="38"/>
      <c r="E755" s="38"/>
      <c r="F755" s="38"/>
      <c r="G755" s="38"/>
      <c r="H755" s="14"/>
      <c r="I755" s="38"/>
      <c r="J755" s="38"/>
      <c r="K755" s="14"/>
      <c r="L755" s="14"/>
      <c r="M755" s="14"/>
      <c r="N755" s="39"/>
      <c r="O755" s="39"/>
      <c r="P755" s="39"/>
      <c r="Q755" s="39"/>
      <c r="R755" s="39"/>
      <c r="S755" s="39"/>
      <c r="T755" s="39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  <c r="AH755" s="14"/>
      <c r="AI755" s="14"/>
      <c r="AJ755" s="14"/>
      <c r="AK755" s="14"/>
      <c r="AL755" s="14"/>
      <c r="AM755" s="14"/>
      <c r="AN755" s="14"/>
      <c r="AO755" s="14"/>
      <c r="AP755" s="14"/>
    </row>
    <row r="756" spans="1:42" ht="13">
      <c r="A756" s="38"/>
      <c r="B756" s="14"/>
      <c r="C756" s="38"/>
      <c r="D756" s="38"/>
      <c r="E756" s="38"/>
      <c r="F756" s="38"/>
      <c r="G756" s="38"/>
      <c r="H756" s="14"/>
      <c r="I756" s="38"/>
      <c r="J756" s="38"/>
      <c r="K756" s="14"/>
      <c r="L756" s="14"/>
      <c r="M756" s="14"/>
      <c r="N756" s="39"/>
      <c r="O756" s="39"/>
      <c r="P756" s="39"/>
      <c r="Q756" s="39"/>
      <c r="R756" s="39"/>
      <c r="S756" s="39"/>
      <c r="T756" s="39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  <c r="AH756" s="14"/>
      <c r="AI756" s="14"/>
      <c r="AJ756" s="14"/>
      <c r="AK756" s="14"/>
      <c r="AL756" s="14"/>
      <c r="AM756" s="14"/>
      <c r="AN756" s="14"/>
      <c r="AO756" s="14"/>
      <c r="AP756" s="14"/>
    </row>
    <row r="757" spans="1:42" ht="13">
      <c r="A757" s="38"/>
      <c r="B757" s="14"/>
      <c r="C757" s="38"/>
      <c r="D757" s="38"/>
      <c r="E757" s="38"/>
      <c r="F757" s="38"/>
      <c r="G757" s="38"/>
      <c r="H757" s="14"/>
      <c r="I757" s="38"/>
      <c r="J757" s="38"/>
      <c r="K757" s="14"/>
      <c r="L757" s="14"/>
      <c r="M757" s="14"/>
      <c r="N757" s="39"/>
      <c r="O757" s="39"/>
      <c r="P757" s="39"/>
      <c r="Q757" s="39"/>
      <c r="R757" s="39"/>
      <c r="S757" s="39"/>
      <c r="T757" s="39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  <c r="AH757" s="14"/>
      <c r="AI757" s="14"/>
      <c r="AJ757" s="14"/>
      <c r="AK757" s="14"/>
      <c r="AL757" s="14"/>
      <c r="AM757" s="14"/>
      <c r="AN757" s="14"/>
      <c r="AO757" s="14"/>
      <c r="AP757" s="14"/>
    </row>
    <row r="758" spans="1:42" ht="13">
      <c r="A758" s="38"/>
      <c r="B758" s="14"/>
      <c r="C758" s="38"/>
      <c r="D758" s="38"/>
      <c r="E758" s="38"/>
      <c r="F758" s="38"/>
      <c r="G758" s="38"/>
      <c r="H758" s="14"/>
      <c r="I758" s="38"/>
      <c r="J758" s="38"/>
      <c r="K758" s="14"/>
      <c r="L758" s="14"/>
      <c r="M758" s="14"/>
      <c r="N758" s="39"/>
      <c r="O758" s="39"/>
      <c r="P758" s="39"/>
      <c r="Q758" s="39"/>
      <c r="R758" s="39"/>
      <c r="S758" s="39"/>
      <c r="T758" s="39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  <c r="AH758" s="14"/>
      <c r="AI758" s="14"/>
      <c r="AJ758" s="14"/>
      <c r="AK758" s="14"/>
      <c r="AL758" s="14"/>
      <c r="AM758" s="14"/>
      <c r="AN758" s="14"/>
      <c r="AO758" s="14"/>
      <c r="AP758" s="14"/>
    </row>
    <row r="759" spans="1:42" ht="13">
      <c r="A759" s="38"/>
      <c r="B759" s="14"/>
      <c r="C759" s="38"/>
      <c r="D759" s="38"/>
      <c r="E759" s="38"/>
      <c r="F759" s="38"/>
      <c r="G759" s="38"/>
      <c r="H759" s="14"/>
      <c r="I759" s="38"/>
      <c r="J759" s="38"/>
      <c r="K759" s="14"/>
      <c r="L759" s="14"/>
      <c r="M759" s="14"/>
      <c r="N759" s="39"/>
      <c r="O759" s="39"/>
      <c r="P759" s="39"/>
      <c r="Q759" s="39"/>
      <c r="R759" s="39"/>
      <c r="S759" s="39"/>
      <c r="T759" s="39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  <c r="AH759" s="14"/>
      <c r="AI759" s="14"/>
      <c r="AJ759" s="14"/>
      <c r="AK759" s="14"/>
      <c r="AL759" s="14"/>
      <c r="AM759" s="14"/>
      <c r="AN759" s="14"/>
      <c r="AO759" s="14"/>
      <c r="AP759" s="14"/>
    </row>
    <row r="760" spans="1:42" ht="13">
      <c r="A760" s="38"/>
      <c r="B760" s="14"/>
      <c r="C760" s="38"/>
      <c r="D760" s="38"/>
      <c r="E760" s="38"/>
      <c r="F760" s="38"/>
      <c r="G760" s="38"/>
      <c r="H760" s="14"/>
      <c r="I760" s="38"/>
      <c r="J760" s="38"/>
      <c r="K760" s="14"/>
      <c r="L760" s="14"/>
      <c r="M760" s="14"/>
      <c r="N760" s="39"/>
      <c r="O760" s="39"/>
      <c r="P760" s="39"/>
      <c r="Q760" s="39"/>
      <c r="R760" s="39"/>
      <c r="S760" s="39"/>
      <c r="T760" s="39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  <c r="AH760" s="14"/>
      <c r="AI760" s="14"/>
      <c r="AJ760" s="14"/>
      <c r="AK760" s="14"/>
      <c r="AL760" s="14"/>
      <c r="AM760" s="14"/>
      <c r="AN760" s="14"/>
      <c r="AO760" s="14"/>
      <c r="AP760" s="14"/>
    </row>
    <row r="761" spans="1:42" ht="13">
      <c r="A761" s="38"/>
      <c r="B761" s="14"/>
      <c r="C761" s="38"/>
      <c r="D761" s="38"/>
      <c r="E761" s="38"/>
      <c r="F761" s="38"/>
      <c r="G761" s="38"/>
      <c r="H761" s="14"/>
      <c r="I761" s="38"/>
      <c r="J761" s="38"/>
      <c r="K761" s="14"/>
      <c r="L761" s="14"/>
      <c r="M761" s="14"/>
      <c r="N761" s="39"/>
      <c r="O761" s="39"/>
      <c r="P761" s="39"/>
      <c r="Q761" s="39"/>
      <c r="R761" s="39"/>
      <c r="S761" s="39"/>
      <c r="T761" s="39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  <c r="AH761" s="14"/>
      <c r="AI761" s="14"/>
      <c r="AJ761" s="14"/>
      <c r="AK761" s="14"/>
      <c r="AL761" s="14"/>
      <c r="AM761" s="14"/>
      <c r="AN761" s="14"/>
      <c r="AO761" s="14"/>
      <c r="AP761" s="14"/>
    </row>
    <row r="762" spans="1:42" ht="13">
      <c r="A762" s="38"/>
      <c r="B762" s="14"/>
      <c r="C762" s="38"/>
      <c r="D762" s="38"/>
      <c r="E762" s="38"/>
      <c r="F762" s="38"/>
      <c r="G762" s="38"/>
      <c r="H762" s="14"/>
      <c r="I762" s="38"/>
      <c r="J762" s="38"/>
      <c r="K762" s="14"/>
      <c r="L762" s="14"/>
      <c r="M762" s="14"/>
      <c r="N762" s="39"/>
      <c r="O762" s="39"/>
      <c r="P762" s="39"/>
      <c r="Q762" s="39"/>
      <c r="R762" s="39"/>
      <c r="S762" s="39"/>
      <c r="T762" s="39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  <c r="AH762" s="14"/>
      <c r="AI762" s="14"/>
      <c r="AJ762" s="14"/>
      <c r="AK762" s="14"/>
      <c r="AL762" s="14"/>
      <c r="AM762" s="14"/>
      <c r="AN762" s="14"/>
      <c r="AO762" s="14"/>
      <c r="AP762" s="14"/>
    </row>
    <row r="763" spans="1:42" ht="13">
      <c r="A763" s="38"/>
      <c r="B763" s="14"/>
      <c r="C763" s="38"/>
      <c r="D763" s="38"/>
      <c r="E763" s="38"/>
      <c r="F763" s="38"/>
      <c r="G763" s="38"/>
      <c r="H763" s="14"/>
      <c r="I763" s="38"/>
      <c r="J763" s="38"/>
      <c r="K763" s="14"/>
      <c r="L763" s="14"/>
      <c r="M763" s="14"/>
      <c r="N763" s="39"/>
      <c r="O763" s="39"/>
      <c r="P763" s="39"/>
      <c r="Q763" s="39"/>
      <c r="R763" s="39"/>
      <c r="S763" s="39"/>
      <c r="T763" s="39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  <c r="AH763" s="14"/>
      <c r="AI763" s="14"/>
      <c r="AJ763" s="14"/>
      <c r="AK763" s="14"/>
      <c r="AL763" s="14"/>
      <c r="AM763" s="14"/>
      <c r="AN763" s="14"/>
      <c r="AO763" s="14"/>
      <c r="AP763" s="14"/>
    </row>
    <row r="764" spans="1:42" ht="13">
      <c r="A764" s="38"/>
      <c r="B764" s="14"/>
      <c r="C764" s="38"/>
      <c r="D764" s="38"/>
      <c r="E764" s="38"/>
      <c r="F764" s="38"/>
      <c r="G764" s="38"/>
      <c r="H764" s="14"/>
      <c r="I764" s="38"/>
      <c r="J764" s="38"/>
      <c r="K764" s="14"/>
      <c r="L764" s="14"/>
      <c r="M764" s="14"/>
      <c r="N764" s="39"/>
      <c r="O764" s="39"/>
      <c r="P764" s="39"/>
      <c r="Q764" s="39"/>
      <c r="R764" s="39"/>
      <c r="S764" s="39"/>
      <c r="T764" s="39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  <c r="AH764" s="14"/>
      <c r="AI764" s="14"/>
      <c r="AJ764" s="14"/>
      <c r="AK764" s="14"/>
      <c r="AL764" s="14"/>
      <c r="AM764" s="14"/>
      <c r="AN764" s="14"/>
      <c r="AO764" s="14"/>
      <c r="AP764" s="14"/>
    </row>
    <row r="765" spans="1:42" ht="13">
      <c r="A765" s="38"/>
      <c r="B765" s="14"/>
      <c r="C765" s="38"/>
      <c r="D765" s="38"/>
      <c r="E765" s="38"/>
      <c r="F765" s="38"/>
      <c r="G765" s="38"/>
      <c r="H765" s="14"/>
      <c r="I765" s="38"/>
      <c r="J765" s="38"/>
      <c r="K765" s="14"/>
      <c r="L765" s="14"/>
      <c r="M765" s="14"/>
      <c r="N765" s="39"/>
      <c r="O765" s="39"/>
      <c r="P765" s="39"/>
      <c r="Q765" s="39"/>
      <c r="R765" s="39"/>
      <c r="S765" s="39"/>
      <c r="T765" s="39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  <c r="AH765" s="14"/>
      <c r="AI765" s="14"/>
      <c r="AJ765" s="14"/>
      <c r="AK765" s="14"/>
      <c r="AL765" s="14"/>
      <c r="AM765" s="14"/>
      <c r="AN765" s="14"/>
      <c r="AO765" s="14"/>
      <c r="AP765" s="14"/>
    </row>
    <row r="766" spans="1:42" ht="13">
      <c r="A766" s="38"/>
      <c r="B766" s="14"/>
      <c r="C766" s="38"/>
      <c r="D766" s="38"/>
      <c r="E766" s="38"/>
      <c r="F766" s="38"/>
      <c r="G766" s="38"/>
      <c r="H766" s="14"/>
      <c r="I766" s="38"/>
      <c r="J766" s="38"/>
      <c r="K766" s="14"/>
      <c r="L766" s="14"/>
      <c r="M766" s="14"/>
      <c r="N766" s="39"/>
      <c r="O766" s="39"/>
      <c r="P766" s="39"/>
      <c r="Q766" s="39"/>
      <c r="R766" s="39"/>
      <c r="S766" s="39"/>
      <c r="T766" s="39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  <c r="AH766" s="14"/>
      <c r="AI766" s="14"/>
      <c r="AJ766" s="14"/>
      <c r="AK766" s="14"/>
      <c r="AL766" s="14"/>
      <c r="AM766" s="14"/>
      <c r="AN766" s="14"/>
      <c r="AO766" s="14"/>
      <c r="AP766" s="14"/>
    </row>
    <row r="767" spans="1:42" ht="13">
      <c r="A767" s="38"/>
      <c r="B767" s="14"/>
      <c r="C767" s="38"/>
      <c r="D767" s="38"/>
      <c r="E767" s="38"/>
      <c r="F767" s="38"/>
      <c r="G767" s="38"/>
      <c r="H767" s="14"/>
      <c r="I767" s="38"/>
      <c r="J767" s="38"/>
      <c r="K767" s="14"/>
      <c r="L767" s="14"/>
      <c r="M767" s="14"/>
      <c r="N767" s="39"/>
      <c r="O767" s="39"/>
      <c r="P767" s="39"/>
      <c r="Q767" s="39"/>
      <c r="R767" s="39"/>
      <c r="S767" s="39"/>
      <c r="T767" s="39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  <c r="AH767" s="14"/>
      <c r="AI767" s="14"/>
      <c r="AJ767" s="14"/>
      <c r="AK767" s="14"/>
      <c r="AL767" s="14"/>
      <c r="AM767" s="14"/>
      <c r="AN767" s="14"/>
      <c r="AO767" s="14"/>
      <c r="AP767" s="14"/>
    </row>
    <row r="768" spans="1:42" ht="13">
      <c r="A768" s="38"/>
      <c r="B768" s="14"/>
      <c r="C768" s="38"/>
      <c r="D768" s="38"/>
      <c r="E768" s="38"/>
      <c r="F768" s="38"/>
      <c r="G768" s="38"/>
      <c r="H768" s="14"/>
      <c r="I768" s="38"/>
      <c r="J768" s="38"/>
      <c r="K768" s="14"/>
      <c r="L768" s="14"/>
      <c r="M768" s="14"/>
      <c r="N768" s="39"/>
      <c r="O768" s="39"/>
      <c r="P768" s="39"/>
      <c r="Q768" s="39"/>
      <c r="R768" s="39"/>
      <c r="S768" s="39"/>
      <c r="T768" s="39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  <c r="AH768" s="14"/>
      <c r="AI768" s="14"/>
      <c r="AJ768" s="14"/>
      <c r="AK768" s="14"/>
      <c r="AL768" s="14"/>
      <c r="AM768" s="14"/>
      <c r="AN768" s="14"/>
      <c r="AO768" s="14"/>
      <c r="AP768" s="14"/>
    </row>
    <row r="769" spans="1:42" ht="13">
      <c r="A769" s="38"/>
      <c r="B769" s="14"/>
      <c r="C769" s="38"/>
      <c r="D769" s="38"/>
      <c r="E769" s="38"/>
      <c r="F769" s="38"/>
      <c r="G769" s="38"/>
      <c r="H769" s="14"/>
      <c r="I769" s="38"/>
      <c r="J769" s="38"/>
      <c r="K769" s="14"/>
      <c r="L769" s="14"/>
      <c r="M769" s="14"/>
      <c r="N769" s="39"/>
      <c r="O769" s="39"/>
      <c r="P769" s="39"/>
      <c r="Q769" s="39"/>
      <c r="R769" s="39"/>
      <c r="S769" s="39"/>
      <c r="T769" s="39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  <c r="AH769" s="14"/>
      <c r="AI769" s="14"/>
      <c r="AJ769" s="14"/>
      <c r="AK769" s="14"/>
      <c r="AL769" s="14"/>
      <c r="AM769" s="14"/>
      <c r="AN769" s="14"/>
      <c r="AO769" s="14"/>
      <c r="AP769" s="14"/>
    </row>
    <row r="770" spans="1:42" ht="13">
      <c r="A770" s="38"/>
      <c r="B770" s="14"/>
      <c r="C770" s="38"/>
      <c r="D770" s="38"/>
      <c r="E770" s="38"/>
      <c r="F770" s="38"/>
      <c r="G770" s="38"/>
      <c r="H770" s="14"/>
      <c r="I770" s="38"/>
      <c r="J770" s="38"/>
      <c r="K770" s="14"/>
      <c r="L770" s="14"/>
      <c r="M770" s="14"/>
      <c r="N770" s="39"/>
      <c r="O770" s="39"/>
      <c r="P770" s="39"/>
      <c r="Q770" s="39"/>
      <c r="R770" s="39"/>
      <c r="S770" s="39"/>
      <c r="T770" s="39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  <c r="AH770" s="14"/>
      <c r="AI770" s="14"/>
      <c r="AJ770" s="14"/>
      <c r="AK770" s="14"/>
      <c r="AL770" s="14"/>
      <c r="AM770" s="14"/>
      <c r="AN770" s="14"/>
      <c r="AO770" s="14"/>
      <c r="AP770" s="14"/>
    </row>
    <row r="771" spans="1:42" ht="13">
      <c r="A771" s="38"/>
      <c r="B771" s="14"/>
      <c r="C771" s="38"/>
      <c r="D771" s="38"/>
      <c r="E771" s="38"/>
      <c r="F771" s="38"/>
      <c r="G771" s="38"/>
      <c r="H771" s="14"/>
      <c r="I771" s="38"/>
      <c r="J771" s="38"/>
      <c r="K771" s="14"/>
      <c r="L771" s="14"/>
      <c r="M771" s="14"/>
      <c r="N771" s="39"/>
      <c r="O771" s="39"/>
      <c r="P771" s="39"/>
      <c r="Q771" s="39"/>
      <c r="R771" s="39"/>
      <c r="S771" s="39"/>
      <c r="T771" s="39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  <c r="AH771" s="14"/>
      <c r="AI771" s="14"/>
      <c r="AJ771" s="14"/>
      <c r="AK771" s="14"/>
      <c r="AL771" s="14"/>
      <c r="AM771" s="14"/>
      <c r="AN771" s="14"/>
      <c r="AO771" s="14"/>
      <c r="AP771" s="14"/>
    </row>
    <row r="772" spans="1:42" ht="13">
      <c r="A772" s="38"/>
      <c r="B772" s="14"/>
      <c r="C772" s="38"/>
      <c r="D772" s="38"/>
      <c r="E772" s="38"/>
      <c r="F772" s="38"/>
      <c r="G772" s="38"/>
      <c r="H772" s="14"/>
      <c r="I772" s="38"/>
      <c r="J772" s="38"/>
      <c r="K772" s="14"/>
      <c r="L772" s="14"/>
      <c r="M772" s="14"/>
      <c r="N772" s="39"/>
      <c r="O772" s="39"/>
      <c r="P772" s="39"/>
      <c r="Q772" s="39"/>
      <c r="R772" s="39"/>
      <c r="S772" s="39"/>
      <c r="T772" s="39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  <c r="AH772" s="14"/>
      <c r="AI772" s="14"/>
      <c r="AJ772" s="14"/>
      <c r="AK772" s="14"/>
      <c r="AL772" s="14"/>
      <c r="AM772" s="14"/>
      <c r="AN772" s="14"/>
      <c r="AO772" s="14"/>
      <c r="AP772" s="14"/>
    </row>
    <row r="773" spans="1:42" ht="13">
      <c r="A773" s="38"/>
      <c r="B773" s="14"/>
      <c r="C773" s="38"/>
      <c r="D773" s="38"/>
      <c r="E773" s="38"/>
      <c r="F773" s="38"/>
      <c r="G773" s="38"/>
      <c r="H773" s="14"/>
      <c r="I773" s="38"/>
      <c r="J773" s="38"/>
      <c r="K773" s="14"/>
      <c r="L773" s="14"/>
      <c r="M773" s="14"/>
      <c r="N773" s="39"/>
      <c r="O773" s="39"/>
      <c r="P773" s="39"/>
      <c r="Q773" s="39"/>
      <c r="R773" s="39"/>
      <c r="S773" s="39"/>
      <c r="T773" s="39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  <c r="AH773" s="14"/>
      <c r="AI773" s="14"/>
      <c r="AJ773" s="14"/>
      <c r="AK773" s="14"/>
      <c r="AL773" s="14"/>
      <c r="AM773" s="14"/>
      <c r="AN773" s="14"/>
      <c r="AO773" s="14"/>
      <c r="AP773" s="14"/>
    </row>
    <row r="774" spans="1:42" ht="13">
      <c r="A774" s="38"/>
      <c r="B774" s="14"/>
      <c r="C774" s="38"/>
      <c r="D774" s="38"/>
      <c r="E774" s="38"/>
      <c r="F774" s="38"/>
      <c r="G774" s="38"/>
      <c r="H774" s="14"/>
      <c r="I774" s="38"/>
      <c r="J774" s="38"/>
      <c r="K774" s="14"/>
      <c r="L774" s="14"/>
      <c r="M774" s="14"/>
      <c r="N774" s="39"/>
      <c r="O774" s="39"/>
      <c r="P774" s="39"/>
      <c r="Q774" s="39"/>
      <c r="R774" s="39"/>
      <c r="S774" s="39"/>
      <c r="T774" s="39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  <c r="AH774" s="14"/>
      <c r="AI774" s="14"/>
      <c r="AJ774" s="14"/>
      <c r="AK774" s="14"/>
      <c r="AL774" s="14"/>
      <c r="AM774" s="14"/>
      <c r="AN774" s="14"/>
      <c r="AO774" s="14"/>
      <c r="AP774" s="14"/>
    </row>
    <row r="775" spans="1:42" ht="13">
      <c r="A775" s="38"/>
      <c r="B775" s="14"/>
      <c r="C775" s="38"/>
      <c r="D775" s="38"/>
      <c r="E775" s="38"/>
      <c r="F775" s="38"/>
      <c r="G775" s="38"/>
      <c r="H775" s="14"/>
      <c r="I775" s="38"/>
      <c r="J775" s="38"/>
      <c r="K775" s="14"/>
      <c r="L775" s="14"/>
      <c r="M775" s="14"/>
      <c r="N775" s="39"/>
      <c r="O775" s="39"/>
      <c r="P775" s="39"/>
      <c r="Q775" s="39"/>
      <c r="R775" s="39"/>
      <c r="S775" s="39"/>
      <c r="T775" s="39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  <c r="AH775" s="14"/>
      <c r="AI775" s="14"/>
      <c r="AJ775" s="14"/>
      <c r="AK775" s="14"/>
      <c r="AL775" s="14"/>
      <c r="AM775" s="14"/>
      <c r="AN775" s="14"/>
      <c r="AO775" s="14"/>
      <c r="AP775" s="14"/>
    </row>
    <row r="776" spans="1:42" ht="13">
      <c r="A776" s="38"/>
      <c r="B776" s="14"/>
      <c r="C776" s="38"/>
      <c r="D776" s="38"/>
      <c r="E776" s="38"/>
      <c r="F776" s="38"/>
      <c r="G776" s="38"/>
      <c r="H776" s="14"/>
      <c r="I776" s="38"/>
      <c r="J776" s="38"/>
      <c r="K776" s="14"/>
      <c r="L776" s="14"/>
      <c r="M776" s="14"/>
      <c r="N776" s="39"/>
      <c r="O776" s="39"/>
      <c r="P776" s="39"/>
      <c r="Q776" s="39"/>
      <c r="R776" s="39"/>
      <c r="S776" s="39"/>
      <c r="T776" s="39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  <c r="AH776" s="14"/>
      <c r="AI776" s="14"/>
      <c r="AJ776" s="14"/>
      <c r="AK776" s="14"/>
      <c r="AL776" s="14"/>
      <c r="AM776" s="14"/>
      <c r="AN776" s="14"/>
      <c r="AO776" s="14"/>
      <c r="AP776" s="14"/>
    </row>
    <row r="777" spans="1:42" ht="13">
      <c r="A777" s="38"/>
      <c r="B777" s="14"/>
      <c r="C777" s="38"/>
      <c r="D777" s="38"/>
      <c r="E777" s="38"/>
      <c r="F777" s="38"/>
      <c r="G777" s="38"/>
      <c r="H777" s="14"/>
      <c r="I777" s="38"/>
      <c r="J777" s="38"/>
      <c r="K777" s="14"/>
      <c r="L777" s="14"/>
      <c r="M777" s="14"/>
      <c r="N777" s="39"/>
      <c r="O777" s="39"/>
      <c r="P777" s="39"/>
      <c r="Q777" s="39"/>
      <c r="R777" s="39"/>
      <c r="S777" s="39"/>
      <c r="T777" s="39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  <c r="AH777" s="14"/>
      <c r="AI777" s="14"/>
      <c r="AJ777" s="14"/>
      <c r="AK777" s="14"/>
      <c r="AL777" s="14"/>
      <c r="AM777" s="14"/>
      <c r="AN777" s="14"/>
      <c r="AO777" s="14"/>
      <c r="AP777" s="14"/>
    </row>
    <row r="778" spans="1:42" ht="13">
      <c r="A778" s="38"/>
      <c r="B778" s="14"/>
      <c r="C778" s="38"/>
      <c r="D778" s="38"/>
      <c r="E778" s="38"/>
      <c r="F778" s="38"/>
      <c r="G778" s="38"/>
      <c r="H778" s="14"/>
      <c r="I778" s="38"/>
      <c r="J778" s="38"/>
      <c r="K778" s="14"/>
      <c r="L778" s="14"/>
      <c r="M778" s="14"/>
      <c r="N778" s="39"/>
      <c r="O778" s="39"/>
      <c r="P778" s="39"/>
      <c r="Q778" s="39"/>
      <c r="R778" s="39"/>
      <c r="S778" s="39"/>
      <c r="T778" s="39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  <c r="AH778" s="14"/>
      <c r="AI778" s="14"/>
      <c r="AJ778" s="14"/>
      <c r="AK778" s="14"/>
      <c r="AL778" s="14"/>
      <c r="AM778" s="14"/>
      <c r="AN778" s="14"/>
      <c r="AO778" s="14"/>
      <c r="AP778" s="14"/>
    </row>
    <row r="779" spans="1:42" ht="13">
      <c r="A779" s="38"/>
      <c r="B779" s="14"/>
      <c r="C779" s="38"/>
      <c r="D779" s="38"/>
      <c r="E779" s="38"/>
      <c r="F779" s="38"/>
      <c r="G779" s="38"/>
      <c r="H779" s="14"/>
      <c r="I779" s="38"/>
      <c r="J779" s="38"/>
      <c r="K779" s="14"/>
      <c r="L779" s="14"/>
      <c r="M779" s="14"/>
      <c r="N779" s="39"/>
      <c r="O779" s="39"/>
      <c r="P779" s="39"/>
      <c r="Q779" s="39"/>
      <c r="R779" s="39"/>
      <c r="S779" s="39"/>
      <c r="T779" s="39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  <c r="AH779" s="14"/>
      <c r="AI779" s="14"/>
      <c r="AJ779" s="14"/>
      <c r="AK779" s="14"/>
      <c r="AL779" s="14"/>
      <c r="AM779" s="14"/>
      <c r="AN779" s="14"/>
      <c r="AO779" s="14"/>
      <c r="AP779" s="14"/>
    </row>
    <row r="780" spans="1:42" ht="13">
      <c r="A780" s="38"/>
      <c r="B780" s="14"/>
      <c r="C780" s="38"/>
      <c r="D780" s="38"/>
      <c r="E780" s="38"/>
      <c r="F780" s="38"/>
      <c r="G780" s="38"/>
      <c r="H780" s="14"/>
      <c r="I780" s="38"/>
      <c r="J780" s="38"/>
      <c r="K780" s="14"/>
      <c r="L780" s="14"/>
      <c r="M780" s="14"/>
      <c r="N780" s="39"/>
      <c r="O780" s="39"/>
      <c r="P780" s="39"/>
      <c r="Q780" s="39"/>
      <c r="R780" s="39"/>
      <c r="S780" s="39"/>
      <c r="T780" s="39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  <c r="AH780" s="14"/>
      <c r="AI780" s="14"/>
      <c r="AJ780" s="14"/>
      <c r="AK780" s="14"/>
      <c r="AL780" s="14"/>
      <c r="AM780" s="14"/>
      <c r="AN780" s="14"/>
      <c r="AO780" s="14"/>
      <c r="AP780" s="14"/>
    </row>
    <row r="781" spans="1:42" ht="13">
      <c r="A781" s="38"/>
      <c r="B781" s="14"/>
      <c r="C781" s="38"/>
      <c r="D781" s="38"/>
      <c r="E781" s="38"/>
      <c r="F781" s="38"/>
      <c r="G781" s="38"/>
      <c r="H781" s="14"/>
      <c r="I781" s="38"/>
      <c r="J781" s="38"/>
      <c r="K781" s="14"/>
      <c r="L781" s="14"/>
      <c r="M781" s="14"/>
      <c r="N781" s="39"/>
      <c r="O781" s="39"/>
      <c r="P781" s="39"/>
      <c r="Q781" s="39"/>
      <c r="R781" s="39"/>
      <c r="S781" s="39"/>
      <c r="T781" s="39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  <c r="AH781" s="14"/>
      <c r="AI781" s="14"/>
      <c r="AJ781" s="14"/>
      <c r="AK781" s="14"/>
      <c r="AL781" s="14"/>
      <c r="AM781" s="14"/>
      <c r="AN781" s="14"/>
      <c r="AO781" s="14"/>
      <c r="AP781" s="14"/>
    </row>
    <row r="782" spans="1:42" ht="13">
      <c r="A782" s="38"/>
      <c r="B782" s="14"/>
      <c r="C782" s="38"/>
      <c r="D782" s="38"/>
      <c r="E782" s="38"/>
      <c r="F782" s="38"/>
      <c r="G782" s="38"/>
      <c r="H782" s="14"/>
      <c r="I782" s="38"/>
      <c r="J782" s="38"/>
      <c r="K782" s="14"/>
      <c r="L782" s="14"/>
      <c r="M782" s="14"/>
      <c r="N782" s="39"/>
      <c r="O782" s="39"/>
      <c r="P782" s="39"/>
      <c r="Q782" s="39"/>
      <c r="R782" s="39"/>
      <c r="S782" s="39"/>
      <c r="T782" s="39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  <c r="AH782" s="14"/>
      <c r="AI782" s="14"/>
      <c r="AJ782" s="14"/>
      <c r="AK782" s="14"/>
      <c r="AL782" s="14"/>
      <c r="AM782" s="14"/>
      <c r="AN782" s="14"/>
      <c r="AO782" s="14"/>
      <c r="AP782" s="14"/>
    </row>
    <row r="783" spans="1:42" ht="13">
      <c r="A783" s="38"/>
      <c r="B783" s="14"/>
      <c r="C783" s="38"/>
      <c r="D783" s="38"/>
      <c r="E783" s="38"/>
      <c r="F783" s="38"/>
      <c r="G783" s="38"/>
      <c r="H783" s="14"/>
      <c r="I783" s="38"/>
      <c r="J783" s="38"/>
      <c r="K783" s="14"/>
      <c r="L783" s="14"/>
      <c r="M783" s="14"/>
      <c r="N783" s="39"/>
      <c r="O783" s="39"/>
      <c r="P783" s="39"/>
      <c r="Q783" s="39"/>
      <c r="R783" s="39"/>
      <c r="S783" s="39"/>
      <c r="T783" s="39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  <c r="AH783" s="14"/>
      <c r="AI783" s="14"/>
      <c r="AJ783" s="14"/>
      <c r="AK783" s="14"/>
      <c r="AL783" s="14"/>
      <c r="AM783" s="14"/>
      <c r="AN783" s="14"/>
      <c r="AO783" s="14"/>
      <c r="AP783" s="14"/>
    </row>
    <row r="784" spans="1:42" ht="13">
      <c r="A784" s="38"/>
      <c r="B784" s="14"/>
      <c r="C784" s="38"/>
      <c r="D784" s="38"/>
      <c r="E784" s="38"/>
      <c r="F784" s="38"/>
      <c r="G784" s="38"/>
      <c r="H784" s="14"/>
      <c r="I784" s="38"/>
      <c r="J784" s="38"/>
      <c r="K784" s="14"/>
      <c r="L784" s="14"/>
      <c r="M784" s="14"/>
      <c r="N784" s="39"/>
      <c r="O784" s="39"/>
      <c r="P784" s="39"/>
      <c r="Q784" s="39"/>
      <c r="R784" s="39"/>
      <c r="S784" s="39"/>
      <c r="T784" s="39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  <c r="AF784" s="14"/>
      <c r="AG784" s="14"/>
      <c r="AH784" s="14"/>
      <c r="AI784" s="14"/>
      <c r="AJ784" s="14"/>
      <c r="AK784" s="14"/>
      <c r="AL784" s="14"/>
      <c r="AM784" s="14"/>
      <c r="AN784" s="14"/>
      <c r="AO784" s="14"/>
      <c r="AP784" s="14"/>
    </row>
    <row r="785" spans="1:42" ht="13">
      <c r="A785" s="38"/>
      <c r="B785" s="14"/>
      <c r="C785" s="38"/>
      <c r="D785" s="38"/>
      <c r="E785" s="38"/>
      <c r="F785" s="38"/>
      <c r="G785" s="38"/>
      <c r="H785" s="14"/>
      <c r="I785" s="38"/>
      <c r="J785" s="38"/>
      <c r="K785" s="14"/>
      <c r="L785" s="14"/>
      <c r="M785" s="14"/>
      <c r="N785" s="39"/>
      <c r="O785" s="39"/>
      <c r="P785" s="39"/>
      <c r="Q785" s="39"/>
      <c r="R785" s="39"/>
      <c r="S785" s="39"/>
      <c r="T785" s="39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  <c r="AH785" s="14"/>
      <c r="AI785" s="14"/>
      <c r="AJ785" s="14"/>
      <c r="AK785" s="14"/>
      <c r="AL785" s="14"/>
      <c r="AM785" s="14"/>
      <c r="AN785" s="14"/>
      <c r="AO785" s="14"/>
      <c r="AP785" s="14"/>
    </row>
    <row r="786" spans="1:42" ht="13">
      <c r="A786" s="38"/>
      <c r="B786" s="14"/>
      <c r="C786" s="38"/>
      <c r="D786" s="38"/>
      <c r="E786" s="38"/>
      <c r="F786" s="38"/>
      <c r="G786" s="38"/>
      <c r="H786" s="14"/>
      <c r="I786" s="38"/>
      <c r="J786" s="38"/>
      <c r="K786" s="14"/>
      <c r="L786" s="14"/>
      <c r="M786" s="14"/>
      <c r="N786" s="39"/>
      <c r="O786" s="39"/>
      <c r="P786" s="39"/>
      <c r="Q786" s="39"/>
      <c r="R786" s="39"/>
      <c r="S786" s="39"/>
      <c r="T786" s="39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  <c r="AF786" s="14"/>
      <c r="AG786" s="14"/>
      <c r="AH786" s="14"/>
      <c r="AI786" s="14"/>
      <c r="AJ786" s="14"/>
      <c r="AK786" s="14"/>
      <c r="AL786" s="14"/>
      <c r="AM786" s="14"/>
      <c r="AN786" s="14"/>
      <c r="AO786" s="14"/>
      <c r="AP786" s="14"/>
    </row>
    <row r="787" spans="1:42" ht="13">
      <c r="A787" s="38"/>
      <c r="B787" s="14"/>
      <c r="C787" s="38"/>
      <c r="D787" s="38"/>
      <c r="E787" s="38"/>
      <c r="F787" s="38"/>
      <c r="G787" s="38"/>
      <c r="H787" s="14"/>
      <c r="I787" s="38"/>
      <c r="J787" s="38"/>
      <c r="K787" s="14"/>
      <c r="L787" s="14"/>
      <c r="M787" s="14"/>
      <c r="N787" s="39"/>
      <c r="O787" s="39"/>
      <c r="P787" s="39"/>
      <c r="Q787" s="39"/>
      <c r="R787" s="39"/>
      <c r="S787" s="39"/>
      <c r="T787" s="39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  <c r="AH787" s="14"/>
      <c r="AI787" s="14"/>
      <c r="AJ787" s="14"/>
      <c r="AK787" s="14"/>
      <c r="AL787" s="14"/>
      <c r="AM787" s="14"/>
      <c r="AN787" s="14"/>
      <c r="AO787" s="14"/>
      <c r="AP787" s="14"/>
    </row>
    <row r="788" spans="1:42" ht="13">
      <c r="A788" s="38"/>
      <c r="B788" s="14"/>
      <c r="C788" s="38"/>
      <c r="D788" s="38"/>
      <c r="E788" s="38"/>
      <c r="F788" s="38"/>
      <c r="G788" s="38"/>
      <c r="H788" s="14"/>
      <c r="I788" s="38"/>
      <c r="J788" s="38"/>
      <c r="K788" s="14"/>
      <c r="L788" s="14"/>
      <c r="M788" s="14"/>
      <c r="N788" s="39"/>
      <c r="O788" s="39"/>
      <c r="P788" s="39"/>
      <c r="Q788" s="39"/>
      <c r="R788" s="39"/>
      <c r="S788" s="39"/>
      <c r="T788" s="39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  <c r="AH788" s="14"/>
      <c r="AI788" s="14"/>
      <c r="AJ788" s="14"/>
      <c r="AK788" s="14"/>
      <c r="AL788" s="14"/>
      <c r="AM788" s="14"/>
      <c r="AN788" s="14"/>
      <c r="AO788" s="14"/>
      <c r="AP788" s="14"/>
    </row>
    <row r="789" spans="1:42" ht="13">
      <c r="A789" s="38"/>
      <c r="B789" s="14"/>
      <c r="C789" s="38"/>
      <c r="D789" s="38"/>
      <c r="E789" s="38"/>
      <c r="F789" s="38"/>
      <c r="G789" s="38"/>
      <c r="H789" s="14"/>
      <c r="I789" s="38"/>
      <c r="J789" s="38"/>
      <c r="K789" s="14"/>
      <c r="L789" s="14"/>
      <c r="M789" s="14"/>
      <c r="N789" s="39"/>
      <c r="O789" s="39"/>
      <c r="P789" s="39"/>
      <c r="Q789" s="39"/>
      <c r="R789" s="39"/>
      <c r="S789" s="39"/>
      <c r="T789" s="39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  <c r="AH789" s="14"/>
      <c r="AI789" s="14"/>
      <c r="AJ789" s="14"/>
      <c r="AK789" s="14"/>
      <c r="AL789" s="14"/>
      <c r="AM789" s="14"/>
      <c r="AN789" s="14"/>
      <c r="AO789" s="14"/>
      <c r="AP789" s="14"/>
    </row>
    <row r="790" spans="1:42" ht="13">
      <c r="A790" s="38"/>
      <c r="B790" s="14"/>
      <c r="C790" s="38"/>
      <c r="D790" s="38"/>
      <c r="E790" s="38"/>
      <c r="F790" s="38"/>
      <c r="G790" s="38"/>
      <c r="H790" s="14"/>
      <c r="I790" s="38"/>
      <c r="J790" s="38"/>
      <c r="K790" s="14"/>
      <c r="L790" s="14"/>
      <c r="M790" s="14"/>
      <c r="N790" s="39"/>
      <c r="O790" s="39"/>
      <c r="P790" s="39"/>
      <c r="Q790" s="39"/>
      <c r="R790" s="39"/>
      <c r="S790" s="39"/>
      <c r="T790" s="39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  <c r="AH790" s="14"/>
      <c r="AI790" s="14"/>
      <c r="AJ790" s="14"/>
      <c r="AK790" s="14"/>
      <c r="AL790" s="14"/>
      <c r="AM790" s="14"/>
      <c r="AN790" s="14"/>
      <c r="AO790" s="14"/>
      <c r="AP790" s="14"/>
    </row>
    <row r="791" spans="1:42" ht="13">
      <c r="A791" s="38"/>
      <c r="B791" s="14"/>
      <c r="C791" s="38"/>
      <c r="D791" s="38"/>
      <c r="E791" s="38"/>
      <c r="F791" s="38"/>
      <c r="G791" s="38"/>
      <c r="H791" s="14"/>
      <c r="I791" s="38"/>
      <c r="J791" s="38"/>
      <c r="K791" s="14"/>
      <c r="L791" s="14"/>
      <c r="M791" s="14"/>
      <c r="N791" s="39"/>
      <c r="O791" s="39"/>
      <c r="P791" s="39"/>
      <c r="Q791" s="39"/>
      <c r="R791" s="39"/>
      <c r="S791" s="39"/>
      <c r="T791" s="39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  <c r="AH791" s="14"/>
      <c r="AI791" s="14"/>
      <c r="AJ791" s="14"/>
      <c r="AK791" s="14"/>
      <c r="AL791" s="14"/>
      <c r="AM791" s="14"/>
      <c r="AN791" s="14"/>
      <c r="AO791" s="14"/>
      <c r="AP791" s="14"/>
    </row>
    <row r="792" spans="1:42" ht="13">
      <c r="A792" s="38"/>
      <c r="B792" s="14"/>
      <c r="C792" s="38"/>
      <c r="D792" s="38"/>
      <c r="E792" s="38"/>
      <c r="F792" s="38"/>
      <c r="G792" s="38"/>
      <c r="H792" s="14"/>
      <c r="I792" s="38"/>
      <c r="J792" s="38"/>
      <c r="K792" s="14"/>
      <c r="L792" s="14"/>
      <c r="M792" s="14"/>
      <c r="N792" s="39"/>
      <c r="O792" s="39"/>
      <c r="P792" s="39"/>
      <c r="Q792" s="39"/>
      <c r="R792" s="39"/>
      <c r="S792" s="39"/>
      <c r="T792" s="39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  <c r="AH792" s="14"/>
      <c r="AI792" s="14"/>
      <c r="AJ792" s="14"/>
      <c r="AK792" s="14"/>
      <c r="AL792" s="14"/>
      <c r="AM792" s="14"/>
      <c r="AN792" s="14"/>
      <c r="AO792" s="14"/>
      <c r="AP792" s="14"/>
    </row>
    <row r="793" spans="1:42" ht="13">
      <c r="A793" s="38"/>
      <c r="B793" s="14"/>
      <c r="C793" s="38"/>
      <c r="D793" s="38"/>
      <c r="E793" s="38"/>
      <c r="F793" s="38"/>
      <c r="G793" s="38"/>
      <c r="H793" s="14"/>
      <c r="I793" s="38"/>
      <c r="J793" s="38"/>
      <c r="K793" s="14"/>
      <c r="L793" s="14"/>
      <c r="M793" s="14"/>
      <c r="N793" s="39"/>
      <c r="O793" s="39"/>
      <c r="P793" s="39"/>
      <c r="Q793" s="39"/>
      <c r="R793" s="39"/>
      <c r="S793" s="39"/>
      <c r="T793" s="39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  <c r="AH793" s="14"/>
      <c r="AI793" s="14"/>
      <c r="AJ793" s="14"/>
      <c r="AK793" s="14"/>
      <c r="AL793" s="14"/>
      <c r="AM793" s="14"/>
      <c r="AN793" s="14"/>
      <c r="AO793" s="14"/>
      <c r="AP793" s="14"/>
    </row>
    <row r="794" spans="1:42" ht="13">
      <c r="A794" s="38"/>
      <c r="B794" s="14"/>
      <c r="C794" s="38"/>
      <c r="D794" s="38"/>
      <c r="E794" s="38"/>
      <c r="F794" s="38"/>
      <c r="G794" s="38"/>
      <c r="H794" s="14"/>
      <c r="I794" s="38"/>
      <c r="J794" s="38"/>
      <c r="K794" s="14"/>
      <c r="L794" s="14"/>
      <c r="M794" s="14"/>
      <c r="N794" s="39"/>
      <c r="O794" s="39"/>
      <c r="P794" s="39"/>
      <c r="Q794" s="39"/>
      <c r="R794" s="39"/>
      <c r="S794" s="39"/>
      <c r="T794" s="39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  <c r="AH794" s="14"/>
      <c r="AI794" s="14"/>
      <c r="AJ794" s="14"/>
      <c r="AK794" s="14"/>
      <c r="AL794" s="14"/>
      <c r="AM794" s="14"/>
      <c r="AN794" s="14"/>
      <c r="AO794" s="14"/>
      <c r="AP794" s="14"/>
    </row>
    <row r="795" spans="1:42" ht="13">
      <c r="A795" s="38"/>
      <c r="B795" s="14"/>
      <c r="C795" s="38"/>
      <c r="D795" s="38"/>
      <c r="E795" s="38"/>
      <c r="F795" s="38"/>
      <c r="G795" s="38"/>
      <c r="H795" s="14"/>
      <c r="I795" s="38"/>
      <c r="J795" s="38"/>
      <c r="K795" s="14"/>
      <c r="L795" s="14"/>
      <c r="M795" s="14"/>
      <c r="N795" s="39"/>
      <c r="O795" s="39"/>
      <c r="P795" s="39"/>
      <c r="Q795" s="39"/>
      <c r="R795" s="39"/>
      <c r="S795" s="39"/>
      <c r="T795" s="39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  <c r="AH795" s="14"/>
      <c r="AI795" s="14"/>
      <c r="AJ795" s="14"/>
      <c r="AK795" s="14"/>
      <c r="AL795" s="14"/>
      <c r="AM795" s="14"/>
      <c r="AN795" s="14"/>
      <c r="AO795" s="14"/>
      <c r="AP795" s="14"/>
    </row>
    <row r="796" spans="1:42" ht="13">
      <c r="A796" s="38"/>
      <c r="B796" s="14"/>
      <c r="C796" s="38"/>
      <c r="D796" s="38"/>
      <c r="E796" s="38"/>
      <c r="F796" s="38"/>
      <c r="G796" s="38"/>
      <c r="H796" s="14"/>
      <c r="I796" s="38"/>
      <c r="J796" s="38"/>
      <c r="K796" s="14"/>
      <c r="L796" s="14"/>
      <c r="M796" s="14"/>
      <c r="N796" s="39"/>
      <c r="O796" s="39"/>
      <c r="P796" s="39"/>
      <c r="Q796" s="39"/>
      <c r="R796" s="39"/>
      <c r="S796" s="39"/>
      <c r="T796" s="39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  <c r="AH796" s="14"/>
      <c r="AI796" s="14"/>
      <c r="AJ796" s="14"/>
      <c r="AK796" s="14"/>
      <c r="AL796" s="14"/>
      <c r="AM796" s="14"/>
      <c r="AN796" s="14"/>
      <c r="AO796" s="14"/>
      <c r="AP796" s="14"/>
    </row>
    <row r="797" spans="1:42" ht="13">
      <c r="A797" s="38"/>
      <c r="B797" s="14"/>
      <c r="C797" s="38"/>
      <c r="D797" s="38"/>
      <c r="E797" s="38"/>
      <c r="F797" s="38"/>
      <c r="G797" s="38"/>
      <c r="H797" s="14"/>
      <c r="I797" s="38"/>
      <c r="J797" s="38"/>
      <c r="K797" s="14"/>
      <c r="L797" s="14"/>
      <c r="M797" s="14"/>
      <c r="N797" s="39"/>
      <c r="O797" s="39"/>
      <c r="P797" s="39"/>
      <c r="Q797" s="39"/>
      <c r="R797" s="39"/>
      <c r="S797" s="39"/>
      <c r="T797" s="39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  <c r="AH797" s="14"/>
      <c r="AI797" s="14"/>
      <c r="AJ797" s="14"/>
      <c r="AK797" s="14"/>
      <c r="AL797" s="14"/>
      <c r="AM797" s="14"/>
      <c r="AN797" s="14"/>
      <c r="AO797" s="14"/>
      <c r="AP797" s="14"/>
    </row>
    <row r="798" spans="1:42" ht="13">
      <c r="A798" s="38"/>
      <c r="B798" s="14"/>
      <c r="C798" s="38"/>
      <c r="D798" s="38"/>
      <c r="E798" s="38"/>
      <c r="F798" s="38"/>
      <c r="G798" s="38"/>
      <c r="H798" s="14"/>
      <c r="I798" s="38"/>
      <c r="J798" s="38"/>
      <c r="K798" s="14"/>
      <c r="L798" s="14"/>
      <c r="M798" s="14"/>
      <c r="N798" s="39"/>
      <c r="O798" s="39"/>
      <c r="P798" s="39"/>
      <c r="Q798" s="39"/>
      <c r="R798" s="39"/>
      <c r="S798" s="39"/>
      <c r="T798" s="39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  <c r="AH798" s="14"/>
      <c r="AI798" s="14"/>
      <c r="AJ798" s="14"/>
      <c r="AK798" s="14"/>
      <c r="AL798" s="14"/>
      <c r="AM798" s="14"/>
      <c r="AN798" s="14"/>
      <c r="AO798" s="14"/>
      <c r="AP798" s="14"/>
    </row>
    <row r="799" spans="1:42" ht="13">
      <c r="A799" s="38"/>
      <c r="B799" s="14"/>
      <c r="C799" s="38"/>
      <c r="D799" s="38"/>
      <c r="E799" s="38"/>
      <c r="F799" s="38"/>
      <c r="G799" s="38"/>
      <c r="H799" s="14"/>
      <c r="I799" s="38"/>
      <c r="J799" s="38"/>
      <c r="K799" s="14"/>
      <c r="L799" s="14"/>
      <c r="M799" s="14"/>
      <c r="N799" s="39"/>
      <c r="O799" s="39"/>
      <c r="P799" s="39"/>
      <c r="Q799" s="39"/>
      <c r="R799" s="39"/>
      <c r="S799" s="39"/>
      <c r="T799" s="39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  <c r="AH799" s="14"/>
      <c r="AI799" s="14"/>
      <c r="AJ799" s="14"/>
      <c r="AK799" s="14"/>
      <c r="AL799" s="14"/>
      <c r="AM799" s="14"/>
      <c r="AN799" s="14"/>
      <c r="AO799" s="14"/>
      <c r="AP799" s="14"/>
    </row>
    <row r="800" spans="1:42" ht="13">
      <c r="A800" s="38"/>
      <c r="B800" s="14"/>
      <c r="C800" s="38"/>
      <c r="D800" s="38"/>
      <c r="E800" s="38"/>
      <c r="F800" s="38"/>
      <c r="G800" s="38"/>
      <c r="H800" s="14"/>
      <c r="I800" s="38"/>
      <c r="J800" s="38"/>
      <c r="K800" s="14"/>
      <c r="L800" s="14"/>
      <c r="M800" s="14"/>
      <c r="N800" s="39"/>
      <c r="O800" s="39"/>
      <c r="P800" s="39"/>
      <c r="Q800" s="39"/>
      <c r="R800" s="39"/>
      <c r="S800" s="39"/>
      <c r="T800" s="39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  <c r="AH800" s="14"/>
      <c r="AI800" s="14"/>
      <c r="AJ800" s="14"/>
      <c r="AK800" s="14"/>
      <c r="AL800" s="14"/>
      <c r="AM800" s="14"/>
      <c r="AN800" s="14"/>
      <c r="AO800" s="14"/>
      <c r="AP800" s="14"/>
    </row>
    <row r="801" spans="1:42" ht="13">
      <c r="A801" s="38"/>
      <c r="B801" s="14"/>
      <c r="C801" s="38"/>
      <c r="D801" s="38"/>
      <c r="E801" s="38"/>
      <c r="F801" s="38"/>
      <c r="G801" s="38"/>
      <c r="H801" s="14"/>
      <c r="I801" s="38"/>
      <c r="J801" s="38"/>
      <c r="K801" s="14"/>
      <c r="L801" s="14"/>
      <c r="M801" s="14"/>
      <c r="N801" s="39"/>
      <c r="O801" s="39"/>
      <c r="P801" s="39"/>
      <c r="Q801" s="39"/>
      <c r="R801" s="39"/>
      <c r="S801" s="39"/>
      <c r="T801" s="39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  <c r="AH801" s="14"/>
      <c r="AI801" s="14"/>
      <c r="AJ801" s="14"/>
      <c r="AK801" s="14"/>
      <c r="AL801" s="14"/>
      <c r="AM801" s="14"/>
      <c r="AN801" s="14"/>
      <c r="AO801" s="14"/>
      <c r="AP801" s="14"/>
    </row>
    <row r="802" spans="1:42" ht="13">
      <c r="A802" s="38"/>
      <c r="B802" s="14"/>
      <c r="C802" s="38"/>
      <c r="D802" s="38"/>
      <c r="E802" s="38"/>
      <c r="F802" s="38"/>
      <c r="G802" s="38"/>
      <c r="H802" s="14"/>
      <c r="I802" s="38"/>
      <c r="J802" s="38"/>
      <c r="K802" s="14"/>
      <c r="L802" s="14"/>
      <c r="M802" s="14"/>
      <c r="N802" s="39"/>
      <c r="O802" s="39"/>
      <c r="P802" s="39"/>
      <c r="Q802" s="39"/>
      <c r="R802" s="39"/>
      <c r="S802" s="39"/>
      <c r="T802" s="39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  <c r="AH802" s="14"/>
      <c r="AI802" s="14"/>
      <c r="AJ802" s="14"/>
      <c r="AK802" s="14"/>
      <c r="AL802" s="14"/>
      <c r="AM802" s="14"/>
      <c r="AN802" s="14"/>
      <c r="AO802" s="14"/>
      <c r="AP802" s="14"/>
    </row>
    <row r="803" spans="1:42" ht="13">
      <c r="A803" s="38"/>
      <c r="B803" s="14"/>
      <c r="C803" s="38"/>
      <c r="D803" s="38"/>
      <c r="E803" s="38"/>
      <c r="F803" s="38"/>
      <c r="G803" s="38"/>
      <c r="H803" s="14"/>
      <c r="I803" s="38"/>
      <c r="J803" s="38"/>
      <c r="K803" s="14"/>
      <c r="L803" s="14"/>
      <c r="M803" s="14"/>
      <c r="N803" s="39"/>
      <c r="O803" s="39"/>
      <c r="P803" s="39"/>
      <c r="Q803" s="39"/>
      <c r="R803" s="39"/>
      <c r="S803" s="39"/>
      <c r="T803" s="39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  <c r="AH803" s="14"/>
      <c r="AI803" s="14"/>
      <c r="AJ803" s="14"/>
      <c r="AK803" s="14"/>
      <c r="AL803" s="14"/>
      <c r="AM803" s="14"/>
      <c r="AN803" s="14"/>
      <c r="AO803" s="14"/>
      <c r="AP803" s="14"/>
    </row>
    <row r="804" spans="1:42" ht="13">
      <c r="A804" s="38"/>
      <c r="B804" s="14"/>
      <c r="C804" s="38"/>
      <c r="D804" s="38"/>
      <c r="E804" s="38"/>
      <c r="F804" s="38"/>
      <c r="G804" s="38"/>
      <c r="H804" s="14"/>
      <c r="I804" s="38"/>
      <c r="J804" s="38"/>
      <c r="K804" s="14"/>
      <c r="L804" s="14"/>
      <c r="M804" s="14"/>
      <c r="N804" s="39"/>
      <c r="O804" s="39"/>
      <c r="P804" s="39"/>
      <c r="Q804" s="39"/>
      <c r="R804" s="39"/>
      <c r="S804" s="39"/>
      <c r="T804" s="39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  <c r="AH804" s="14"/>
      <c r="AI804" s="14"/>
      <c r="AJ804" s="14"/>
      <c r="AK804" s="14"/>
      <c r="AL804" s="14"/>
      <c r="AM804" s="14"/>
      <c r="AN804" s="14"/>
      <c r="AO804" s="14"/>
      <c r="AP804" s="14"/>
    </row>
    <row r="805" spans="1:42" ht="13">
      <c r="A805" s="38"/>
      <c r="B805" s="14"/>
      <c r="C805" s="38"/>
      <c r="D805" s="38"/>
      <c r="E805" s="38"/>
      <c r="F805" s="38"/>
      <c r="G805" s="38"/>
      <c r="H805" s="14"/>
      <c r="I805" s="38"/>
      <c r="J805" s="38"/>
      <c r="K805" s="14"/>
      <c r="L805" s="14"/>
      <c r="M805" s="14"/>
      <c r="N805" s="39"/>
      <c r="O805" s="39"/>
      <c r="P805" s="39"/>
      <c r="Q805" s="39"/>
      <c r="R805" s="39"/>
      <c r="S805" s="39"/>
      <c r="T805" s="39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  <c r="AH805" s="14"/>
      <c r="AI805" s="14"/>
      <c r="AJ805" s="14"/>
      <c r="AK805" s="14"/>
      <c r="AL805" s="14"/>
      <c r="AM805" s="14"/>
      <c r="AN805" s="14"/>
      <c r="AO805" s="14"/>
      <c r="AP805" s="14"/>
    </row>
    <row r="806" spans="1:42" ht="13">
      <c r="A806" s="38"/>
      <c r="B806" s="14"/>
      <c r="C806" s="38"/>
      <c r="D806" s="38"/>
      <c r="E806" s="38"/>
      <c r="F806" s="38"/>
      <c r="G806" s="38"/>
      <c r="H806" s="14"/>
      <c r="I806" s="38"/>
      <c r="J806" s="38"/>
      <c r="K806" s="14"/>
      <c r="L806" s="14"/>
      <c r="M806" s="14"/>
      <c r="N806" s="39"/>
      <c r="O806" s="39"/>
      <c r="P806" s="39"/>
      <c r="Q806" s="39"/>
      <c r="R806" s="39"/>
      <c r="S806" s="39"/>
      <c r="T806" s="39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  <c r="AH806" s="14"/>
      <c r="AI806" s="14"/>
      <c r="AJ806" s="14"/>
      <c r="AK806" s="14"/>
      <c r="AL806" s="14"/>
      <c r="AM806" s="14"/>
      <c r="AN806" s="14"/>
      <c r="AO806" s="14"/>
      <c r="AP806" s="14"/>
    </row>
    <row r="807" spans="1:42" ht="13">
      <c r="A807" s="38"/>
      <c r="B807" s="14"/>
      <c r="C807" s="38"/>
      <c r="D807" s="38"/>
      <c r="E807" s="38"/>
      <c r="F807" s="38"/>
      <c r="G807" s="38"/>
      <c r="H807" s="14"/>
      <c r="I807" s="38"/>
      <c r="J807" s="38"/>
      <c r="K807" s="14"/>
      <c r="L807" s="14"/>
      <c r="M807" s="14"/>
      <c r="N807" s="39"/>
      <c r="O807" s="39"/>
      <c r="P807" s="39"/>
      <c r="Q807" s="39"/>
      <c r="R807" s="39"/>
      <c r="S807" s="39"/>
      <c r="T807" s="39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  <c r="AH807" s="14"/>
      <c r="AI807" s="14"/>
      <c r="AJ807" s="14"/>
      <c r="AK807" s="14"/>
      <c r="AL807" s="14"/>
      <c r="AM807" s="14"/>
      <c r="AN807" s="14"/>
      <c r="AO807" s="14"/>
      <c r="AP807" s="14"/>
    </row>
    <row r="808" spans="1:42" ht="13">
      <c r="A808" s="38"/>
      <c r="B808" s="14"/>
      <c r="C808" s="38"/>
      <c r="D808" s="38"/>
      <c r="E808" s="38"/>
      <c r="F808" s="38"/>
      <c r="G808" s="38"/>
      <c r="H808" s="14"/>
      <c r="I808" s="38"/>
      <c r="J808" s="38"/>
      <c r="K808" s="14"/>
      <c r="L808" s="14"/>
      <c r="M808" s="14"/>
      <c r="N808" s="39"/>
      <c r="O808" s="39"/>
      <c r="P808" s="39"/>
      <c r="Q808" s="39"/>
      <c r="R808" s="39"/>
      <c r="S808" s="39"/>
      <c r="T808" s="39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  <c r="AH808" s="14"/>
      <c r="AI808" s="14"/>
      <c r="AJ808" s="14"/>
      <c r="AK808" s="14"/>
      <c r="AL808" s="14"/>
      <c r="AM808" s="14"/>
      <c r="AN808" s="14"/>
      <c r="AO808" s="14"/>
      <c r="AP808" s="14"/>
    </row>
    <row r="809" spans="1:42" ht="13">
      <c r="A809" s="38"/>
      <c r="B809" s="14"/>
      <c r="C809" s="38"/>
      <c r="D809" s="38"/>
      <c r="E809" s="38"/>
      <c r="F809" s="38"/>
      <c r="G809" s="38"/>
      <c r="H809" s="14"/>
      <c r="I809" s="38"/>
      <c r="J809" s="38"/>
      <c r="K809" s="14"/>
      <c r="L809" s="14"/>
      <c r="M809" s="14"/>
      <c r="N809" s="39"/>
      <c r="O809" s="39"/>
      <c r="P809" s="39"/>
      <c r="Q809" s="39"/>
      <c r="R809" s="39"/>
      <c r="S809" s="39"/>
      <c r="T809" s="39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  <c r="AH809" s="14"/>
      <c r="AI809" s="14"/>
      <c r="AJ809" s="14"/>
      <c r="AK809" s="14"/>
      <c r="AL809" s="14"/>
      <c r="AM809" s="14"/>
      <c r="AN809" s="14"/>
      <c r="AO809" s="14"/>
      <c r="AP809" s="14"/>
    </row>
    <row r="810" spans="1:42" ht="13">
      <c r="A810" s="38"/>
      <c r="B810" s="14"/>
      <c r="C810" s="38"/>
      <c r="D810" s="38"/>
      <c r="E810" s="38"/>
      <c r="F810" s="38"/>
      <c r="G810" s="38"/>
      <c r="H810" s="14"/>
      <c r="I810" s="38"/>
      <c r="J810" s="38"/>
      <c r="K810" s="14"/>
      <c r="L810" s="14"/>
      <c r="M810" s="14"/>
      <c r="N810" s="39"/>
      <c r="O810" s="39"/>
      <c r="P810" s="39"/>
      <c r="Q810" s="39"/>
      <c r="R810" s="39"/>
      <c r="S810" s="39"/>
      <c r="T810" s="39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  <c r="AH810" s="14"/>
      <c r="AI810" s="14"/>
      <c r="AJ810" s="14"/>
      <c r="AK810" s="14"/>
      <c r="AL810" s="14"/>
      <c r="AM810" s="14"/>
      <c r="AN810" s="14"/>
      <c r="AO810" s="14"/>
      <c r="AP810" s="14"/>
    </row>
    <row r="811" spans="1:42" ht="13">
      <c r="A811" s="38"/>
      <c r="B811" s="14"/>
      <c r="C811" s="38"/>
      <c r="D811" s="38"/>
      <c r="E811" s="38"/>
      <c r="F811" s="38"/>
      <c r="G811" s="38"/>
      <c r="H811" s="14"/>
      <c r="I811" s="38"/>
      <c r="J811" s="38"/>
      <c r="K811" s="14"/>
      <c r="L811" s="14"/>
      <c r="M811" s="14"/>
      <c r="N811" s="39"/>
      <c r="O811" s="39"/>
      <c r="P811" s="39"/>
      <c r="Q811" s="39"/>
      <c r="R811" s="39"/>
      <c r="S811" s="39"/>
      <c r="T811" s="39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  <c r="AH811" s="14"/>
      <c r="AI811" s="14"/>
      <c r="AJ811" s="14"/>
      <c r="AK811" s="14"/>
      <c r="AL811" s="14"/>
      <c r="AM811" s="14"/>
      <c r="AN811" s="14"/>
      <c r="AO811" s="14"/>
      <c r="AP811" s="14"/>
    </row>
    <row r="812" spans="1:42" ht="13">
      <c r="A812" s="38"/>
      <c r="B812" s="14"/>
      <c r="C812" s="38"/>
      <c r="D812" s="38"/>
      <c r="E812" s="38"/>
      <c r="F812" s="38"/>
      <c r="G812" s="38"/>
      <c r="H812" s="14"/>
      <c r="I812" s="38"/>
      <c r="J812" s="38"/>
      <c r="K812" s="14"/>
      <c r="L812" s="14"/>
      <c r="M812" s="14"/>
      <c r="N812" s="39"/>
      <c r="O812" s="39"/>
      <c r="P812" s="39"/>
      <c r="Q812" s="39"/>
      <c r="R812" s="39"/>
      <c r="S812" s="39"/>
      <c r="T812" s="39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  <c r="AF812" s="14"/>
      <c r="AG812" s="14"/>
      <c r="AH812" s="14"/>
      <c r="AI812" s="14"/>
      <c r="AJ812" s="14"/>
      <c r="AK812" s="14"/>
      <c r="AL812" s="14"/>
      <c r="AM812" s="14"/>
      <c r="AN812" s="14"/>
      <c r="AO812" s="14"/>
      <c r="AP812" s="14"/>
    </row>
    <row r="813" spans="1:42" ht="13">
      <c r="A813" s="38"/>
      <c r="B813" s="14"/>
      <c r="C813" s="38"/>
      <c r="D813" s="38"/>
      <c r="E813" s="38"/>
      <c r="F813" s="38"/>
      <c r="G813" s="38"/>
      <c r="H813" s="14"/>
      <c r="I813" s="38"/>
      <c r="J813" s="38"/>
      <c r="K813" s="14"/>
      <c r="L813" s="14"/>
      <c r="M813" s="14"/>
      <c r="N813" s="39"/>
      <c r="O813" s="39"/>
      <c r="P813" s="39"/>
      <c r="Q813" s="39"/>
      <c r="R813" s="39"/>
      <c r="S813" s="39"/>
      <c r="T813" s="39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  <c r="AH813" s="14"/>
      <c r="AI813" s="14"/>
      <c r="AJ813" s="14"/>
      <c r="AK813" s="14"/>
      <c r="AL813" s="14"/>
      <c r="AM813" s="14"/>
      <c r="AN813" s="14"/>
      <c r="AO813" s="14"/>
      <c r="AP813" s="14"/>
    </row>
    <row r="814" spans="1:42" ht="13">
      <c r="A814" s="38"/>
      <c r="B814" s="14"/>
      <c r="C814" s="38"/>
      <c r="D814" s="38"/>
      <c r="E814" s="38"/>
      <c r="F814" s="38"/>
      <c r="G814" s="38"/>
      <c r="H814" s="14"/>
      <c r="I814" s="38"/>
      <c r="J814" s="38"/>
      <c r="K814" s="14"/>
      <c r="L814" s="14"/>
      <c r="M814" s="14"/>
      <c r="N814" s="39"/>
      <c r="O814" s="39"/>
      <c r="P814" s="39"/>
      <c r="Q814" s="39"/>
      <c r="R814" s="39"/>
      <c r="S814" s="39"/>
      <c r="T814" s="39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  <c r="AH814" s="14"/>
      <c r="AI814" s="14"/>
      <c r="AJ814" s="14"/>
      <c r="AK814" s="14"/>
      <c r="AL814" s="14"/>
      <c r="AM814" s="14"/>
      <c r="AN814" s="14"/>
      <c r="AO814" s="14"/>
      <c r="AP814" s="14"/>
    </row>
    <row r="815" spans="1:42" ht="13">
      <c r="A815" s="38"/>
      <c r="B815" s="14"/>
      <c r="C815" s="38"/>
      <c r="D815" s="38"/>
      <c r="E815" s="38"/>
      <c r="F815" s="38"/>
      <c r="G815" s="38"/>
      <c r="H815" s="14"/>
      <c r="I815" s="38"/>
      <c r="J815" s="38"/>
      <c r="K815" s="14"/>
      <c r="L815" s="14"/>
      <c r="M815" s="14"/>
      <c r="N815" s="39"/>
      <c r="O815" s="39"/>
      <c r="P815" s="39"/>
      <c r="Q815" s="39"/>
      <c r="R815" s="39"/>
      <c r="S815" s="39"/>
      <c r="T815" s="39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  <c r="AH815" s="14"/>
      <c r="AI815" s="14"/>
      <c r="AJ815" s="14"/>
      <c r="AK815" s="14"/>
      <c r="AL815" s="14"/>
      <c r="AM815" s="14"/>
      <c r="AN815" s="14"/>
      <c r="AO815" s="14"/>
      <c r="AP815" s="14"/>
    </row>
    <row r="816" spans="1:42" ht="13">
      <c r="A816" s="38"/>
      <c r="B816" s="14"/>
      <c r="C816" s="38"/>
      <c r="D816" s="38"/>
      <c r="E816" s="38"/>
      <c r="F816" s="38"/>
      <c r="G816" s="38"/>
      <c r="H816" s="14"/>
      <c r="I816" s="38"/>
      <c r="J816" s="38"/>
      <c r="K816" s="14"/>
      <c r="L816" s="14"/>
      <c r="M816" s="14"/>
      <c r="N816" s="39"/>
      <c r="O816" s="39"/>
      <c r="P816" s="39"/>
      <c r="Q816" s="39"/>
      <c r="R816" s="39"/>
      <c r="S816" s="39"/>
      <c r="T816" s="39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  <c r="AH816" s="14"/>
      <c r="AI816" s="14"/>
      <c r="AJ816" s="14"/>
      <c r="AK816" s="14"/>
      <c r="AL816" s="14"/>
      <c r="AM816" s="14"/>
      <c r="AN816" s="14"/>
      <c r="AO816" s="14"/>
      <c r="AP816" s="14"/>
    </row>
    <row r="817" spans="1:42" ht="13">
      <c r="A817" s="38"/>
      <c r="B817" s="14"/>
      <c r="C817" s="38"/>
      <c r="D817" s="38"/>
      <c r="E817" s="38"/>
      <c r="F817" s="38"/>
      <c r="G817" s="38"/>
      <c r="H817" s="14"/>
      <c r="I817" s="38"/>
      <c r="J817" s="38"/>
      <c r="K817" s="14"/>
      <c r="L817" s="14"/>
      <c r="M817" s="14"/>
      <c r="N817" s="39"/>
      <c r="O817" s="39"/>
      <c r="P817" s="39"/>
      <c r="Q817" s="39"/>
      <c r="R817" s="39"/>
      <c r="S817" s="39"/>
      <c r="T817" s="39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  <c r="AH817" s="14"/>
      <c r="AI817" s="14"/>
      <c r="AJ817" s="14"/>
      <c r="AK817" s="14"/>
      <c r="AL817" s="14"/>
      <c r="AM817" s="14"/>
      <c r="AN817" s="14"/>
      <c r="AO817" s="14"/>
      <c r="AP817" s="14"/>
    </row>
    <row r="818" spans="1:42" ht="13">
      <c r="A818" s="38"/>
      <c r="B818" s="14"/>
      <c r="C818" s="38"/>
      <c r="D818" s="38"/>
      <c r="E818" s="38"/>
      <c r="F818" s="38"/>
      <c r="G818" s="38"/>
      <c r="H818" s="14"/>
      <c r="I818" s="38"/>
      <c r="J818" s="38"/>
      <c r="K818" s="14"/>
      <c r="L818" s="14"/>
      <c r="M818" s="14"/>
      <c r="N818" s="39"/>
      <c r="O818" s="39"/>
      <c r="P818" s="39"/>
      <c r="Q818" s="39"/>
      <c r="R818" s="39"/>
      <c r="S818" s="39"/>
      <c r="T818" s="39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  <c r="AH818" s="14"/>
      <c r="AI818" s="14"/>
      <c r="AJ818" s="14"/>
      <c r="AK818" s="14"/>
      <c r="AL818" s="14"/>
      <c r="AM818" s="14"/>
      <c r="AN818" s="14"/>
      <c r="AO818" s="14"/>
      <c r="AP818" s="14"/>
    </row>
    <row r="819" spans="1:42" ht="13">
      <c r="A819" s="38"/>
      <c r="B819" s="14"/>
      <c r="C819" s="38"/>
      <c r="D819" s="38"/>
      <c r="E819" s="38"/>
      <c r="F819" s="38"/>
      <c r="G819" s="38"/>
      <c r="H819" s="14"/>
      <c r="I819" s="38"/>
      <c r="J819" s="38"/>
      <c r="K819" s="14"/>
      <c r="L819" s="14"/>
      <c r="M819" s="14"/>
      <c r="N819" s="39"/>
      <c r="O819" s="39"/>
      <c r="P819" s="39"/>
      <c r="Q819" s="39"/>
      <c r="R819" s="39"/>
      <c r="S819" s="39"/>
      <c r="T819" s="39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  <c r="AH819" s="14"/>
      <c r="AI819" s="14"/>
      <c r="AJ819" s="14"/>
      <c r="AK819" s="14"/>
      <c r="AL819" s="14"/>
      <c r="AM819" s="14"/>
      <c r="AN819" s="14"/>
      <c r="AO819" s="14"/>
      <c r="AP819" s="14"/>
    </row>
    <row r="820" spans="1:42" ht="13">
      <c r="A820" s="38"/>
      <c r="B820" s="14"/>
      <c r="C820" s="38"/>
      <c r="D820" s="38"/>
      <c r="E820" s="38"/>
      <c r="F820" s="38"/>
      <c r="G820" s="38"/>
      <c r="H820" s="14"/>
      <c r="I820" s="38"/>
      <c r="J820" s="38"/>
      <c r="K820" s="14"/>
      <c r="L820" s="14"/>
      <c r="M820" s="14"/>
      <c r="N820" s="39"/>
      <c r="O820" s="39"/>
      <c r="P820" s="39"/>
      <c r="Q820" s="39"/>
      <c r="R820" s="39"/>
      <c r="S820" s="39"/>
      <c r="T820" s="39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  <c r="AH820" s="14"/>
      <c r="AI820" s="14"/>
      <c r="AJ820" s="14"/>
      <c r="AK820" s="14"/>
      <c r="AL820" s="14"/>
      <c r="AM820" s="14"/>
      <c r="AN820" s="14"/>
      <c r="AO820" s="14"/>
      <c r="AP820" s="14"/>
    </row>
    <row r="821" spans="1:42" ht="13">
      <c r="A821" s="38"/>
      <c r="B821" s="14"/>
      <c r="C821" s="38"/>
      <c r="D821" s="38"/>
      <c r="E821" s="38"/>
      <c r="F821" s="38"/>
      <c r="G821" s="38"/>
      <c r="H821" s="14"/>
      <c r="I821" s="38"/>
      <c r="J821" s="38"/>
      <c r="K821" s="14"/>
      <c r="L821" s="14"/>
      <c r="M821" s="14"/>
      <c r="N821" s="39"/>
      <c r="O821" s="39"/>
      <c r="P821" s="39"/>
      <c r="Q821" s="39"/>
      <c r="R821" s="39"/>
      <c r="S821" s="39"/>
      <c r="T821" s="39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  <c r="AH821" s="14"/>
      <c r="AI821" s="14"/>
      <c r="AJ821" s="14"/>
      <c r="AK821" s="14"/>
      <c r="AL821" s="14"/>
      <c r="AM821" s="14"/>
      <c r="AN821" s="14"/>
      <c r="AO821" s="14"/>
      <c r="AP821" s="14"/>
    </row>
    <row r="822" spans="1:42" ht="13">
      <c r="A822" s="38"/>
      <c r="B822" s="14"/>
      <c r="C822" s="38"/>
      <c r="D822" s="38"/>
      <c r="E822" s="38"/>
      <c r="F822" s="38"/>
      <c r="G822" s="38"/>
      <c r="H822" s="14"/>
      <c r="I822" s="38"/>
      <c r="J822" s="38"/>
      <c r="K822" s="14"/>
      <c r="L822" s="14"/>
      <c r="M822" s="14"/>
      <c r="N822" s="39"/>
      <c r="O822" s="39"/>
      <c r="P822" s="39"/>
      <c r="Q822" s="39"/>
      <c r="R822" s="39"/>
      <c r="S822" s="39"/>
      <c r="T822" s="39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  <c r="AH822" s="14"/>
      <c r="AI822" s="14"/>
      <c r="AJ822" s="14"/>
      <c r="AK822" s="14"/>
      <c r="AL822" s="14"/>
      <c r="AM822" s="14"/>
      <c r="AN822" s="14"/>
      <c r="AO822" s="14"/>
      <c r="AP822" s="14"/>
    </row>
    <row r="823" spans="1:42" ht="13">
      <c r="A823" s="38"/>
      <c r="B823" s="14"/>
      <c r="C823" s="38"/>
      <c r="D823" s="38"/>
      <c r="E823" s="38"/>
      <c r="F823" s="38"/>
      <c r="G823" s="38"/>
      <c r="H823" s="14"/>
      <c r="I823" s="38"/>
      <c r="J823" s="38"/>
      <c r="K823" s="14"/>
      <c r="L823" s="14"/>
      <c r="M823" s="14"/>
      <c r="N823" s="39"/>
      <c r="O823" s="39"/>
      <c r="P823" s="39"/>
      <c r="Q823" s="39"/>
      <c r="R823" s="39"/>
      <c r="S823" s="39"/>
      <c r="T823" s="39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  <c r="AH823" s="14"/>
      <c r="AI823" s="14"/>
      <c r="AJ823" s="14"/>
      <c r="AK823" s="14"/>
      <c r="AL823" s="14"/>
      <c r="AM823" s="14"/>
      <c r="AN823" s="14"/>
      <c r="AO823" s="14"/>
      <c r="AP823" s="14"/>
    </row>
    <row r="824" spans="1:42" ht="13">
      <c r="A824" s="38"/>
      <c r="B824" s="14"/>
      <c r="C824" s="38"/>
      <c r="D824" s="38"/>
      <c r="E824" s="38"/>
      <c r="F824" s="38"/>
      <c r="G824" s="38"/>
      <c r="H824" s="14"/>
      <c r="I824" s="38"/>
      <c r="J824" s="38"/>
      <c r="K824" s="14"/>
      <c r="L824" s="14"/>
      <c r="M824" s="14"/>
      <c r="N824" s="39"/>
      <c r="O824" s="39"/>
      <c r="P824" s="39"/>
      <c r="Q824" s="39"/>
      <c r="R824" s="39"/>
      <c r="S824" s="39"/>
      <c r="T824" s="39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  <c r="AH824" s="14"/>
      <c r="AI824" s="14"/>
      <c r="AJ824" s="14"/>
      <c r="AK824" s="14"/>
      <c r="AL824" s="14"/>
      <c r="AM824" s="14"/>
      <c r="AN824" s="14"/>
      <c r="AO824" s="14"/>
      <c r="AP824" s="14"/>
    </row>
    <row r="825" spans="1:42" ht="13">
      <c r="A825" s="38"/>
      <c r="B825" s="14"/>
      <c r="C825" s="38"/>
      <c r="D825" s="38"/>
      <c r="E825" s="38"/>
      <c r="F825" s="38"/>
      <c r="G825" s="38"/>
      <c r="H825" s="14"/>
      <c r="I825" s="38"/>
      <c r="J825" s="38"/>
      <c r="K825" s="14"/>
      <c r="L825" s="14"/>
      <c r="M825" s="14"/>
      <c r="N825" s="39"/>
      <c r="O825" s="39"/>
      <c r="P825" s="39"/>
      <c r="Q825" s="39"/>
      <c r="R825" s="39"/>
      <c r="S825" s="39"/>
      <c r="T825" s="39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  <c r="AH825" s="14"/>
      <c r="AI825" s="14"/>
      <c r="AJ825" s="14"/>
      <c r="AK825" s="14"/>
      <c r="AL825" s="14"/>
      <c r="AM825" s="14"/>
      <c r="AN825" s="14"/>
      <c r="AO825" s="14"/>
      <c r="AP825" s="14"/>
    </row>
    <row r="826" spans="1:42" ht="13">
      <c r="A826" s="38"/>
      <c r="B826" s="14"/>
      <c r="C826" s="38"/>
      <c r="D826" s="38"/>
      <c r="E826" s="38"/>
      <c r="F826" s="38"/>
      <c r="G826" s="38"/>
      <c r="H826" s="14"/>
      <c r="I826" s="38"/>
      <c r="J826" s="38"/>
      <c r="K826" s="14"/>
      <c r="L826" s="14"/>
      <c r="M826" s="14"/>
      <c r="N826" s="39"/>
      <c r="O826" s="39"/>
      <c r="P826" s="39"/>
      <c r="Q826" s="39"/>
      <c r="R826" s="39"/>
      <c r="S826" s="39"/>
      <c r="T826" s="39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  <c r="AH826" s="14"/>
      <c r="AI826" s="14"/>
      <c r="AJ826" s="14"/>
      <c r="AK826" s="14"/>
      <c r="AL826" s="14"/>
      <c r="AM826" s="14"/>
      <c r="AN826" s="14"/>
      <c r="AO826" s="14"/>
      <c r="AP826" s="14"/>
    </row>
    <row r="827" spans="1:42" ht="13">
      <c r="A827" s="38"/>
      <c r="B827" s="14"/>
      <c r="C827" s="38"/>
      <c r="D827" s="38"/>
      <c r="E827" s="38"/>
      <c r="F827" s="38"/>
      <c r="G827" s="38"/>
      <c r="H827" s="14"/>
      <c r="I827" s="38"/>
      <c r="J827" s="38"/>
      <c r="K827" s="14"/>
      <c r="L827" s="14"/>
      <c r="M827" s="14"/>
      <c r="N827" s="39"/>
      <c r="O827" s="39"/>
      <c r="P827" s="39"/>
      <c r="Q827" s="39"/>
      <c r="R827" s="39"/>
      <c r="S827" s="39"/>
      <c r="T827" s="39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  <c r="AH827" s="14"/>
      <c r="AI827" s="14"/>
      <c r="AJ827" s="14"/>
      <c r="AK827" s="14"/>
      <c r="AL827" s="14"/>
      <c r="AM827" s="14"/>
      <c r="AN827" s="14"/>
      <c r="AO827" s="14"/>
      <c r="AP827" s="14"/>
    </row>
    <row r="828" spans="1:42" ht="13">
      <c r="A828" s="38"/>
      <c r="B828" s="14"/>
      <c r="C828" s="38"/>
      <c r="D828" s="38"/>
      <c r="E828" s="38"/>
      <c r="F828" s="38"/>
      <c r="G828" s="38"/>
      <c r="H828" s="14"/>
      <c r="I828" s="38"/>
      <c r="J828" s="38"/>
      <c r="K828" s="14"/>
      <c r="L828" s="14"/>
      <c r="M828" s="14"/>
      <c r="N828" s="39"/>
      <c r="O828" s="39"/>
      <c r="P828" s="39"/>
      <c r="Q828" s="39"/>
      <c r="R828" s="39"/>
      <c r="S828" s="39"/>
      <c r="T828" s="39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  <c r="AH828" s="14"/>
      <c r="AI828" s="14"/>
      <c r="AJ828" s="14"/>
      <c r="AK828" s="14"/>
      <c r="AL828" s="14"/>
      <c r="AM828" s="14"/>
      <c r="AN828" s="14"/>
      <c r="AO828" s="14"/>
      <c r="AP828" s="14"/>
    </row>
    <row r="829" spans="1:42" ht="13">
      <c r="A829" s="38"/>
      <c r="B829" s="14"/>
      <c r="C829" s="38"/>
      <c r="D829" s="38"/>
      <c r="E829" s="38"/>
      <c r="F829" s="38"/>
      <c r="G829" s="38"/>
      <c r="H829" s="14"/>
      <c r="I829" s="38"/>
      <c r="J829" s="38"/>
      <c r="K829" s="14"/>
      <c r="L829" s="14"/>
      <c r="M829" s="14"/>
      <c r="N829" s="39"/>
      <c r="O829" s="39"/>
      <c r="P829" s="39"/>
      <c r="Q829" s="39"/>
      <c r="R829" s="39"/>
      <c r="S829" s="39"/>
      <c r="T829" s="39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  <c r="AH829" s="14"/>
      <c r="AI829" s="14"/>
      <c r="AJ829" s="14"/>
      <c r="AK829" s="14"/>
      <c r="AL829" s="14"/>
      <c r="AM829" s="14"/>
      <c r="AN829" s="14"/>
      <c r="AO829" s="14"/>
      <c r="AP829" s="14"/>
    </row>
    <row r="830" spans="1:42" ht="13">
      <c r="A830" s="38"/>
      <c r="B830" s="14"/>
      <c r="C830" s="38"/>
      <c r="D830" s="38"/>
      <c r="E830" s="38"/>
      <c r="F830" s="38"/>
      <c r="G830" s="38"/>
      <c r="H830" s="14"/>
      <c r="I830" s="38"/>
      <c r="J830" s="38"/>
      <c r="K830" s="14"/>
      <c r="L830" s="14"/>
      <c r="M830" s="14"/>
      <c r="N830" s="39"/>
      <c r="O830" s="39"/>
      <c r="P830" s="39"/>
      <c r="Q830" s="39"/>
      <c r="R830" s="39"/>
      <c r="S830" s="39"/>
      <c r="T830" s="39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  <c r="AH830" s="14"/>
      <c r="AI830" s="14"/>
      <c r="AJ830" s="14"/>
      <c r="AK830" s="14"/>
      <c r="AL830" s="14"/>
      <c r="AM830" s="14"/>
      <c r="AN830" s="14"/>
      <c r="AO830" s="14"/>
      <c r="AP830" s="14"/>
    </row>
    <row r="831" spans="1:42" ht="13">
      <c r="A831" s="38"/>
      <c r="B831" s="14"/>
      <c r="C831" s="38"/>
      <c r="D831" s="38"/>
      <c r="E831" s="38"/>
      <c r="F831" s="38"/>
      <c r="G831" s="38"/>
      <c r="H831" s="14"/>
      <c r="I831" s="38"/>
      <c r="J831" s="38"/>
      <c r="K831" s="14"/>
      <c r="L831" s="14"/>
      <c r="M831" s="14"/>
      <c r="N831" s="39"/>
      <c r="O831" s="39"/>
      <c r="P831" s="39"/>
      <c r="Q831" s="39"/>
      <c r="R831" s="39"/>
      <c r="S831" s="39"/>
      <c r="T831" s="39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  <c r="AH831" s="14"/>
      <c r="AI831" s="14"/>
      <c r="AJ831" s="14"/>
      <c r="AK831" s="14"/>
      <c r="AL831" s="14"/>
      <c r="AM831" s="14"/>
      <c r="AN831" s="14"/>
      <c r="AO831" s="14"/>
      <c r="AP831" s="14"/>
    </row>
    <row r="832" spans="1:42" ht="13">
      <c r="A832" s="38"/>
      <c r="B832" s="14"/>
      <c r="C832" s="38"/>
      <c r="D832" s="38"/>
      <c r="E832" s="38"/>
      <c r="F832" s="38"/>
      <c r="G832" s="38"/>
      <c r="H832" s="14"/>
      <c r="I832" s="38"/>
      <c r="J832" s="38"/>
      <c r="K832" s="14"/>
      <c r="L832" s="14"/>
      <c r="M832" s="14"/>
      <c r="N832" s="39"/>
      <c r="O832" s="39"/>
      <c r="P832" s="39"/>
      <c r="Q832" s="39"/>
      <c r="R832" s="39"/>
      <c r="S832" s="39"/>
      <c r="T832" s="39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  <c r="AH832" s="14"/>
      <c r="AI832" s="14"/>
      <c r="AJ832" s="14"/>
      <c r="AK832" s="14"/>
      <c r="AL832" s="14"/>
      <c r="AM832" s="14"/>
      <c r="AN832" s="14"/>
      <c r="AO832" s="14"/>
      <c r="AP832" s="14"/>
    </row>
    <row r="833" spans="1:42" ht="13">
      <c r="A833" s="38"/>
      <c r="B833" s="14"/>
      <c r="C833" s="38"/>
      <c r="D833" s="38"/>
      <c r="E833" s="38"/>
      <c r="F833" s="38"/>
      <c r="G833" s="38"/>
      <c r="H833" s="14"/>
      <c r="I833" s="38"/>
      <c r="J833" s="38"/>
      <c r="K833" s="14"/>
      <c r="L833" s="14"/>
      <c r="M833" s="14"/>
      <c r="N833" s="39"/>
      <c r="O833" s="39"/>
      <c r="P833" s="39"/>
      <c r="Q833" s="39"/>
      <c r="R833" s="39"/>
      <c r="S833" s="39"/>
      <c r="T833" s="39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  <c r="AH833" s="14"/>
      <c r="AI833" s="14"/>
      <c r="AJ833" s="14"/>
      <c r="AK833" s="14"/>
      <c r="AL833" s="14"/>
      <c r="AM833" s="14"/>
      <c r="AN833" s="14"/>
      <c r="AO833" s="14"/>
      <c r="AP833" s="14"/>
    </row>
    <row r="834" spans="1:42" ht="13">
      <c r="A834" s="38"/>
      <c r="B834" s="14"/>
      <c r="C834" s="38"/>
      <c r="D834" s="38"/>
      <c r="E834" s="38"/>
      <c r="F834" s="38"/>
      <c r="G834" s="38"/>
      <c r="H834" s="14"/>
      <c r="I834" s="38"/>
      <c r="J834" s="38"/>
      <c r="K834" s="14"/>
      <c r="L834" s="14"/>
      <c r="M834" s="14"/>
      <c r="N834" s="39"/>
      <c r="O834" s="39"/>
      <c r="P834" s="39"/>
      <c r="Q834" s="39"/>
      <c r="R834" s="39"/>
      <c r="S834" s="39"/>
      <c r="T834" s="39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  <c r="AH834" s="14"/>
      <c r="AI834" s="14"/>
      <c r="AJ834" s="14"/>
      <c r="AK834" s="14"/>
      <c r="AL834" s="14"/>
      <c r="AM834" s="14"/>
      <c r="AN834" s="14"/>
      <c r="AO834" s="14"/>
      <c r="AP834" s="14"/>
    </row>
    <row r="835" spans="1:42" ht="13">
      <c r="A835" s="38"/>
      <c r="B835" s="14"/>
      <c r="C835" s="38"/>
      <c r="D835" s="38"/>
      <c r="E835" s="38"/>
      <c r="F835" s="38"/>
      <c r="G835" s="38"/>
      <c r="H835" s="14"/>
      <c r="I835" s="38"/>
      <c r="J835" s="38"/>
      <c r="K835" s="14"/>
      <c r="L835" s="14"/>
      <c r="M835" s="14"/>
      <c r="N835" s="39"/>
      <c r="O835" s="39"/>
      <c r="P835" s="39"/>
      <c r="Q835" s="39"/>
      <c r="R835" s="39"/>
      <c r="S835" s="39"/>
      <c r="T835" s="39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  <c r="AH835" s="14"/>
      <c r="AI835" s="14"/>
      <c r="AJ835" s="14"/>
      <c r="AK835" s="14"/>
      <c r="AL835" s="14"/>
      <c r="AM835" s="14"/>
      <c r="AN835" s="14"/>
      <c r="AO835" s="14"/>
      <c r="AP835" s="14"/>
    </row>
    <row r="836" spans="1:42" ht="13">
      <c r="A836" s="38"/>
      <c r="B836" s="14"/>
      <c r="C836" s="38"/>
      <c r="D836" s="38"/>
      <c r="E836" s="38"/>
      <c r="F836" s="38"/>
      <c r="G836" s="38"/>
      <c r="H836" s="14"/>
      <c r="I836" s="38"/>
      <c r="J836" s="38"/>
      <c r="K836" s="14"/>
      <c r="L836" s="14"/>
      <c r="M836" s="14"/>
      <c r="N836" s="39"/>
      <c r="O836" s="39"/>
      <c r="P836" s="39"/>
      <c r="Q836" s="39"/>
      <c r="R836" s="39"/>
      <c r="S836" s="39"/>
      <c r="T836" s="39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  <c r="AF836" s="14"/>
      <c r="AG836" s="14"/>
      <c r="AH836" s="14"/>
      <c r="AI836" s="14"/>
      <c r="AJ836" s="14"/>
      <c r="AK836" s="14"/>
      <c r="AL836" s="14"/>
      <c r="AM836" s="14"/>
      <c r="AN836" s="14"/>
      <c r="AO836" s="14"/>
      <c r="AP836" s="14"/>
    </row>
    <row r="837" spans="1:42" ht="13">
      <c r="A837" s="38"/>
      <c r="B837" s="14"/>
      <c r="C837" s="38"/>
      <c r="D837" s="38"/>
      <c r="E837" s="38"/>
      <c r="F837" s="38"/>
      <c r="G837" s="38"/>
      <c r="H837" s="14"/>
      <c r="I837" s="38"/>
      <c r="J837" s="38"/>
      <c r="K837" s="14"/>
      <c r="L837" s="14"/>
      <c r="M837" s="14"/>
      <c r="N837" s="39"/>
      <c r="O837" s="39"/>
      <c r="P837" s="39"/>
      <c r="Q837" s="39"/>
      <c r="R837" s="39"/>
      <c r="S837" s="39"/>
      <c r="T837" s="39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  <c r="AH837" s="14"/>
      <c r="AI837" s="14"/>
      <c r="AJ837" s="14"/>
      <c r="AK837" s="14"/>
      <c r="AL837" s="14"/>
      <c r="AM837" s="14"/>
      <c r="AN837" s="14"/>
      <c r="AO837" s="14"/>
      <c r="AP837" s="14"/>
    </row>
    <row r="838" spans="1:42" ht="13">
      <c r="A838" s="38"/>
      <c r="B838" s="14"/>
      <c r="C838" s="38"/>
      <c r="D838" s="38"/>
      <c r="E838" s="38"/>
      <c r="F838" s="38"/>
      <c r="G838" s="38"/>
      <c r="H838" s="14"/>
      <c r="I838" s="38"/>
      <c r="J838" s="38"/>
      <c r="K838" s="14"/>
      <c r="L838" s="14"/>
      <c r="M838" s="14"/>
      <c r="N838" s="39"/>
      <c r="O838" s="39"/>
      <c r="P838" s="39"/>
      <c r="Q838" s="39"/>
      <c r="R838" s="39"/>
      <c r="S838" s="39"/>
      <c r="T838" s="39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  <c r="AF838" s="14"/>
      <c r="AG838" s="14"/>
      <c r="AH838" s="14"/>
      <c r="AI838" s="14"/>
      <c r="AJ838" s="14"/>
      <c r="AK838" s="14"/>
      <c r="AL838" s="14"/>
      <c r="AM838" s="14"/>
      <c r="AN838" s="14"/>
      <c r="AO838" s="14"/>
      <c r="AP838" s="14"/>
    </row>
    <row r="839" spans="1:42" ht="13">
      <c r="A839" s="38"/>
      <c r="B839" s="14"/>
      <c r="C839" s="38"/>
      <c r="D839" s="38"/>
      <c r="E839" s="38"/>
      <c r="F839" s="38"/>
      <c r="G839" s="38"/>
      <c r="H839" s="14"/>
      <c r="I839" s="38"/>
      <c r="J839" s="38"/>
      <c r="K839" s="14"/>
      <c r="L839" s="14"/>
      <c r="M839" s="14"/>
      <c r="N839" s="39"/>
      <c r="O839" s="39"/>
      <c r="P839" s="39"/>
      <c r="Q839" s="39"/>
      <c r="R839" s="39"/>
      <c r="S839" s="39"/>
      <c r="T839" s="39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  <c r="AH839" s="14"/>
      <c r="AI839" s="14"/>
      <c r="AJ839" s="14"/>
      <c r="AK839" s="14"/>
      <c r="AL839" s="14"/>
      <c r="AM839" s="14"/>
      <c r="AN839" s="14"/>
      <c r="AO839" s="14"/>
      <c r="AP839" s="14"/>
    </row>
    <row r="840" spans="1:42" ht="13">
      <c r="A840" s="38"/>
      <c r="B840" s="14"/>
      <c r="C840" s="38"/>
      <c r="D840" s="38"/>
      <c r="E840" s="38"/>
      <c r="F840" s="38"/>
      <c r="G840" s="38"/>
      <c r="H840" s="14"/>
      <c r="I840" s="38"/>
      <c r="J840" s="38"/>
      <c r="K840" s="14"/>
      <c r="L840" s="14"/>
      <c r="M840" s="14"/>
      <c r="N840" s="39"/>
      <c r="O840" s="39"/>
      <c r="P840" s="39"/>
      <c r="Q840" s="39"/>
      <c r="R840" s="39"/>
      <c r="S840" s="39"/>
      <c r="T840" s="39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  <c r="AF840" s="14"/>
      <c r="AG840" s="14"/>
      <c r="AH840" s="14"/>
      <c r="AI840" s="14"/>
      <c r="AJ840" s="14"/>
      <c r="AK840" s="14"/>
      <c r="AL840" s="14"/>
      <c r="AM840" s="14"/>
      <c r="AN840" s="14"/>
      <c r="AO840" s="14"/>
      <c r="AP840" s="14"/>
    </row>
    <row r="841" spans="1:42" ht="13">
      <c r="A841" s="38"/>
      <c r="B841" s="14"/>
      <c r="C841" s="38"/>
      <c r="D841" s="38"/>
      <c r="E841" s="38"/>
      <c r="F841" s="38"/>
      <c r="G841" s="38"/>
      <c r="H841" s="14"/>
      <c r="I841" s="38"/>
      <c r="J841" s="38"/>
      <c r="K841" s="14"/>
      <c r="L841" s="14"/>
      <c r="M841" s="14"/>
      <c r="N841" s="39"/>
      <c r="O841" s="39"/>
      <c r="P841" s="39"/>
      <c r="Q841" s="39"/>
      <c r="R841" s="39"/>
      <c r="S841" s="39"/>
      <c r="T841" s="39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  <c r="AH841" s="14"/>
      <c r="AI841" s="14"/>
      <c r="AJ841" s="14"/>
      <c r="AK841" s="14"/>
      <c r="AL841" s="14"/>
      <c r="AM841" s="14"/>
      <c r="AN841" s="14"/>
      <c r="AO841" s="14"/>
      <c r="AP841" s="14"/>
    </row>
    <row r="842" spans="1:42" ht="13">
      <c r="A842" s="38"/>
      <c r="B842" s="14"/>
      <c r="C842" s="38"/>
      <c r="D842" s="38"/>
      <c r="E842" s="38"/>
      <c r="F842" s="38"/>
      <c r="G842" s="38"/>
      <c r="H842" s="14"/>
      <c r="I842" s="38"/>
      <c r="J842" s="38"/>
      <c r="K842" s="14"/>
      <c r="L842" s="14"/>
      <c r="M842" s="14"/>
      <c r="N842" s="39"/>
      <c r="O842" s="39"/>
      <c r="P842" s="39"/>
      <c r="Q842" s="39"/>
      <c r="R842" s="39"/>
      <c r="S842" s="39"/>
      <c r="T842" s="39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  <c r="AF842" s="14"/>
      <c r="AG842" s="14"/>
      <c r="AH842" s="14"/>
      <c r="AI842" s="14"/>
      <c r="AJ842" s="14"/>
      <c r="AK842" s="14"/>
      <c r="AL842" s="14"/>
      <c r="AM842" s="14"/>
      <c r="AN842" s="14"/>
      <c r="AO842" s="14"/>
      <c r="AP842" s="14"/>
    </row>
    <row r="843" spans="1:42" ht="13">
      <c r="A843" s="38"/>
      <c r="B843" s="14"/>
      <c r="C843" s="38"/>
      <c r="D843" s="38"/>
      <c r="E843" s="38"/>
      <c r="F843" s="38"/>
      <c r="G843" s="38"/>
      <c r="H843" s="14"/>
      <c r="I843" s="38"/>
      <c r="J843" s="38"/>
      <c r="K843" s="14"/>
      <c r="L843" s="14"/>
      <c r="M843" s="14"/>
      <c r="N843" s="39"/>
      <c r="O843" s="39"/>
      <c r="P843" s="39"/>
      <c r="Q843" s="39"/>
      <c r="R843" s="39"/>
      <c r="S843" s="39"/>
      <c r="T843" s="39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  <c r="AH843" s="14"/>
      <c r="AI843" s="14"/>
      <c r="AJ843" s="14"/>
      <c r="AK843" s="14"/>
      <c r="AL843" s="14"/>
      <c r="AM843" s="14"/>
      <c r="AN843" s="14"/>
      <c r="AO843" s="14"/>
      <c r="AP843" s="14"/>
    </row>
    <row r="844" spans="1:42" ht="13">
      <c r="A844" s="38"/>
      <c r="B844" s="14"/>
      <c r="C844" s="38"/>
      <c r="D844" s="38"/>
      <c r="E844" s="38"/>
      <c r="F844" s="38"/>
      <c r="G844" s="38"/>
      <c r="H844" s="14"/>
      <c r="I844" s="38"/>
      <c r="J844" s="38"/>
      <c r="K844" s="14"/>
      <c r="L844" s="14"/>
      <c r="M844" s="14"/>
      <c r="N844" s="39"/>
      <c r="O844" s="39"/>
      <c r="P844" s="39"/>
      <c r="Q844" s="39"/>
      <c r="R844" s="39"/>
      <c r="S844" s="39"/>
      <c r="T844" s="39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  <c r="AH844" s="14"/>
      <c r="AI844" s="14"/>
      <c r="AJ844" s="14"/>
      <c r="AK844" s="14"/>
      <c r="AL844" s="14"/>
      <c r="AM844" s="14"/>
      <c r="AN844" s="14"/>
      <c r="AO844" s="14"/>
      <c r="AP844" s="14"/>
    </row>
    <row r="845" spans="1:42" ht="13">
      <c r="A845" s="38"/>
      <c r="B845" s="14"/>
      <c r="C845" s="38"/>
      <c r="D845" s="38"/>
      <c r="E845" s="38"/>
      <c r="F845" s="38"/>
      <c r="G845" s="38"/>
      <c r="H845" s="14"/>
      <c r="I845" s="38"/>
      <c r="J845" s="38"/>
      <c r="K845" s="14"/>
      <c r="L845" s="14"/>
      <c r="M845" s="14"/>
      <c r="N845" s="39"/>
      <c r="O845" s="39"/>
      <c r="P845" s="39"/>
      <c r="Q845" s="39"/>
      <c r="R845" s="39"/>
      <c r="S845" s="39"/>
      <c r="T845" s="39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  <c r="AH845" s="14"/>
      <c r="AI845" s="14"/>
      <c r="AJ845" s="14"/>
      <c r="AK845" s="14"/>
      <c r="AL845" s="14"/>
      <c r="AM845" s="14"/>
      <c r="AN845" s="14"/>
      <c r="AO845" s="14"/>
      <c r="AP845" s="14"/>
    </row>
    <row r="846" spans="1:42" ht="13">
      <c r="A846" s="38"/>
      <c r="B846" s="14"/>
      <c r="C846" s="38"/>
      <c r="D846" s="38"/>
      <c r="E846" s="38"/>
      <c r="F846" s="38"/>
      <c r="G846" s="38"/>
      <c r="H846" s="14"/>
      <c r="I846" s="38"/>
      <c r="J846" s="38"/>
      <c r="K846" s="14"/>
      <c r="L846" s="14"/>
      <c r="M846" s="14"/>
      <c r="N846" s="39"/>
      <c r="O846" s="39"/>
      <c r="P846" s="39"/>
      <c r="Q846" s="39"/>
      <c r="R846" s="39"/>
      <c r="S846" s="39"/>
      <c r="T846" s="39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  <c r="AH846" s="14"/>
      <c r="AI846" s="14"/>
      <c r="AJ846" s="14"/>
      <c r="AK846" s="14"/>
      <c r="AL846" s="14"/>
      <c r="AM846" s="14"/>
      <c r="AN846" s="14"/>
      <c r="AO846" s="14"/>
      <c r="AP846" s="14"/>
    </row>
    <row r="847" spans="1:42" ht="13">
      <c r="A847" s="38"/>
      <c r="B847" s="14"/>
      <c r="C847" s="38"/>
      <c r="D847" s="38"/>
      <c r="E847" s="38"/>
      <c r="F847" s="38"/>
      <c r="G847" s="38"/>
      <c r="H847" s="14"/>
      <c r="I847" s="38"/>
      <c r="J847" s="38"/>
      <c r="K847" s="14"/>
      <c r="L847" s="14"/>
      <c r="M847" s="14"/>
      <c r="N847" s="39"/>
      <c r="O847" s="39"/>
      <c r="P847" s="39"/>
      <c r="Q847" s="39"/>
      <c r="R847" s="39"/>
      <c r="S847" s="39"/>
      <c r="T847" s="39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  <c r="AH847" s="14"/>
      <c r="AI847" s="14"/>
      <c r="AJ847" s="14"/>
      <c r="AK847" s="14"/>
      <c r="AL847" s="14"/>
      <c r="AM847" s="14"/>
      <c r="AN847" s="14"/>
      <c r="AO847" s="14"/>
      <c r="AP847" s="14"/>
    </row>
    <row r="848" spans="1:42" ht="13">
      <c r="A848" s="38"/>
      <c r="B848" s="14"/>
      <c r="C848" s="38"/>
      <c r="D848" s="38"/>
      <c r="E848" s="38"/>
      <c r="F848" s="38"/>
      <c r="G848" s="38"/>
      <c r="H848" s="14"/>
      <c r="I848" s="38"/>
      <c r="J848" s="38"/>
      <c r="K848" s="14"/>
      <c r="L848" s="14"/>
      <c r="M848" s="14"/>
      <c r="N848" s="39"/>
      <c r="O848" s="39"/>
      <c r="P848" s="39"/>
      <c r="Q848" s="39"/>
      <c r="R848" s="39"/>
      <c r="S848" s="39"/>
      <c r="T848" s="39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  <c r="AH848" s="14"/>
      <c r="AI848" s="14"/>
      <c r="AJ848" s="14"/>
      <c r="AK848" s="14"/>
      <c r="AL848" s="14"/>
      <c r="AM848" s="14"/>
      <c r="AN848" s="14"/>
      <c r="AO848" s="14"/>
      <c r="AP848" s="14"/>
    </row>
    <row r="849" spans="1:42" ht="13">
      <c r="A849" s="38"/>
      <c r="B849" s="14"/>
      <c r="C849" s="38"/>
      <c r="D849" s="38"/>
      <c r="E849" s="38"/>
      <c r="F849" s="38"/>
      <c r="G849" s="38"/>
      <c r="H849" s="14"/>
      <c r="I849" s="38"/>
      <c r="J849" s="38"/>
      <c r="K849" s="14"/>
      <c r="L849" s="14"/>
      <c r="M849" s="14"/>
      <c r="N849" s="39"/>
      <c r="O849" s="39"/>
      <c r="P849" s="39"/>
      <c r="Q849" s="39"/>
      <c r="R849" s="39"/>
      <c r="S849" s="39"/>
      <c r="T849" s="39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  <c r="AH849" s="14"/>
      <c r="AI849" s="14"/>
      <c r="AJ849" s="14"/>
      <c r="AK849" s="14"/>
      <c r="AL849" s="14"/>
      <c r="AM849" s="14"/>
      <c r="AN849" s="14"/>
      <c r="AO849" s="14"/>
      <c r="AP849" s="14"/>
    </row>
    <row r="850" spans="1:42" ht="13">
      <c r="A850" s="38"/>
      <c r="B850" s="14"/>
      <c r="C850" s="38"/>
      <c r="D850" s="38"/>
      <c r="E850" s="38"/>
      <c r="F850" s="38"/>
      <c r="G850" s="38"/>
      <c r="H850" s="14"/>
      <c r="I850" s="38"/>
      <c r="J850" s="38"/>
      <c r="K850" s="14"/>
      <c r="L850" s="14"/>
      <c r="M850" s="14"/>
      <c r="N850" s="39"/>
      <c r="O850" s="39"/>
      <c r="P850" s="39"/>
      <c r="Q850" s="39"/>
      <c r="R850" s="39"/>
      <c r="S850" s="39"/>
      <c r="T850" s="39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  <c r="AF850" s="14"/>
      <c r="AG850" s="14"/>
      <c r="AH850" s="14"/>
      <c r="AI850" s="14"/>
      <c r="AJ850" s="14"/>
      <c r="AK850" s="14"/>
      <c r="AL850" s="14"/>
      <c r="AM850" s="14"/>
      <c r="AN850" s="14"/>
      <c r="AO850" s="14"/>
      <c r="AP850" s="14"/>
    </row>
    <row r="851" spans="1:42" ht="13">
      <c r="A851" s="38"/>
      <c r="B851" s="14"/>
      <c r="C851" s="38"/>
      <c r="D851" s="38"/>
      <c r="E851" s="38"/>
      <c r="F851" s="38"/>
      <c r="G851" s="38"/>
      <c r="H851" s="14"/>
      <c r="I851" s="38"/>
      <c r="J851" s="38"/>
      <c r="K851" s="14"/>
      <c r="L851" s="14"/>
      <c r="M851" s="14"/>
      <c r="N851" s="39"/>
      <c r="O851" s="39"/>
      <c r="P851" s="39"/>
      <c r="Q851" s="39"/>
      <c r="R851" s="39"/>
      <c r="S851" s="39"/>
      <c r="T851" s="39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  <c r="AH851" s="14"/>
      <c r="AI851" s="14"/>
      <c r="AJ851" s="14"/>
      <c r="AK851" s="14"/>
      <c r="AL851" s="14"/>
      <c r="AM851" s="14"/>
      <c r="AN851" s="14"/>
      <c r="AO851" s="14"/>
      <c r="AP851" s="14"/>
    </row>
    <row r="852" spans="1:42" ht="13">
      <c r="A852" s="38"/>
      <c r="B852" s="14"/>
      <c r="C852" s="38"/>
      <c r="D852" s="38"/>
      <c r="E852" s="38"/>
      <c r="F852" s="38"/>
      <c r="G852" s="38"/>
      <c r="H852" s="14"/>
      <c r="I852" s="38"/>
      <c r="J852" s="38"/>
      <c r="K852" s="14"/>
      <c r="L852" s="14"/>
      <c r="M852" s="14"/>
      <c r="N852" s="39"/>
      <c r="O852" s="39"/>
      <c r="P852" s="39"/>
      <c r="Q852" s="39"/>
      <c r="R852" s="39"/>
      <c r="S852" s="39"/>
      <c r="T852" s="39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  <c r="AH852" s="14"/>
      <c r="AI852" s="14"/>
      <c r="AJ852" s="14"/>
      <c r="AK852" s="14"/>
      <c r="AL852" s="14"/>
      <c r="AM852" s="14"/>
      <c r="AN852" s="14"/>
      <c r="AO852" s="14"/>
      <c r="AP852" s="14"/>
    </row>
    <row r="853" spans="1:42" ht="13">
      <c r="A853" s="38"/>
      <c r="B853" s="14"/>
      <c r="C853" s="38"/>
      <c r="D853" s="38"/>
      <c r="E853" s="38"/>
      <c r="F853" s="38"/>
      <c r="G853" s="38"/>
      <c r="H853" s="14"/>
      <c r="I853" s="38"/>
      <c r="J853" s="38"/>
      <c r="K853" s="14"/>
      <c r="L853" s="14"/>
      <c r="M853" s="14"/>
      <c r="N853" s="39"/>
      <c r="O853" s="39"/>
      <c r="P853" s="39"/>
      <c r="Q853" s="39"/>
      <c r="R853" s="39"/>
      <c r="S853" s="39"/>
      <c r="T853" s="39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  <c r="AH853" s="14"/>
      <c r="AI853" s="14"/>
      <c r="AJ853" s="14"/>
      <c r="AK853" s="14"/>
      <c r="AL853" s="14"/>
      <c r="AM853" s="14"/>
      <c r="AN853" s="14"/>
      <c r="AO853" s="14"/>
      <c r="AP853" s="14"/>
    </row>
    <row r="854" spans="1:42" ht="13">
      <c r="A854" s="38"/>
      <c r="B854" s="14"/>
      <c r="C854" s="38"/>
      <c r="D854" s="38"/>
      <c r="E854" s="38"/>
      <c r="F854" s="38"/>
      <c r="G854" s="38"/>
      <c r="H854" s="14"/>
      <c r="I854" s="38"/>
      <c r="J854" s="38"/>
      <c r="K854" s="14"/>
      <c r="L854" s="14"/>
      <c r="M854" s="14"/>
      <c r="N854" s="39"/>
      <c r="O854" s="39"/>
      <c r="P854" s="39"/>
      <c r="Q854" s="39"/>
      <c r="R854" s="39"/>
      <c r="S854" s="39"/>
      <c r="T854" s="39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  <c r="AH854" s="14"/>
      <c r="AI854" s="14"/>
      <c r="AJ854" s="14"/>
      <c r="AK854" s="14"/>
      <c r="AL854" s="14"/>
      <c r="AM854" s="14"/>
      <c r="AN854" s="14"/>
      <c r="AO854" s="14"/>
      <c r="AP854" s="14"/>
    </row>
    <row r="855" spans="1:42" ht="13">
      <c r="A855" s="38"/>
      <c r="B855" s="14"/>
      <c r="C855" s="38"/>
      <c r="D855" s="38"/>
      <c r="E855" s="38"/>
      <c r="F855" s="38"/>
      <c r="G855" s="38"/>
      <c r="H855" s="14"/>
      <c r="I855" s="38"/>
      <c r="J855" s="38"/>
      <c r="K855" s="14"/>
      <c r="L855" s="14"/>
      <c r="M855" s="14"/>
      <c r="N855" s="39"/>
      <c r="O855" s="39"/>
      <c r="P855" s="39"/>
      <c r="Q855" s="39"/>
      <c r="R855" s="39"/>
      <c r="S855" s="39"/>
      <c r="T855" s="39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  <c r="AH855" s="14"/>
      <c r="AI855" s="14"/>
      <c r="AJ855" s="14"/>
      <c r="AK855" s="14"/>
      <c r="AL855" s="14"/>
      <c r="AM855" s="14"/>
      <c r="AN855" s="14"/>
      <c r="AO855" s="14"/>
      <c r="AP855" s="14"/>
    </row>
    <row r="856" spans="1:42" ht="13">
      <c r="A856" s="38"/>
      <c r="B856" s="14"/>
      <c r="C856" s="38"/>
      <c r="D856" s="38"/>
      <c r="E856" s="38"/>
      <c r="F856" s="38"/>
      <c r="G856" s="38"/>
      <c r="H856" s="14"/>
      <c r="I856" s="38"/>
      <c r="J856" s="38"/>
      <c r="K856" s="14"/>
      <c r="L856" s="14"/>
      <c r="M856" s="14"/>
      <c r="N856" s="39"/>
      <c r="O856" s="39"/>
      <c r="P856" s="39"/>
      <c r="Q856" s="39"/>
      <c r="R856" s="39"/>
      <c r="S856" s="39"/>
      <c r="T856" s="39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  <c r="AH856" s="14"/>
      <c r="AI856" s="14"/>
      <c r="AJ856" s="14"/>
      <c r="AK856" s="14"/>
      <c r="AL856" s="14"/>
      <c r="AM856" s="14"/>
      <c r="AN856" s="14"/>
      <c r="AO856" s="14"/>
      <c r="AP856" s="14"/>
    </row>
    <row r="857" spans="1:42" ht="13">
      <c r="A857" s="38"/>
      <c r="B857" s="14"/>
      <c r="C857" s="38"/>
      <c r="D857" s="38"/>
      <c r="E857" s="38"/>
      <c r="F857" s="38"/>
      <c r="G857" s="38"/>
      <c r="H857" s="14"/>
      <c r="I857" s="38"/>
      <c r="J857" s="38"/>
      <c r="K857" s="14"/>
      <c r="L857" s="14"/>
      <c r="M857" s="14"/>
      <c r="N857" s="39"/>
      <c r="O857" s="39"/>
      <c r="P857" s="39"/>
      <c r="Q857" s="39"/>
      <c r="R857" s="39"/>
      <c r="S857" s="39"/>
      <c r="T857" s="39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  <c r="AH857" s="14"/>
      <c r="AI857" s="14"/>
      <c r="AJ857" s="14"/>
      <c r="AK857" s="14"/>
      <c r="AL857" s="14"/>
      <c r="AM857" s="14"/>
      <c r="AN857" s="14"/>
      <c r="AO857" s="14"/>
      <c r="AP857" s="14"/>
    </row>
    <row r="858" spans="1:42" ht="13">
      <c r="A858" s="38"/>
      <c r="B858" s="14"/>
      <c r="C858" s="38"/>
      <c r="D858" s="38"/>
      <c r="E858" s="38"/>
      <c r="F858" s="38"/>
      <c r="G858" s="38"/>
      <c r="H858" s="14"/>
      <c r="I858" s="38"/>
      <c r="J858" s="38"/>
      <c r="K858" s="14"/>
      <c r="L858" s="14"/>
      <c r="M858" s="14"/>
      <c r="N858" s="39"/>
      <c r="O858" s="39"/>
      <c r="P858" s="39"/>
      <c r="Q858" s="39"/>
      <c r="R858" s="39"/>
      <c r="S858" s="39"/>
      <c r="T858" s="39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14"/>
      <c r="AG858" s="14"/>
      <c r="AH858" s="14"/>
      <c r="AI858" s="14"/>
      <c r="AJ858" s="14"/>
      <c r="AK858" s="14"/>
      <c r="AL858" s="14"/>
      <c r="AM858" s="14"/>
      <c r="AN858" s="14"/>
      <c r="AO858" s="14"/>
      <c r="AP858" s="14"/>
    </row>
    <row r="859" spans="1:42" ht="13">
      <c r="A859" s="38"/>
      <c r="B859" s="14"/>
      <c r="C859" s="38"/>
      <c r="D859" s="38"/>
      <c r="E859" s="38"/>
      <c r="F859" s="38"/>
      <c r="G859" s="38"/>
      <c r="H859" s="14"/>
      <c r="I859" s="38"/>
      <c r="J859" s="38"/>
      <c r="K859" s="14"/>
      <c r="L859" s="14"/>
      <c r="M859" s="14"/>
      <c r="N859" s="39"/>
      <c r="O859" s="39"/>
      <c r="P859" s="39"/>
      <c r="Q859" s="39"/>
      <c r="R859" s="39"/>
      <c r="S859" s="39"/>
      <c r="T859" s="39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  <c r="AH859" s="14"/>
      <c r="AI859" s="14"/>
      <c r="AJ859" s="14"/>
      <c r="AK859" s="14"/>
      <c r="AL859" s="14"/>
      <c r="AM859" s="14"/>
      <c r="AN859" s="14"/>
      <c r="AO859" s="14"/>
      <c r="AP859" s="14"/>
    </row>
    <row r="860" spans="1:42" ht="13">
      <c r="A860" s="38"/>
      <c r="B860" s="14"/>
      <c r="C860" s="38"/>
      <c r="D860" s="38"/>
      <c r="E860" s="38"/>
      <c r="F860" s="38"/>
      <c r="G860" s="38"/>
      <c r="H860" s="14"/>
      <c r="I860" s="38"/>
      <c r="J860" s="38"/>
      <c r="K860" s="14"/>
      <c r="L860" s="14"/>
      <c r="M860" s="14"/>
      <c r="N860" s="39"/>
      <c r="O860" s="39"/>
      <c r="P860" s="39"/>
      <c r="Q860" s="39"/>
      <c r="R860" s="39"/>
      <c r="S860" s="39"/>
      <c r="T860" s="39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14"/>
      <c r="AG860" s="14"/>
      <c r="AH860" s="14"/>
      <c r="AI860" s="14"/>
      <c r="AJ860" s="14"/>
      <c r="AK860" s="14"/>
      <c r="AL860" s="14"/>
      <c r="AM860" s="14"/>
      <c r="AN860" s="14"/>
      <c r="AO860" s="14"/>
      <c r="AP860" s="14"/>
    </row>
    <row r="861" spans="1:42" ht="13">
      <c r="A861" s="38"/>
      <c r="B861" s="14"/>
      <c r="C861" s="38"/>
      <c r="D861" s="38"/>
      <c r="E861" s="38"/>
      <c r="F861" s="38"/>
      <c r="G861" s="38"/>
      <c r="H861" s="14"/>
      <c r="I861" s="38"/>
      <c r="J861" s="38"/>
      <c r="K861" s="14"/>
      <c r="L861" s="14"/>
      <c r="M861" s="14"/>
      <c r="N861" s="39"/>
      <c r="O861" s="39"/>
      <c r="P861" s="39"/>
      <c r="Q861" s="39"/>
      <c r="R861" s="39"/>
      <c r="S861" s="39"/>
      <c r="T861" s="39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  <c r="AH861" s="14"/>
      <c r="AI861" s="14"/>
      <c r="AJ861" s="14"/>
      <c r="AK861" s="14"/>
      <c r="AL861" s="14"/>
      <c r="AM861" s="14"/>
      <c r="AN861" s="14"/>
      <c r="AO861" s="14"/>
      <c r="AP861" s="14"/>
    </row>
    <row r="862" spans="1:42" ht="13">
      <c r="A862" s="38"/>
      <c r="B862" s="14"/>
      <c r="C862" s="38"/>
      <c r="D862" s="38"/>
      <c r="E862" s="38"/>
      <c r="F862" s="38"/>
      <c r="G862" s="38"/>
      <c r="H862" s="14"/>
      <c r="I862" s="38"/>
      <c r="J862" s="38"/>
      <c r="K862" s="14"/>
      <c r="L862" s="14"/>
      <c r="M862" s="14"/>
      <c r="N862" s="39"/>
      <c r="O862" s="39"/>
      <c r="P862" s="39"/>
      <c r="Q862" s="39"/>
      <c r="R862" s="39"/>
      <c r="S862" s="39"/>
      <c r="T862" s="39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  <c r="AH862" s="14"/>
      <c r="AI862" s="14"/>
      <c r="AJ862" s="14"/>
      <c r="AK862" s="14"/>
      <c r="AL862" s="14"/>
      <c r="AM862" s="14"/>
      <c r="AN862" s="14"/>
      <c r="AO862" s="14"/>
      <c r="AP862" s="14"/>
    </row>
    <row r="863" spans="1:42" ht="13">
      <c r="A863" s="38"/>
      <c r="B863" s="14"/>
      <c r="C863" s="38"/>
      <c r="D863" s="38"/>
      <c r="E863" s="38"/>
      <c r="F863" s="38"/>
      <c r="G863" s="38"/>
      <c r="H863" s="14"/>
      <c r="I863" s="38"/>
      <c r="J863" s="38"/>
      <c r="K863" s="14"/>
      <c r="L863" s="14"/>
      <c r="M863" s="14"/>
      <c r="N863" s="39"/>
      <c r="O863" s="39"/>
      <c r="P863" s="39"/>
      <c r="Q863" s="39"/>
      <c r="R863" s="39"/>
      <c r="S863" s="39"/>
      <c r="T863" s="39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  <c r="AH863" s="14"/>
      <c r="AI863" s="14"/>
      <c r="AJ863" s="14"/>
      <c r="AK863" s="14"/>
      <c r="AL863" s="14"/>
      <c r="AM863" s="14"/>
      <c r="AN863" s="14"/>
      <c r="AO863" s="14"/>
      <c r="AP863" s="14"/>
    </row>
    <row r="864" spans="1:42" ht="13">
      <c r="A864" s="38"/>
      <c r="B864" s="14"/>
      <c r="C864" s="38"/>
      <c r="D864" s="38"/>
      <c r="E864" s="38"/>
      <c r="F864" s="38"/>
      <c r="G864" s="38"/>
      <c r="H864" s="14"/>
      <c r="I864" s="38"/>
      <c r="J864" s="38"/>
      <c r="K864" s="14"/>
      <c r="L864" s="14"/>
      <c r="M864" s="14"/>
      <c r="N864" s="39"/>
      <c r="O864" s="39"/>
      <c r="P864" s="39"/>
      <c r="Q864" s="39"/>
      <c r="R864" s="39"/>
      <c r="S864" s="39"/>
      <c r="T864" s="39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14"/>
      <c r="AG864" s="14"/>
      <c r="AH864" s="14"/>
      <c r="AI864" s="14"/>
      <c r="AJ864" s="14"/>
      <c r="AK864" s="14"/>
      <c r="AL864" s="14"/>
      <c r="AM864" s="14"/>
      <c r="AN864" s="14"/>
      <c r="AO864" s="14"/>
      <c r="AP864" s="14"/>
    </row>
    <row r="865" spans="1:42" ht="13">
      <c r="A865" s="38"/>
      <c r="B865" s="14"/>
      <c r="C865" s="38"/>
      <c r="D865" s="38"/>
      <c r="E865" s="38"/>
      <c r="F865" s="38"/>
      <c r="G865" s="38"/>
      <c r="H865" s="14"/>
      <c r="I865" s="38"/>
      <c r="J865" s="38"/>
      <c r="K865" s="14"/>
      <c r="L865" s="14"/>
      <c r="M865" s="14"/>
      <c r="N865" s="39"/>
      <c r="O865" s="39"/>
      <c r="P865" s="39"/>
      <c r="Q865" s="39"/>
      <c r="R865" s="39"/>
      <c r="S865" s="39"/>
      <c r="T865" s="39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  <c r="AH865" s="14"/>
      <c r="AI865" s="14"/>
      <c r="AJ865" s="14"/>
      <c r="AK865" s="14"/>
      <c r="AL865" s="14"/>
      <c r="AM865" s="14"/>
      <c r="AN865" s="14"/>
      <c r="AO865" s="14"/>
      <c r="AP865" s="14"/>
    </row>
    <row r="866" spans="1:42" ht="13">
      <c r="A866" s="38"/>
      <c r="B866" s="14"/>
      <c r="C866" s="38"/>
      <c r="D866" s="38"/>
      <c r="E866" s="38"/>
      <c r="F866" s="38"/>
      <c r="G866" s="38"/>
      <c r="H866" s="14"/>
      <c r="I866" s="38"/>
      <c r="J866" s="38"/>
      <c r="K866" s="14"/>
      <c r="L866" s="14"/>
      <c r="M866" s="14"/>
      <c r="N866" s="39"/>
      <c r="O866" s="39"/>
      <c r="P866" s="39"/>
      <c r="Q866" s="39"/>
      <c r="R866" s="39"/>
      <c r="S866" s="39"/>
      <c r="T866" s="39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14"/>
      <c r="AG866" s="14"/>
      <c r="AH866" s="14"/>
      <c r="AI866" s="14"/>
      <c r="AJ866" s="14"/>
      <c r="AK866" s="14"/>
      <c r="AL866" s="14"/>
      <c r="AM866" s="14"/>
      <c r="AN866" s="14"/>
      <c r="AO866" s="14"/>
      <c r="AP866" s="14"/>
    </row>
    <row r="867" spans="1:42" ht="13">
      <c r="A867" s="38"/>
      <c r="B867" s="14"/>
      <c r="C867" s="38"/>
      <c r="D867" s="38"/>
      <c r="E867" s="38"/>
      <c r="F867" s="38"/>
      <c r="G867" s="38"/>
      <c r="H867" s="14"/>
      <c r="I867" s="38"/>
      <c r="J867" s="38"/>
      <c r="K867" s="14"/>
      <c r="L867" s="14"/>
      <c r="M867" s="14"/>
      <c r="N867" s="39"/>
      <c r="O867" s="39"/>
      <c r="P867" s="39"/>
      <c r="Q867" s="39"/>
      <c r="R867" s="39"/>
      <c r="S867" s="39"/>
      <c r="T867" s="39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14"/>
      <c r="AG867" s="14"/>
      <c r="AH867" s="14"/>
      <c r="AI867" s="14"/>
      <c r="AJ867" s="14"/>
      <c r="AK867" s="14"/>
      <c r="AL867" s="14"/>
      <c r="AM867" s="14"/>
      <c r="AN867" s="14"/>
      <c r="AO867" s="14"/>
      <c r="AP867" s="14"/>
    </row>
    <row r="868" spans="1:42" ht="13">
      <c r="A868" s="38"/>
      <c r="B868" s="14"/>
      <c r="C868" s="38"/>
      <c r="D868" s="38"/>
      <c r="E868" s="38"/>
      <c r="F868" s="38"/>
      <c r="G868" s="38"/>
      <c r="H868" s="14"/>
      <c r="I868" s="38"/>
      <c r="J868" s="38"/>
      <c r="K868" s="14"/>
      <c r="L868" s="14"/>
      <c r="M868" s="14"/>
      <c r="N868" s="39"/>
      <c r="O868" s="39"/>
      <c r="P868" s="39"/>
      <c r="Q868" s="39"/>
      <c r="R868" s="39"/>
      <c r="S868" s="39"/>
      <c r="T868" s="39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14"/>
      <c r="AG868" s="14"/>
      <c r="AH868" s="14"/>
      <c r="AI868" s="14"/>
      <c r="AJ868" s="14"/>
      <c r="AK868" s="14"/>
      <c r="AL868" s="14"/>
      <c r="AM868" s="14"/>
      <c r="AN868" s="14"/>
      <c r="AO868" s="14"/>
      <c r="AP868" s="14"/>
    </row>
    <row r="869" spans="1:42" ht="13">
      <c r="A869" s="38"/>
      <c r="B869" s="14"/>
      <c r="C869" s="38"/>
      <c r="D869" s="38"/>
      <c r="E869" s="38"/>
      <c r="F869" s="38"/>
      <c r="G869" s="38"/>
      <c r="H869" s="14"/>
      <c r="I869" s="38"/>
      <c r="J869" s="38"/>
      <c r="K869" s="14"/>
      <c r="L869" s="14"/>
      <c r="M869" s="14"/>
      <c r="N869" s="39"/>
      <c r="O869" s="39"/>
      <c r="P869" s="39"/>
      <c r="Q869" s="39"/>
      <c r="R869" s="39"/>
      <c r="S869" s="39"/>
      <c r="T869" s="39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  <c r="AH869" s="14"/>
      <c r="AI869" s="14"/>
      <c r="AJ869" s="14"/>
      <c r="AK869" s="14"/>
      <c r="AL869" s="14"/>
      <c r="AM869" s="14"/>
      <c r="AN869" s="14"/>
      <c r="AO869" s="14"/>
      <c r="AP869" s="14"/>
    </row>
    <row r="870" spans="1:42" ht="13">
      <c r="A870" s="38"/>
      <c r="B870" s="14"/>
      <c r="C870" s="38"/>
      <c r="D870" s="38"/>
      <c r="E870" s="38"/>
      <c r="F870" s="38"/>
      <c r="G870" s="38"/>
      <c r="H870" s="14"/>
      <c r="I870" s="38"/>
      <c r="J870" s="38"/>
      <c r="K870" s="14"/>
      <c r="L870" s="14"/>
      <c r="M870" s="14"/>
      <c r="N870" s="39"/>
      <c r="O870" s="39"/>
      <c r="P870" s="39"/>
      <c r="Q870" s="39"/>
      <c r="R870" s="39"/>
      <c r="S870" s="39"/>
      <c r="T870" s="39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14"/>
      <c r="AG870" s="14"/>
      <c r="AH870" s="14"/>
      <c r="AI870" s="14"/>
      <c r="AJ870" s="14"/>
      <c r="AK870" s="14"/>
      <c r="AL870" s="14"/>
      <c r="AM870" s="14"/>
      <c r="AN870" s="14"/>
      <c r="AO870" s="14"/>
      <c r="AP870" s="14"/>
    </row>
    <row r="871" spans="1:42" ht="13">
      <c r="A871" s="38"/>
      <c r="B871" s="14"/>
      <c r="C871" s="38"/>
      <c r="D871" s="38"/>
      <c r="E871" s="38"/>
      <c r="F871" s="38"/>
      <c r="G871" s="38"/>
      <c r="H871" s="14"/>
      <c r="I871" s="38"/>
      <c r="J871" s="38"/>
      <c r="K871" s="14"/>
      <c r="L871" s="14"/>
      <c r="M871" s="14"/>
      <c r="N871" s="39"/>
      <c r="O871" s="39"/>
      <c r="P871" s="39"/>
      <c r="Q871" s="39"/>
      <c r="R871" s="39"/>
      <c r="S871" s="39"/>
      <c r="T871" s="39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  <c r="AH871" s="14"/>
      <c r="AI871" s="14"/>
      <c r="AJ871" s="14"/>
      <c r="AK871" s="14"/>
      <c r="AL871" s="14"/>
      <c r="AM871" s="14"/>
      <c r="AN871" s="14"/>
      <c r="AO871" s="14"/>
      <c r="AP871" s="14"/>
    </row>
    <row r="872" spans="1:42" ht="13">
      <c r="A872" s="38"/>
      <c r="B872" s="14"/>
      <c r="C872" s="38"/>
      <c r="D872" s="38"/>
      <c r="E872" s="38"/>
      <c r="F872" s="38"/>
      <c r="G872" s="38"/>
      <c r="H872" s="14"/>
      <c r="I872" s="38"/>
      <c r="J872" s="38"/>
      <c r="K872" s="14"/>
      <c r="L872" s="14"/>
      <c r="M872" s="14"/>
      <c r="N872" s="39"/>
      <c r="O872" s="39"/>
      <c r="P872" s="39"/>
      <c r="Q872" s="39"/>
      <c r="R872" s="39"/>
      <c r="S872" s="39"/>
      <c r="T872" s="39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  <c r="AF872" s="14"/>
      <c r="AG872" s="14"/>
      <c r="AH872" s="14"/>
      <c r="AI872" s="14"/>
      <c r="AJ872" s="14"/>
      <c r="AK872" s="14"/>
      <c r="AL872" s="14"/>
      <c r="AM872" s="14"/>
      <c r="AN872" s="14"/>
      <c r="AO872" s="14"/>
      <c r="AP872" s="14"/>
    </row>
    <row r="873" spans="1:42" ht="13">
      <c r="A873" s="38"/>
      <c r="B873" s="14"/>
      <c r="C873" s="38"/>
      <c r="D873" s="38"/>
      <c r="E873" s="38"/>
      <c r="F873" s="38"/>
      <c r="G873" s="38"/>
      <c r="H873" s="14"/>
      <c r="I873" s="38"/>
      <c r="J873" s="38"/>
      <c r="K873" s="14"/>
      <c r="L873" s="14"/>
      <c r="M873" s="14"/>
      <c r="N873" s="39"/>
      <c r="O873" s="39"/>
      <c r="P873" s="39"/>
      <c r="Q873" s="39"/>
      <c r="R873" s="39"/>
      <c r="S873" s="39"/>
      <c r="T873" s="39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  <c r="AH873" s="14"/>
      <c r="AI873" s="14"/>
      <c r="AJ873" s="14"/>
      <c r="AK873" s="14"/>
      <c r="AL873" s="14"/>
      <c r="AM873" s="14"/>
      <c r="AN873" s="14"/>
      <c r="AO873" s="14"/>
      <c r="AP873" s="14"/>
    </row>
    <row r="874" spans="1:42" ht="13">
      <c r="A874" s="38"/>
      <c r="B874" s="14"/>
      <c r="C874" s="38"/>
      <c r="D874" s="38"/>
      <c r="E874" s="38"/>
      <c r="F874" s="38"/>
      <c r="G874" s="38"/>
      <c r="H874" s="14"/>
      <c r="I874" s="38"/>
      <c r="J874" s="38"/>
      <c r="K874" s="14"/>
      <c r="L874" s="14"/>
      <c r="M874" s="14"/>
      <c r="N874" s="39"/>
      <c r="O874" s="39"/>
      <c r="P874" s="39"/>
      <c r="Q874" s="39"/>
      <c r="R874" s="39"/>
      <c r="S874" s="39"/>
      <c r="T874" s="39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  <c r="AF874" s="14"/>
      <c r="AG874" s="14"/>
      <c r="AH874" s="14"/>
      <c r="AI874" s="14"/>
      <c r="AJ874" s="14"/>
      <c r="AK874" s="14"/>
      <c r="AL874" s="14"/>
      <c r="AM874" s="14"/>
      <c r="AN874" s="14"/>
      <c r="AO874" s="14"/>
      <c r="AP874" s="14"/>
    </row>
    <row r="875" spans="1:42" ht="13">
      <c r="A875" s="38"/>
      <c r="B875" s="14"/>
      <c r="C875" s="38"/>
      <c r="D875" s="38"/>
      <c r="E875" s="38"/>
      <c r="F875" s="38"/>
      <c r="G875" s="38"/>
      <c r="H875" s="14"/>
      <c r="I875" s="38"/>
      <c r="J875" s="38"/>
      <c r="K875" s="14"/>
      <c r="L875" s="14"/>
      <c r="M875" s="14"/>
      <c r="N875" s="39"/>
      <c r="O875" s="39"/>
      <c r="P875" s="39"/>
      <c r="Q875" s="39"/>
      <c r="R875" s="39"/>
      <c r="S875" s="39"/>
      <c r="T875" s="39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  <c r="AH875" s="14"/>
      <c r="AI875" s="14"/>
      <c r="AJ875" s="14"/>
      <c r="AK875" s="14"/>
      <c r="AL875" s="14"/>
      <c r="AM875" s="14"/>
      <c r="AN875" s="14"/>
      <c r="AO875" s="14"/>
      <c r="AP875" s="14"/>
    </row>
    <row r="876" spans="1:42" ht="13">
      <c r="A876" s="38"/>
      <c r="B876" s="14"/>
      <c r="C876" s="38"/>
      <c r="D876" s="38"/>
      <c r="E876" s="38"/>
      <c r="F876" s="38"/>
      <c r="G876" s="38"/>
      <c r="H876" s="14"/>
      <c r="I876" s="38"/>
      <c r="J876" s="38"/>
      <c r="K876" s="14"/>
      <c r="L876" s="14"/>
      <c r="M876" s="14"/>
      <c r="N876" s="39"/>
      <c r="O876" s="39"/>
      <c r="P876" s="39"/>
      <c r="Q876" s="39"/>
      <c r="R876" s="39"/>
      <c r="S876" s="39"/>
      <c r="T876" s="39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  <c r="AF876" s="14"/>
      <c r="AG876" s="14"/>
      <c r="AH876" s="14"/>
      <c r="AI876" s="14"/>
      <c r="AJ876" s="14"/>
      <c r="AK876" s="14"/>
      <c r="AL876" s="14"/>
      <c r="AM876" s="14"/>
      <c r="AN876" s="14"/>
      <c r="AO876" s="14"/>
      <c r="AP876" s="14"/>
    </row>
    <row r="877" spans="1:42" ht="13">
      <c r="A877" s="38"/>
      <c r="B877" s="14"/>
      <c r="C877" s="38"/>
      <c r="D877" s="38"/>
      <c r="E877" s="38"/>
      <c r="F877" s="38"/>
      <c r="G877" s="38"/>
      <c r="H877" s="14"/>
      <c r="I877" s="38"/>
      <c r="J877" s="38"/>
      <c r="K877" s="14"/>
      <c r="L877" s="14"/>
      <c r="M877" s="14"/>
      <c r="N877" s="39"/>
      <c r="O877" s="39"/>
      <c r="P877" s="39"/>
      <c r="Q877" s="39"/>
      <c r="R877" s="39"/>
      <c r="S877" s="39"/>
      <c r="T877" s="39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  <c r="AH877" s="14"/>
      <c r="AI877" s="14"/>
      <c r="AJ877" s="14"/>
      <c r="AK877" s="14"/>
      <c r="AL877" s="14"/>
      <c r="AM877" s="14"/>
      <c r="AN877" s="14"/>
      <c r="AO877" s="14"/>
      <c r="AP877" s="14"/>
    </row>
    <row r="878" spans="1:42" ht="13">
      <c r="A878" s="38"/>
      <c r="B878" s="14"/>
      <c r="C878" s="38"/>
      <c r="D878" s="38"/>
      <c r="E878" s="38"/>
      <c r="F878" s="38"/>
      <c r="G878" s="38"/>
      <c r="H878" s="14"/>
      <c r="I878" s="38"/>
      <c r="J878" s="38"/>
      <c r="K878" s="14"/>
      <c r="L878" s="14"/>
      <c r="M878" s="14"/>
      <c r="N878" s="39"/>
      <c r="O878" s="39"/>
      <c r="P878" s="39"/>
      <c r="Q878" s="39"/>
      <c r="R878" s="39"/>
      <c r="S878" s="39"/>
      <c r="T878" s="39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  <c r="AH878" s="14"/>
      <c r="AI878" s="14"/>
      <c r="AJ878" s="14"/>
      <c r="AK878" s="14"/>
      <c r="AL878" s="14"/>
      <c r="AM878" s="14"/>
      <c r="AN878" s="14"/>
      <c r="AO878" s="14"/>
      <c r="AP878" s="14"/>
    </row>
    <row r="879" spans="1:42" ht="13">
      <c r="A879" s="38"/>
      <c r="B879" s="14"/>
      <c r="C879" s="38"/>
      <c r="D879" s="38"/>
      <c r="E879" s="38"/>
      <c r="F879" s="38"/>
      <c r="G879" s="38"/>
      <c r="H879" s="14"/>
      <c r="I879" s="38"/>
      <c r="J879" s="38"/>
      <c r="K879" s="14"/>
      <c r="L879" s="14"/>
      <c r="M879" s="14"/>
      <c r="N879" s="39"/>
      <c r="O879" s="39"/>
      <c r="P879" s="39"/>
      <c r="Q879" s="39"/>
      <c r="R879" s="39"/>
      <c r="S879" s="39"/>
      <c r="T879" s="39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  <c r="AH879" s="14"/>
      <c r="AI879" s="14"/>
      <c r="AJ879" s="14"/>
      <c r="AK879" s="14"/>
      <c r="AL879" s="14"/>
      <c r="AM879" s="14"/>
      <c r="AN879" s="14"/>
      <c r="AO879" s="14"/>
      <c r="AP879" s="14"/>
    </row>
    <row r="880" spans="1:42" ht="13">
      <c r="A880" s="38"/>
      <c r="B880" s="14"/>
      <c r="C880" s="38"/>
      <c r="D880" s="38"/>
      <c r="E880" s="38"/>
      <c r="F880" s="38"/>
      <c r="G880" s="38"/>
      <c r="H880" s="14"/>
      <c r="I880" s="38"/>
      <c r="J880" s="38"/>
      <c r="K880" s="14"/>
      <c r="L880" s="14"/>
      <c r="M880" s="14"/>
      <c r="N880" s="39"/>
      <c r="O880" s="39"/>
      <c r="P880" s="39"/>
      <c r="Q880" s="39"/>
      <c r="R880" s="39"/>
      <c r="S880" s="39"/>
      <c r="T880" s="39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  <c r="AF880" s="14"/>
      <c r="AG880" s="14"/>
      <c r="AH880" s="14"/>
      <c r="AI880" s="14"/>
      <c r="AJ880" s="14"/>
      <c r="AK880" s="14"/>
      <c r="AL880" s="14"/>
      <c r="AM880" s="14"/>
      <c r="AN880" s="14"/>
      <c r="AO880" s="14"/>
      <c r="AP880" s="14"/>
    </row>
    <row r="881" spans="1:42" ht="13">
      <c r="A881" s="38"/>
      <c r="B881" s="14"/>
      <c r="C881" s="38"/>
      <c r="D881" s="38"/>
      <c r="E881" s="38"/>
      <c r="F881" s="38"/>
      <c r="G881" s="38"/>
      <c r="H881" s="14"/>
      <c r="I881" s="38"/>
      <c r="J881" s="38"/>
      <c r="K881" s="14"/>
      <c r="L881" s="14"/>
      <c r="M881" s="14"/>
      <c r="N881" s="39"/>
      <c r="O881" s="39"/>
      <c r="P881" s="39"/>
      <c r="Q881" s="39"/>
      <c r="R881" s="39"/>
      <c r="S881" s="39"/>
      <c r="T881" s="39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  <c r="AH881" s="14"/>
      <c r="AI881" s="14"/>
      <c r="AJ881" s="14"/>
      <c r="AK881" s="14"/>
      <c r="AL881" s="14"/>
      <c r="AM881" s="14"/>
      <c r="AN881" s="14"/>
      <c r="AO881" s="14"/>
      <c r="AP881" s="14"/>
    </row>
    <row r="882" spans="1:42" ht="13">
      <c r="A882" s="38"/>
      <c r="B882" s="14"/>
      <c r="C882" s="38"/>
      <c r="D882" s="38"/>
      <c r="E882" s="38"/>
      <c r="F882" s="38"/>
      <c r="G882" s="38"/>
      <c r="H882" s="14"/>
      <c r="I882" s="38"/>
      <c r="J882" s="38"/>
      <c r="K882" s="14"/>
      <c r="L882" s="14"/>
      <c r="M882" s="14"/>
      <c r="N882" s="39"/>
      <c r="O882" s="39"/>
      <c r="P882" s="39"/>
      <c r="Q882" s="39"/>
      <c r="R882" s="39"/>
      <c r="S882" s="39"/>
      <c r="T882" s="39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  <c r="AH882" s="14"/>
      <c r="AI882" s="14"/>
      <c r="AJ882" s="14"/>
      <c r="AK882" s="14"/>
      <c r="AL882" s="14"/>
      <c r="AM882" s="14"/>
      <c r="AN882" s="14"/>
      <c r="AO882" s="14"/>
      <c r="AP882" s="14"/>
    </row>
    <row r="883" spans="1:42" ht="13">
      <c r="A883" s="38"/>
      <c r="B883" s="14"/>
      <c r="C883" s="38"/>
      <c r="D883" s="38"/>
      <c r="E883" s="38"/>
      <c r="F883" s="38"/>
      <c r="G883" s="38"/>
      <c r="H883" s="14"/>
      <c r="I883" s="38"/>
      <c r="J883" s="38"/>
      <c r="K883" s="14"/>
      <c r="L883" s="14"/>
      <c r="M883" s="14"/>
      <c r="N883" s="39"/>
      <c r="O883" s="39"/>
      <c r="P883" s="39"/>
      <c r="Q883" s="39"/>
      <c r="R883" s="39"/>
      <c r="S883" s="39"/>
      <c r="T883" s="39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  <c r="AH883" s="14"/>
      <c r="AI883" s="14"/>
      <c r="AJ883" s="14"/>
      <c r="AK883" s="14"/>
      <c r="AL883" s="14"/>
      <c r="AM883" s="14"/>
      <c r="AN883" s="14"/>
      <c r="AO883" s="14"/>
      <c r="AP883" s="14"/>
    </row>
    <row r="884" spans="1:42" ht="13">
      <c r="A884" s="38"/>
      <c r="B884" s="14"/>
      <c r="C884" s="38"/>
      <c r="D884" s="38"/>
      <c r="E884" s="38"/>
      <c r="F884" s="38"/>
      <c r="G884" s="38"/>
      <c r="H884" s="14"/>
      <c r="I884" s="38"/>
      <c r="J884" s="38"/>
      <c r="K884" s="14"/>
      <c r="L884" s="14"/>
      <c r="M884" s="14"/>
      <c r="N884" s="39"/>
      <c r="O884" s="39"/>
      <c r="P884" s="39"/>
      <c r="Q884" s="39"/>
      <c r="R884" s="39"/>
      <c r="S884" s="39"/>
      <c r="T884" s="39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  <c r="AF884" s="14"/>
      <c r="AG884" s="14"/>
      <c r="AH884" s="14"/>
      <c r="AI884" s="14"/>
      <c r="AJ884" s="14"/>
      <c r="AK884" s="14"/>
      <c r="AL884" s="14"/>
      <c r="AM884" s="14"/>
      <c r="AN884" s="14"/>
      <c r="AO884" s="14"/>
      <c r="AP884" s="14"/>
    </row>
    <row r="885" spans="1:42" ht="13">
      <c r="A885" s="38"/>
      <c r="B885" s="14"/>
      <c r="C885" s="38"/>
      <c r="D885" s="38"/>
      <c r="E885" s="38"/>
      <c r="F885" s="38"/>
      <c r="G885" s="38"/>
      <c r="H885" s="14"/>
      <c r="I885" s="38"/>
      <c r="J885" s="38"/>
      <c r="K885" s="14"/>
      <c r="L885" s="14"/>
      <c r="M885" s="14"/>
      <c r="N885" s="39"/>
      <c r="O885" s="39"/>
      <c r="P885" s="39"/>
      <c r="Q885" s="39"/>
      <c r="R885" s="39"/>
      <c r="S885" s="39"/>
      <c r="T885" s="39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  <c r="AF885" s="14"/>
      <c r="AG885" s="14"/>
      <c r="AH885" s="14"/>
      <c r="AI885" s="14"/>
      <c r="AJ885" s="14"/>
      <c r="AK885" s="14"/>
      <c r="AL885" s="14"/>
      <c r="AM885" s="14"/>
      <c r="AN885" s="14"/>
      <c r="AO885" s="14"/>
      <c r="AP885" s="14"/>
    </row>
    <row r="886" spans="1:42" ht="13">
      <c r="A886" s="38"/>
      <c r="B886" s="14"/>
      <c r="C886" s="38"/>
      <c r="D886" s="38"/>
      <c r="E886" s="38"/>
      <c r="F886" s="38"/>
      <c r="G886" s="38"/>
      <c r="H886" s="14"/>
      <c r="I886" s="38"/>
      <c r="J886" s="38"/>
      <c r="K886" s="14"/>
      <c r="L886" s="14"/>
      <c r="M886" s="14"/>
      <c r="N886" s="39"/>
      <c r="O886" s="39"/>
      <c r="P886" s="39"/>
      <c r="Q886" s="39"/>
      <c r="R886" s="39"/>
      <c r="S886" s="39"/>
      <c r="T886" s="39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  <c r="AH886" s="14"/>
      <c r="AI886" s="14"/>
      <c r="AJ886" s="14"/>
      <c r="AK886" s="14"/>
      <c r="AL886" s="14"/>
      <c r="AM886" s="14"/>
      <c r="AN886" s="14"/>
      <c r="AO886" s="14"/>
      <c r="AP886" s="14"/>
    </row>
    <row r="887" spans="1:42" ht="13">
      <c r="A887" s="38"/>
      <c r="B887" s="14"/>
      <c r="C887" s="38"/>
      <c r="D887" s="38"/>
      <c r="E887" s="38"/>
      <c r="F887" s="38"/>
      <c r="G887" s="38"/>
      <c r="H887" s="14"/>
      <c r="I887" s="38"/>
      <c r="J887" s="38"/>
      <c r="K887" s="14"/>
      <c r="L887" s="14"/>
      <c r="M887" s="14"/>
      <c r="N887" s="39"/>
      <c r="O887" s="39"/>
      <c r="P887" s="39"/>
      <c r="Q887" s="39"/>
      <c r="R887" s="39"/>
      <c r="S887" s="39"/>
      <c r="T887" s="39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  <c r="AH887" s="14"/>
      <c r="AI887" s="14"/>
      <c r="AJ887" s="14"/>
      <c r="AK887" s="14"/>
      <c r="AL887" s="14"/>
      <c r="AM887" s="14"/>
      <c r="AN887" s="14"/>
      <c r="AO887" s="14"/>
      <c r="AP887" s="14"/>
    </row>
    <row r="888" spans="1:42" ht="13">
      <c r="A888" s="38"/>
      <c r="B888" s="14"/>
      <c r="C888" s="38"/>
      <c r="D888" s="38"/>
      <c r="E888" s="38"/>
      <c r="F888" s="38"/>
      <c r="G888" s="38"/>
      <c r="H888" s="14"/>
      <c r="I888" s="38"/>
      <c r="J888" s="38"/>
      <c r="K888" s="14"/>
      <c r="L888" s="14"/>
      <c r="M888" s="14"/>
      <c r="N888" s="39"/>
      <c r="O888" s="39"/>
      <c r="P888" s="39"/>
      <c r="Q888" s="39"/>
      <c r="R888" s="39"/>
      <c r="S888" s="39"/>
      <c r="T888" s="39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  <c r="AF888" s="14"/>
      <c r="AG888" s="14"/>
      <c r="AH888" s="14"/>
      <c r="AI888" s="14"/>
      <c r="AJ888" s="14"/>
      <c r="AK888" s="14"/>
      <c r="AL888" s="14"/>
      <c r="AM888" s="14"/>
      <c r="AN888" s="14"/>
      <c r="AO888" s="14"/>
      <c r="AP888" s="14"/>
    </row>
    <row r="889" spans="1:42" ht="13">
      <c r="A889" s="38"/>
      <c r="B889" s="14"/>
      <c r="C889" s="38"/>
      <c r="D889" s="38"/>
      <c r="E889" s="38"/>
      <c r="F889" s="38"/>
      <c r="G889" s="38"/>
      <c r="H889" s="14"/>
      <c r="I889" s="38"/>
      <c r="J889" s="38"/>
      <c r="K889" s="14"/>
      <c r="L889" s="14"/>
      <c r="M889" s="14"/>
      <c r="N889" s="39"/>
      <c r="O889" s="39"/>
      <c r="P889" s="39"/>
      <c r="Q889" s="39"/>
      <c r="R889" s="39"/>
      <c r="S889" s="39"/>
      <c r="T889" s="39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  <c r="AH889" s="14"/>
      <c r="AI889" s="14"/>
      <c r="AJ889" s="14"/>
      <c r="AK889" s="14"/>
      <c r="AL889" s="14"/>
      <c r="AM889" s="14"/>
      <c r="AN889" s="14"/>
      <c r="AO889" s="14"/>
      <c r="AP889" s="14"/>
    </row>
    <row r="890" spans="1:42" ht="13">
      <c r="A890" s="38"/>
      <c r="B890" s="14"/>
      <c r="C890" s="38"/>
      <c r="D890" s="38"/>
      <c r="E890" s="38"/>
      <c r="F890" s="38"/>
      <c r="G890" s="38"/>
      <c r="H890" s="14"/>
      <c r="I890" s="38"/>
      <c r="J890" s="38"/>
      <c r="K890" s="14"/>
      <c r="L890" s="14"/>
      <c r="M890" s="14"/>
      <c r="N890" s="39"/>
      <c r="O890" s="39"/>
      <c r="P890" s="39"/>
      <c r="Q890" s="39"/>
      <c r="R890" s="39"/>
      <c r="S890" s="39"/>
      <c r="T890" s="39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  <c r="AH890" s="14"/>
      <c r="AI890" s="14"/>
      <c r="AJ890" s="14"/>
      <c r="AK890" s="14"/>
      <c r="AL890" s="14"/>
      <c r="AM890" s="14"/>
      <c r="AN890" s="14"/>
      <c r="AO890" s="14"/>
      <c r="AP890" s="14"/>
    </row>
    <row r="891" spans="1:42" ht="13">
      <c r="A891" s="38"/>
      <c r="B891" s="14"/>
      <c r="C891" s="38"/>
      <c r="D891" s="38"/>
      <c r="E891" s="38"/>
      <c r="F891" s="38"/>
      <c r="G891" s="38"/>
      <c r="H891" s="14"/>
      <c r="I891" s="38"/>
      <c r="J891" s="38"/>
      <c r="K891" s="14"/>
      <c r="L891" s="14"/>
      <c r="M891" s="14"/>
      <c r="N891" s="39"/>
      <c r="O891" s="39"/>
      <c r="P891" s="39"/>
      <c r="Q891" s="39"/>
      <c r="R891" s="39"/>
      <c r="S891" s="39"/>
      <c r="T891" s="39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  <c r="AH891" s="14"/>
      <c r="AI891" s="14"/>
      <c r="AJ891" s="14"/>
      <c r="AK891" s="14"/>
      <c r="AL891" s="14"/>
      <c r="AM891" s="14"/>
      <c r="AN891" s="14"/>
      <c r="AO891" s="14"/>
      <c r="AP891" s="14"/>
    </row>
    <row r="892" spans="1:42" ht="13">
      <c r="A892" s="38"/>
      <c r="B892" s="14"/>
      <c r="C892" s="38"/>
      <c r="D892" s="38"/>
      <c r="E892" s="38"/>
      <c r="F892" s="38"/>
      <c r="G892" s="38"/>
      <c r="H892" s="14"/>
      <c r="I892" s="38"/>
      <c r="J892" s="38"/>
      <c r="K892" s="14"/>
      <c r="L892" s="14"/>
      <c r="M892" s="14"/>
      <c r="N892" s="39"/>
      <c r="O892" s="39"/>
      <c r="P892" s="39"/>
      <c r="Q892" s="39"/>
      <c r="R892" s="39"/>
      <c r="S892" s="39"/>
      <c r="T892" s="39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  <c r="AF892" s="14"/>
      <c r="AG892" s="14"/>
      <c r="AH892" s="14"/>
      <c r="AI892" s="14"/>
      <c r="AJ892" s="14"/>
      <c r="AK892" s="14"/>
      <c r="AL892" s="14"/>
      <c r="AM892" s="14"/>
      <c r="AN892" s="14"/>
      <c r="AO892" s="14"/>
      <c r="AP892" s="14"/>
    </row>
    <row r="893" spans="1:42" ht="13">
      <c r="A893" s="38"/>
      <c r="B893" s="14"/>
      <c r="C893" s="38"/>
      <c r="D893" s="38"/>
      <c r="E893" s="38"/>
      <c r="F893" s="38"/>
      <c r="G893" s="38"/>
      <c r="H893" s="14"/>
      <c r="I893" s="38"/>
      <c r="J893" s="38"/>
      <c r="K893" s="14"/>
      <c r="L893" s="14"/>
      <c r="M893" s="14"/>
      <c r="N893" s="39"/>
      <c r="O893" s="39"/>
      <c r="P893" s="39"/>
      <c r="Q893" s="39"/>
      <c r="R893" s="39"/>
      <c r="S893" s="39"/>
      <c r="T893" s="39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  <c r="AH893" s="14"/>
      <c r="AI893" s="14"/>
      <c r="AJ893" s="14"/>
      <c r="AK893" s="14"/>
      <c r="AL893" s="14"/>
      <c r="AM893" s="14"/>
      <c r="AN893" s="14"/>
      <c r="AO893" s="14"/>
      <c r="AP893" s="14"/>
    </row>
    <row r="894" spans="1:42" ht="13">
      <c r="A894" s="38"/>
      <c r="B894" s="14"/>
      <c r="C894" s="38"/>
      <c r="D894" s="38"/>
      <c r="E894" s="38"/>
      <c r="F894" s="38"/>
      <c r="G894" s="38"/>
      <c r="H894" s="14"/>
      <c r="I894" s="38"/>
      <c r="J894" s="38"/>
      <c r="K894" s="14"/>
      <c r="L894" s="14"/>
      <c r="M894" s="14"/>
      <c r="N894" s="39"/>
      <c r="O894" s="39"/>
      <c r="P894" s="39"/>
      <c r="Q894" s="39"/>
      <c r="R894" s="39"/>
      <c r="S894" s="39"/>
      <c r="T894" s="39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  <c r="AH894" s="14"/>
      <c r="AI894" s="14"/>
      <c r="AJ894" s="14"/>
      <c r="AK894" s="14"/>
      <c r="AL894" s="14"/>
      <c r="AM894" s="14"/>
      <c r="AN894" s="14"/>
      <c r="AO894" s="14"/>
      <c r="AP894" s="14"/>
    </row>
    <row r="895" spans="1:42" ht="13">
      <c r="A895" s="38"/>
      <c r="B895" s="14"/>
      <c r="C895" s="38"/>
      <c r="D895" s="38"/>
      <c r="E895" s="38"/>
      <c r="F895" s="38"/>
      <c r="G895" s="38"/>
      <c r="H895" s="14"/>
      <c r="I895" s="38"/>
      <c r="J895" s="38"/>
      <c r="K895" s="14"/>
      <c r="L895" s="14"/>
      <c r="M895" s="14"/>
      <c r="N895" s="39"/>
      <c r="O895" s="39"/>
      <c r="P895" s="39"/>
      <c r="Q895" s="39"/>
      <c r="R895" s="39"/>
      <c r="S895" s="39"/>
      <c r="T895" s="39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  <c r="AH895" s="14"/>
      <c r="AI895" s="14"/>
      <c r="AJ895" s="14"/>
      <c r="AK895" s="14"/>
      <c r="AL895" s="14"/>
      <c r="AM895" s="14"/>
      <c r="AN895" s="14"/>
      <c r="AO895" s="14"/>
      <c r="AP895" s="14"/>
    </row>
    <row r="896" spans="1:42" ht="13">
      <c r="A896" s="38"/>
      <c r="B896" s="14"/>
      <c r="C896" s="38"/>
      <c r="D896" s="38"/>
      <c r="E896" s="38"/>
      <c r="F896" s="38"/>
      <c r="G896" s="38"/>
      <c r="H896" s="14"/>
      <c r="I896" s="38"/>
      <c r="J896" s="38"/>
      <c r="K896" s="14"/>
      <c r="L896" s="14"/>
      <c r="M896" s="14"/>
      <c r="N896" s="39"/>
      <c r="O896" s="39"/>
      <c r="P896" s="39"/>
      <c r="Q896" s="39"/>
      <c r="R896" s="39"/>
      <c r="S896" s="39"/>
      <c r="T896" s="39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  <c r="AF896" s="14"/>
      <c r="AG896" s="14"/>
      <c r="AH896" s="14"/>
      <c r="AI896" s="14"/>
      <c r="AJ896" s="14"/>
      <c r="AK896" s="14"/>
      <c r="AL896" s="14"/>
      <c r="AM896" s="14"/>
      <c r="AN896" s="14"/>
      <c r="AO896" s="14"/>
      <c r="AP896" s="14"/>
    </row>
    <row r="897" spans="1:42" ht="13">
      <c r="A897" s="38"/>
      <c r="B897" s="14"/>
      <c r="C897" s="38"/>
      <c r="D897" s="38"/>
      <c r="E897" s="38"/>
      <c r="F897" s="38"/>
      <c r="G897" s="38"/>
      <c r="H897" s="14"/>
      <c r="I897" s="38"/>
      <c r="J897" s="38"/>
      <c r="K897" s="14"/>
      <c r="L897" s="14"/>
      <c r="M897" s="14"/>
      <c r="N897" s="39"/>
      <c r="O897" s="39"/>
      <c r="P897" s="39"/>
      <c r="Q897" s="39"/>
      <c r="R897" s="39"/>
      <c r="S897" s="39"/>
      <c r="T897" s="39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  <c r="AH897" s="14"/>
      <c r="AI897" s="14"/>
      <c r="AJ897" s="14"/>
      <c r="AK897" s="14"/>
      <c r="AL897" s="14"/>
      <c r="AM897" s="14"/>
      <c r="AN897" s="14"/>
      <c r="AO897" s="14"/>
      <c r="AP897" s="14"/>
    </row>
    <row r="898" spans="1:42" ht="13">
      <c r="A898" s="38"/>
      <c r="B898" s="14"/>
      <c r="C898" s="38"/>
      <c r="D898" s="38"/>
      <c r="E898" s="38"/>
      <c r="F898" s="38"/>
      <c r="G898" s="38"/>
      <c r="H898" s="14"/>
      <c r="I898" s="38"/>
      <c r="J898" s="38"/>
      <c r="K898" s="14"/>
      <c r="L898" s="14"/>
      <c r="M898" s="14"/>
      <c r="N898" s="39"/>
      <c r="O898" s="39"/>
      <c r="P898" s="39"/>
      <c r="Q898" s="39"/>
      <c r="R898" s="39"/>
      <c r="S898" s="39"/>
      <c r="T898" s="39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  <c r="AH898" s="14"/>
      <c r="AI898" s="14"/>
      <c r="AJ898" s="14"/>
      <c r="AK898" s="14"/>
      <c r="AL898" s="14"/>
      <c r="AM898" s="14"/>
      <c r="AN898" s="14"/>
      <c r="AO898" s="14"/>
      <c r="AP898" s="14"/>
    </row>
    <row r="899" spans="1:42" ht="13">
      <c r="A899" s="38"/>
      <c r="B899" s="14"/>
      <c r="C899" s="38"/>
      <c r="D899" s="38"/>
      <c r="E899" s="38"/>
      <c r="F899" s="38"/>
      <c r="G899" s="38"/>
      <c r="H899" s="14"/>
      <c r="I899" s="38"/>
      <c r="J899" s="38"/>
      <c r="K899" s="14"/>
      <c r="L899" s="14"/>
      <c r="M899" s="14"/>
      <c r="N899" s="39"/>
      <c r="O899" s="39"/>
      <c r="P899" s="39"/>
      <c r="Q899" s="39"/>
      <c r="R899" s="39"/>
      <c r="S899" s="39"/>
      <c r="T899" s="39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  <c r="AH899" s="14"/>
      <c r="AI899" s="14"/>
      <c r="AJ899" s="14"/>
      <c r="AK899" s="14"/>
      <c r="AL899" s="14"/>
      <c r="AM899" s="14"/>
      <c r="AN899" s="14"/>
      <c r="AO899" s="14"/>
      <c r="AP899" s="14"/>
    </row>
    <row r="900" spans="1:42" ht="13">
      <c r="A900" s="38"/>
      <c r="B900" s="14"/>
      <c r="C900" s="38"/>
      <c r="D900" s="38"/>
      <c r="E900" s="38"/>
      <c r="F900" s="38"/>
      <c r="G900" s="38"/>
      <c r="H900" s="14"/>
      <c r="I900" s="38"/>
      <c r="J900" s="38"/>
      <c r="K900" s="14"/>
      <c r="L900" s="14"/>
      <c r="M900" s="14"/>
      <c r="N900" s="39"/>
      <c r="O900" s="39"/>
      <c r="P900" s="39"/>
      <c r="Q900" s="39"/>
      <c r="R900" s="39"/>
      <c r="S900" s="39"/>
      <c r="T900" s="39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  <c r="AH900" s="14"/>
      <c r="AI900" s="14"/>
      <c r="AJ900" s="14"/>
      <c r="AK900" s="14"/>
      <c r="AL900" s="14"/>
      <c r="AM900" s="14"/>
      <c r="AN900" s="14"/>
      <c r="AO900" s="14"/>
      <c r="AP900" s="14"/>
    </row>
    <row r="901" spans="1:42" ht="13">
      <c r="A901" s="38"/>
      <c r="B901" s="14"/>
      <c r="C901" s="38"/>
      <c r="D901" s="38"/>
      <c r="E901" s="38"/>
      <c r="F901" s="38"/>
      <c r="G901" s="38"/>
      <c r="H901" s="14"/>
      <c r="I901" s="38"/>
      <c r="J901" s="38"/>
      <c r="K901" s="14"/>
      <c r="L901" s="14"/>
      <c r="M901" s="14"/>
      <c r="N901" s="39"/>
      <c r="O901" s="39"/>
      <c r="P901" s="39"/>
      <c r="Q901" s="39"/>
      <c r="R901" s="39"/>
      <c r="S901" s="39"/>
      <c r="T901" s="39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  <c r="AH901" s="14"/>
      <c r="AI901" s="14"/>
      <c r="AJ901" s="14"/>
      <c r="AK901" s="14"/>
      <c r="AL901" s="14"/>
      <c r="AM901" s="14"/>
      <c r="AN901" s="14"/>
      <c r="AO901" s="14"/>
      <c r="AP901" s="14"/>
    </row>
    <row r="902" spans="1:42" ht="13">
      <c r="A902" s="38"/>
      <c r="B902" s="14"/>
      <c r="C902" s="38"/>
      <c r="D902" s="38"/>
      <c r="E902" s="38"/>
      <c r="F902" s="38"/>
      <c r="G902" s="38"/>
      <c r="H902" s="14"/>
      <c r="I902" s="38"/>
      <c r="J902" s="38"/>
      <c r="K902" s="14"/>
      <c r="L902" s="14"/>
      <c r="M902" s="14"/>
      <c r="N902" s="39"/>
      <c r="O902" s="39"/>
      <c r="P902" s="39"/>
      <c r="Q902" s="39"/>
      <c r="R902" s="39"/>
      <c r="S902" s="39"/>
      <c r="T902" s="39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  <c r="AF902" s="14"/>
      <c r="AG902" s="14"/>
      <c r="AH902" s="14"/>
      <c r="AI902" s="14"/>
      <c r="AJ902" s="14"/>
      <c r="AK902" s="14"/>
      <c r="AL902" s="14"/>
      <c r="AM902" s="14"/>
      <c r="AN902" s="14"/>
      <c r="AO902" s="14"/>
      <c r="AP902" s="14"/>
    </row>
    <row r="903" spans="1:42" ht="13">
      <c r="A903" s="38"/>
      <c r="B903" s="14"/>
      <c r="C903" s="38"/>
      <c r="D903" s="38"/>
      <c r="E903" s="38"/>
      <c r="F903" s="38"/>
      <c r="G903" s="38"/>
      <c r="H903" s="14"/>
      <c r="I903" s="38"/>
      <c r="J903" s="38"/>
      <c r="K903" s="14"/>
      <c r="L903" s="14"/>
      <c r="M903" s="14"/>
      <c r="N903" s="39"/>
      <c r="O903" s="39"/>
      <c r="P903" s="39"/>
      <c r="Q903" s="39"/>
      <c r="R903" s="39"/>
      <c r="S903" s="39"/>
      <c r="T903" s="39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  <c r="AH903" s="14"/>
      <c r="AI903" s="14"/>
      <c r="AJ903" s="14"/>
      <c r="AK903" s="14"/>
      <c r="AL903" s="14"/>
      <c r="AM903" s="14"/>
      <c r="AN903" s="14"/>
      <c r="AO903" s="14"/>
      <c r="AP903" s="14"/>
    </row>
    <row r="904" spans="1:42" ht="13">
      <c r="A904" s="38"/>
      <c r="B904" s="14"/>
      <c r="C904" s="38"/>
      <c r="D904" s="38"/>
      <c r="E904" s="38"/>
      <c r="F904" s="38"/>
      <c r="G904" s="38"/>
      <c r="H904" s="14"/>
      <c r="I904" s="38"/>
      <c r="J904" s="38"/>
      <c r="K904" s="14"/>
      <c r="L904" s="14"/>
      <c r="M904" s="14"/>
      <c r="N904" s="39"/>
      <c r="O904" s="39"/>
      <c r="P904" s="39"/>
      <c r="Q904" s="39"/>
      <c r="R904" s="39"/>
      <c r="S904" s="39"/>
      <c r="T904" s="39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  <c r="AH904" s="14"/>
      <c r="AI904" s="14"/>
      <c r="AJ904" s="14"/>
      <c r="AK904" s="14"/>
      <c r="AL904" s="14"/>
      <c r="AM904" s="14"/>
      <c r="AN904" s="14"/>
      <c r="AO904" s="14"/>
      <c r="AP904" s="14"/>
    </row>
    <row r="905" spans="1:42" ht="13">
      <c r="A905" s="38"/>
      <c r="B905" s="14"/>
      <c r="C905" s="38"/>
      <c r="D905" s="38"/>
      <c r="E905" s="38"/>
      <c r="F905" s="38"/>
      <c r="G905" s="38"/>
      <c r="H905" s="14"/>
      <c r="I905" s="38"/>
      <c r="J905" s="38"/>
      <c r="K905" s="14"/>
      <c r="L905" s="14"/>
      <c r="M905" s="14"/>
      <c r="N905" s="39"/>
      <c r="O905" s="39"/>
      <c r="P905" s="39"/>
      <c r="Q905" s="39"/>
      <c r="R905" s="39"/>
      <c r="S905" s="39"/>
      <c r="T905" s="39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  <c r="AH905" s="14"/>
      <c r="AI905" s="14"/>
      <c r="AJ905" s="14"/>
      <c r="AK905" s="14"/>
      <c r="AL905" s="14"/>
      <c r="AM905" s="14"/>
      <c r="AN905" s="14"/>
      <c r="AO905" s="14"/>
      <c r="AP905" s="14"/>
    </row>
    <row r="906" spans="1:42" ht="13">
      <c r="A906" s="38"/>
      <c r="B906" s="14"/>
      <c r="C906" s="38"/>
      <c r="D906" s="38"/>
      <c r="E906" s="38"/>
      <c r="F906" s="38"/>
      <c r="G906" s="38"/>
      <c r="H906" s="14"/>
      <c r="I906" s="38"/>
      <c r="J906" s="38"/>
      <c r="K906" s="14"/>
      <c r="L906" s="14"/>
      <c r="M906" s="14"/>
      <c r="N906" s="39"/>
      <c r="O906" s="39"/>
      <c r="P906" s="39"/>
      <c r="Q906" s="39"/>
      <c r="R906" s="39"/>
      <c r="S906" s="39"/>
      <c r="T906" s="39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  <c r="AH906" s="14"/>
      <c r="AI906" s="14"/>
      <c r="AJ906" s="14"/>
      <c r="AK906" s="14"/>
      <c r="AL906" s="14"/>
      <c r="AM906" s="14"/>
      <c r="AN906" s="14"/>
      <c r="AO906" s="14"/>
      <c r="AP906" s="14"/>
    </row>
    <row r="907" spans="1:42" ht="13">
      <c r="A907" s="38"/>
      <c r="B907" s="14"/>
      <c r="C907" s="38"/>
      <c r="D907" s="38"/>
      <c r="E907" s="38"/>
      <c r="F907" s="38"/>
      <c r="G907" s="38"/>
      <c r="H907" s="14"/>
      <c r="I907" s="38"/>
      <c r="J907" s="38"/>
      <c r="K907" s="14"/>
      <c r="L907" s="14"/>
      <c r="M907" s="14"/>
      <c r="N907" s="39"/>
      <c r="O907" s="39"/>
      <c r="P907" s="39"/>
      <c r="Q907" s="39"/>
      <c r="R907" s="39"/>
      <c r="S907" s="39"/>
      <c r="T907" s="39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  <c r="AH907" s="14"/>
      <c r="AI907" s="14"/>
      <c r="AJ907" s="14"/>
      <c r="AK907" s="14"/>
      <c r="AL907" s="14"/>
      <c r="AM907" s="14"/>
      <c r="AN907" s="14"/>
      <c r="AO907" s="14"/>
      <c r="AP907" s="14"/>
    </row>
    <row r="908" spans="1:42" ht="13">
      <c r="A908" s="38"/>
      <c r="B908" s="14"/>
      <c r="C908" s="38"/>
      <c r="D908" s="38"/>
      <c r="E908" s="38"/>
      <c r="F908" s="38"/>
      <c r="G908" s="38"/>
      <c r="H908" s="14"/>
      <c r="I908" s="38"/>
      <c r="J908" s="38"/>
      <c r="K908" s="14"/>
      <c r="L908" s="14"/>
      <c r="M908" s="14"/>
      <c r="N908" s="39"/>
      <c r="O908" s="39"/>
      <c r="P908" s="39"/>
      <c r="Q908" s="39"/>
      <c r="R908" s="39"/>
      <c r="S908" s="39"/>
      <c r="T908" s="39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  <c r="AH908" s="14"/>
      <c r="AI908" s="14"/>
      <c r="AJ908" s="14"/>
      <c r="AK908" s="14"/>
      <c r="AL908" s="14"/>
      <c r="AM908" s="14"/>
      <c r="AN908" s="14"/>
      <c r="AO908" s="14"/>
      <c r="AP908" s="14"/>
    </row>
    <row r="909" spans="1:42" ht="13">
      <c r="A909" s="38"/>
      <c r="B909" s="14"/>
      <c r="C909" s="38"/>
      <c r="D909" s="38"/>
      <c r="E909" s="38"/>
      <c r="F909" s="38"/>
      <c r="G909" s="38"/>
      <c r="H909" s="14"/>
      <c r="I909" s="38"/>
      <c r="J909" s="38"/>
      <c r="K909" s="14"/>
      <c r="L909" s="14"/>
      <c r="M909" s="14"/>
      <c r="N909" s="39"/>
      <c r="O909" s="39"/>
      <c r="P909" s="39"/>
      <c r="Q909" s="39"/>
      <c r="R909" s="39"/>
      <c r="S909" s="39"/>
      <c r="T909" s="39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  <c r="AH909" s="14"/>
      <c r="AI909" s="14"/>
      <c r="AJ909" s="14"/>
      <c r="AK909" s="14"/>
      <c r="AL909" s="14"/>
      <c r="AM909" s="14"/>
      <c r="AN909" s="14"/>
      <c r="AO909" s="14"/>
      <c r="AP909" s="14"/>
    </row>
    <row r="910" spans="1:42" ht="13">
      <c r="A910" s="38"/>
      <c r="B910" s="14"/>
      <c r="C910" s="38"/>
      <c r="D910" s="38"/>
      <c r="E910" s="38"/>
      <c r="F910" s="38"/>
      <c r="G910" s="38"/>
      <c r="H910" s="14"/>
      <c r="I910" s="38"/>
      <c r="J910" s="38"/>
      <c r="K910" s="14"/>
      <c r="L910" s="14"/>
      <c r="M910" s="14"/>
      <c r="N910" s="39"/>
      <c r="O910" s="39"/>
      <c r="P910" s="39"/>
      <c r="Q910" s="39"/>
      <c r="R910" s="39"/>
      <c r="S910" s="39"/>
      <c r="T910" s="39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  <c r="AH910" s="14"/>
      <c r="AI910" s="14"/>
      <c r="AJ910" s="14"/>
      <c r="AK910" s="14"/>
      <c r="AL910" s="14"/>
      <c r="AM910" s="14"/>
      <c r="AN910" s="14"/>
      <c r="AO910" s="14"/>
      <c r="AP910" s="14"/>
    </row>
    <row r="911" spans="1:42" ht="13">
      <c r="A911" s="38"/>
      <c r="B911" s="14"/>
      <c r="C911" s="38"/>
      <c r="D911" s="38"/>
      <c r="E911" s="38"/>
      <c r="F911" s="38"/>
      <c r="G911" s="38"/>
      <c r="H911" s="14"/>
      <c r="I911" s="38"/>
      <c r="J911" s="38"/>
      <c r="K911" s="14"/>
      <c r="L911" s="14"/>
      <c r="M911" s="14"/>
      <c r="N911" s="39"/>
      <c r="O911" s="39"/>
      <c r="P911" s="39"/>
      <c r="Q911" s="39"/>
      <c r="R911" s="39"/>
      <c r="S911" s="39"/>
      <c r="T911" s="39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  <c r="AH911" s="14"/>
      <c r="AI911" s="14"/>
      <c r="AJ911" s="14"/>
      <c r="AK911" s="14"/>
      <c r="AL911" s="14"/>
      <c r="AM911" s="14"/>
      <c r="AN911" s="14"/>
      <c r="AO911" s="14"/>
      <c r="AP911" s="14"/>
    </row>
    <row r="912" spans="1:42" ht="13">
      <c r="A912" s="38"/>
      <c r="B912" s="14"/>
      <c r="C912" s="38"/>
      <c r="D912" s="38"/>
      <c r="E912" s="38"/>
      <c r="F912" s="38"/>
      <c r="G912" s="38"/>
      <c r="H912" s="14"/>
      <c r="I912" s="38"/>
      <c r="J912" s="38"/>
      <c r="K912" s="14"/>
      <c r="L912" s="14"/>
      <c r="M912" s="14"/>
      <c r="N912" s="39"/>
      <c r="O912" s="39"/>
      <c r="P912" s="39"/>
      <c r="Q912" s="39"/>
      <c r="R912" s="39"/>
      <c r="S912" s="39"/>
      <c r="T912" s="39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  <c r="AH912" s="14"/>
      <c r="AI912" s="14"/>
      <c r="AJ912" s="14"/>
      <c r="AK912" s="14"/>
      <c r="AL912" s="14"/>
      <c r="AM912" s="14"/>
      <c r="AN912" s="14"/>
      <c r="AO912" s="14"/>
      <c r="AP912" s="14"/>
    </row>
    <row r="913" spans="1:42" ht="13">
      <c r="A913" s="38"/>
      <c r="B913" s="14"/>
      <c r="C913" s="38"/>
      <c r="D913" s="38"/>
      <c r="E913" s="38"/>
      <c r="F913" s="38"/>
      <c r="G913" s="38"/>
      <c r="H913" s="14"/>
      <c r="I913" s="38"/>
      <c r="J913" s="38"/>
      <c r="K913" s="14"/>
      <c r="L913" s="14"/>
      <c r="M913" s="14"/>
      <c r="N913" s="39"/>
      <c r="O913" s="39"/>
      <c r="P913" s="39"/>
      <c r="Q913" s="39"/>
      <c r="R913" s="39"/>
      <c r="S913" s="39"/>
      <c r="T913" s="39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  <c r="AH913" s="14"/>
      <c r="AI913" s="14"/>
      <c r="AJ913" s="14"/>
      <c r="AK913" s="14"/>
      <c r="AL913" s="14"/>
      <c r="AM913" s="14"/>
      <c r="AN913" s="14"/>
      <c r="AO913" s="14"/>
      <c r="AP913" s="14"/>
    </row>
    <row r="914" spans="1:42" ht="13">
      <c r="A914" s="38"/>
      <c r="B914" s="14"/>
      <c r="C914" s="38"/>
      <c r="D914" s="38"/>
      <c r="E914" s="38"/>
      <c r="F914" s="38"/>
      <c r="G914" s="38"/>
      <c r="H914" s="14"/>
      <c r="I914" s="38"/>
      <c r="J914" s="38"/>
      <c r="K914" s="14"/>
      <c r="L914" s="14"/>
      <c r="M914" s="14"/>
      <c r="N914" s="39"/>
      <c r="O914" s="39"/>
      <c r="P914" s="39"/>
      <c r="Q914" s="39"/>
      <c r="R914" s="39"/>
      <c r="S914" s="39"/>
      <c r="T914" s="39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  <c r="AH914" s="14"/>
      <c r="AI914" s="14"/>
      <c r="AJ914" s="14"/>
      <c r="AK914" s="14"/>
      <c r="AL914" s="14"/>
      <c r="AM914" s="14"/>
      <c r="AN914" s="14"/>
      <c r="AO914" s="14"/>
      <c r="AP914" s="14"/>
    </row>
    <row r="915" spans="1:42" ht="13">
      <c r="A915" s="38"/>
      <c r="B915" s="14"/>
      <c r="C915" s="38"/>
      <c r="D915" s="38"/>
      <c r="E915" s="38"/>
      <c r="F915" s="38"/>
      <c r="G915" s="38"/>
      <c r="H915" s="14"/>
      <c r="I915" s="38"/>
      <c r="J915" s="38"/>
      <c r="K915" s="14"/>
      <c r="L915" s="14"/>
      <c r="M915" s="14"/>
      <c r="N915" s="39"/>
      <c r="O915" s="39"/>
      <c r="P915" s="39"/>
      <c r="Q915" s="39"/>
      <c r="R915" s="39"/>
      <c r="S915" s="39"/>
      <c r="T915" s="39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  <c r="AI915" s="14"/>
      <c r="AJ915" s="14"/>
      <c r="AK915" s="14"/>
      <c r="AL915" s="14"/>
      <c r="AM915" s="14"/>
      <c r="AN915" s="14"/>
      <c r="AO915" s="14"/>
      <c r="AP915" s="14"/>
    </row>
    <row r="916" spans="1:42" ht="13">
      <c r="A916" s="38"/>
      <c r="B916" s="14"/>
      <c r="C916" s="38"/>
      <c r="D916" s="38"/>
      <c r="E916" s="38"/>
      <c r="F916" s="38"/>
      <c r="G916" s="38"/>
      <c r="H916" s="14"/>
      <c r="I916" s="38"/>
      <c r="J916" s="38"/>
      <c r="K916" s="14"/>
      <c r="L916" s="14"/>
      <c r="M916" s="14"/>
      <c r="N916" s="39"/>
      <c r="O916" s="39"/>
      <c r="P916" s="39"/>
      <c r="Q916" s="39"/>
      <c r="R916" s="39"/>
      <c r="S916" s="39"/>
      <c r="T916" s="39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  <c r="AH916" s="14"/>
      <c r="AI916" s="14"/>
      <c r="AJ916" s="14"/>
      <c r="AK916" s="14"/>
      <c r="AL916" s="14"/>
      <c r="AM916" s="14"/>
      <c r="AN916" s="14"/>
      <c r="AO916" s="14"/>
      <c r="AP916" s="14"/>
    </row>
    <row r="917" spans="1:42" ht="13">
      <c r="A917" s="38"/>
      <c r="B917" s="14"/>
      <c r="C917" s="38"/>
      <c r="D917" s="38"/>
      <c r="E917" s="38"/>
      <c r="F917" s="38"/>
      <c r="G917" s="38"/>
      <c r="H917" s="14"/>
      <c r="I917" s="38"/>
      <c r="J917" s="38"/>
      <c r="K917" s="14"/>
      <c r="L917" s="14"/>
      <c r="M917" s="14"/>
      <c r="N917" s="39"/>
      <c r="O917" s="39"/>
      <c r="P917" s="39"/>
      <c r="Q917" s="39"/>
      <c r="R917" s="39"/>
      <c r="S917" s="39"/>
      <c r="T917" s="39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  <c r="AH917" s="14"/>
      <c r="AI917" s="14"/>
      <c r="AJ917" s="14"/>
      <c r="AK917" s="14"/>
      <c r="AL917" s="14"/>
      <c r="AM917" s="14"/>
      <c r="AN917" s="14"/>
      <c r="AO917" s="14"/>
      <c r="AP917" s="14"/>
    </row>
    <row r="918" spans="1:42" ht="13">
      <c r="A918" s="38"/>
      <c r="B918" s="14"/>
      <c r="C918" s="38"/>
      <c r="D918" s="38"/>
      <c r="E918" s="38"/>
      <c r="F918" s="38"/>
      <c r="G918" s="38"/>
      <c r="H918" s="14"/>
      <c r="I918" s="38"/>
      <c r="J918" s="38"/>
      <c r="K918" s="14"/>
      <c r="L918" s="14"/>
      <c r="M918" s="14"/>
      <c r="N918" s="39"/>
      <c r="O918" s="39"/>
      <c r="P918" s="39"/>
      <c r="Q918" s="39"/>
      <c r="R918" s="39"/>
      <c r="S918" s="39"/>
      <c r="T918" s="39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  <c r="AH918" s="14"/>
      <c r="AI918" s="14"/>
      <c r="AJ918" s="14"/>
      <c r="AK918" s="14"/>
      <c r="AL918" s="14"/>
      <c r="AM918" s="14"/>
      <c r="AN918" s="14"/>
      <c r="AO918" s="14"/>
      <c r="AP918" s="14"/>
    </row>
    <row r="919" spans="1:42" ht="13">
      <c r="A919" s="38"/>
      <c r="B919" s="14"/>
      <c r="C919" s="38"/>
      <c r="D919" s="38"/>
      <c r="E919" s="38"/>
      <c r="F919" s="38"/>
      <c r="G919" s="38"/>
      <c r="H919" s="14"/>
      <c r="I919" s="38"/>
      <c r="J919" s="38"/>
      <c r="K919" s="14"/>
      <c r="L919" s="14"/>
      <c r="M919" s="14"/>
      <c r="N919" s="39"/>
      <c r="O919" s="39"/>
      <c r="P919" s="39"/>
      <c r="Q919" s="39"/>
      <c r="R919" s="39"/>
      <c r="S919" s="39"/>
      <c r="T919" s="39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  <c r="AH919" s="14"/>
      <c r="AI919" s="14"/>
      <c r="AJ919" s="14"/>
      <c r="AK919" s="14"/>
      <c r="AL919" s="14"/>
      <c r="AM919" s="14"/>
      <c r="AN919" s="14"/>
      <c r="AO919" s="14"/>
      <c r="AP919" s="14"/>
    </row>
    <row r="920" spans="1:42" ht="13">
      <c r="A920" s="38"/>
      <c r="B920" s="14"/>
      <c r="C920" s="38"/>
      <c r="D920" s="38"/>
      <c r="E920" s="38"/>
      <c r="F920" s="38"/>
      <c r="G920" s="38"/>
      <c r="H920" s="14"/>
      <c r="I920" s="38"/>
      <c r="J920" s="38"/>
      <c r="K920" s="14"/>
      <c r="L920" s="14"/>
      <c r="M920" s="14"/>
      <c r="N920" s="39"/>
      <c r="O920" s="39"/>
      <c r="P920" s="39"/>
      <c r="Q920" s="39"/>
      <c r="R920" s="39"/>
      <c r="S920" s="39"/>
      <c r="T920" s="39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  <c r="AH920" s="14"/>
      <c r="AI920" s="14"/>
      <c r="AJ920" s="14"/>
      <c r="AK920" s="14"/>
      <c r="AL920" s="14"/>
      <c r="AM920" s="14"/>
      <c r="AN920" s="14"/>
      <c r="AO920" s="14"/>
      <c r="AP920" s="14"/>
    </row>
    <row r="921" spans="1:42" ht="13">
      <c r="A921" s="38"/>
      <c r="B921" s="14"/>
      <c r="C921" s="38"/>
      <c r="D921" s="38"/>
      <c r="E921" s="38"/>
      <c r="F921" s="38"/>
      <c r="G921" s="38"/>
      <c r="H921" s="14"/>
      <c r="I921" s="38"/>
      <c r="J921" s="38"/>
      <c r="K921" s="14"/>
      <c r="L921" s="14"/>
      <c r="M921" s="14"/>
      <c r="N921" s="39"/>
      <c r="O921" s="39"/>
      <c r="P921" s="39"/>
      <c r="Q921" s="39"/>
      <c r="R921" s="39"/>
      <c r="S921" s="39"/>
      <c r="T921" s="39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  <c r="AH921" s="14"/>
      <c r="AI921" s="14"/>
      <c r="AJ921" s="14"/>
      <c r="AK921" s="14"/>
      <c r="AL921" s="14"/>
      <c r="AM921" s="14"/>
      <c r="AN921" s="14"/>
      <c r="AO921" s="14"/>
      <c r="AP921" s="14"/>
    </row>
    <row r="922" spans="1:42" ht="13">
      <c r="A922" s="38"/>
      <c r="B922" s="14"/>
      <c r="C922" s="38"/>
      <c r="D922" s="38"/>
      <c r="E922" s="38"/>
      <c r="F922" s="38"/>
      <c r="G922" s="38"/>
      <c r="H922" s="14"/>
      <c r="I922" s="38"/>
      <c r="J922" s="38"/>
      <c r="K922" s="14"/>
      <c r="L922" s="14"/>
      <c r="M922" s="14"/>
      <c r="N922" s="39"/>
      <c r="O922" s="39"/>
      <c r="P922" s="39"/>
      <c r="Q922" s="39"/>
      <c r="R922" s="39"/>
      <c r="S922" s="39"/>
      <c r="T922" s="39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  <c r="AH922" s="14"/>
      <c r="AI922" s="14"/>
      <c r="AJ922" s="14"/>
      <c r="AK922" s="14"/>
      <c r="AL922" s="14"/>
      <c r="AM922" s="14"/>
      <c r="AN922" s="14"/>
      <c r="AO922" s="14"/>
      <c r="AP922" s="14"/>
    </row>
    <row r="923" spans="1:42" ht="13">
      <c r="A923" s="38"/>
      <c r="B923" s="14"/>
      <c r="C923" s="38"/>
      <c r="D923" s="38"/>
      <c r="E923" s="38"/>
      <c r="F923" s="38"/>
      <c r="G923" s="38"/>
      <c r="H923" s="14"/>
      <c r="I923" s="38"/>
      <c r="J923" s="38"/>
      <c r="K923" s="14"/>
      <c r="L923" s="14"/>
      <c r="M923" s="14"/>
      <c r="N923" s="39"/>
      <c r="O923" s="39"/>
      <c r="P923" s="39"/>
      <c r="Q923" s="39"/>
      <c r="R923" s="39"/>
      <c r="S923" s="39"/>
      <c r="T923" s="39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  <c r="AH923" s="14"/>
      <c r="AI923" s="14"/>
      <c r="AJ923" s="14"/>
      <c r="AK923" s="14"/>
      <c r="AL923" s="14"/>
      <c r="AM923" s="14"/>
      <c r="AN923" s="14"/>
      <c r="AO923" s="14"/>
      <c r="AP923" s="14"/>
    </row>
    <row r="924" spans="1:42" ht="13">
      <c r="A924" s="38"/>
      <c r="B924" s="14"/>
      <c r="C924" s="38"/>
      <c r="D924" s="38"/>
      <c r="E924" s="38"/>
      <c r="F924" s="38"/>
      <c r="G924" s="38"/>
      <c r="H924" s="14"/>
      <c r="I924" s="38"/>
      <c r="J924" s="38"/>
      <c r="K924" s="14"/>
      <c r="L924" s="14"/>
      <c r="M924" s="14"/>
      <c r="N924" s="39"/>
      <c r="O924" s="39"/>
      <c r="P924" s="39"/>
      <c r="Q924" s="39"/>
      <c r="R924" s="39"/>
      <c r="S924" s="39"/>
      <c r="T924" s="39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  <c r="AH924" s="14"/>
      <c r="AI924" s="14"/>
      <c r="AJ924" s="14"/>
      <c r="AK924" s="14"/>
      <c r="AL924" s="14"/>
      <c r="AM924" s="14"/>
      <c r="AN924" s="14"/>
      <c r="AO924" s="14"/>
      <c r="AP924" s="14"/>
    </row>
    <row r="925" spans="1:42" ht="13">
      <c r="A925" s="38"/>
      <c r="B925" s="14"/>
      <c r="C925" s="38"/>
      <c r="D925" s="38"/>
      <c r="E925" s="38"/>
      <c r="F925" s="38"/>
      <c r="G925" s="38"/>
      <c r="H925" s="14"/>
      <c r="I925" s="38"/>
      <c r="J925" s="38"/>
      <c r="K925" s="14"/>
      <c r="L925" s="14"/>
      <c r="M925" s="14"/>
      <c r="N925" s="39"/>
      <c r="O925" s="39"/>
      <c r="P925" s="39"/>
      <c r="Q925" s="39"/>
      <c r="R925" s="39"/>
      <c r="S925" s="39"/>
      <c r="T925" s="39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  <c r="AH925" s="14"/>
      <c r="AI925" s="14"/>
      <c r="AJ925" s="14"/>
      <c r="AK925" s="14"/>
      <c r="AL925" s="14"/>
      <c r="AM925" s="14"/>
      <c r="AN925" s="14"/>
      <c r="AO925" s="14"/>
      <c r="AP925" s="14"/>
    </row>
    <row r="926" spans="1:42" ht="13">
      <c r="A926" s="38"/>
      <c r="B926" s="14"/>
      <c r="C926" s="38"/>
      <c r="D926" s="38"/>
      <c r="E926" s="38"/>
      <c r="F926" s="38"/>
      <c r="G926" s="38"/>
      <c r="H926" s="14"/>
      <c r="I926" s="38"/>
      <c r="J926" s="38"/>
      <c r="K926" s="14"/>
      <c r="L926" s="14"/>
      <c r="M926" s="14"/>
      <c r="N926" s="39"/>
      <c r="O926" s="39"/>
      <c r="P926" s="39"/>
      <c r="Q926" s="39"/>
      <c r="R926" s="39"/>
      <c r="S926" s="39"/>
      <c r="T926" s="39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  <c r="AH926" s="14"/>
      <c r="AI926" s="14"/>
      <c r="AJ926" s="14"/>
      <c r="AK926" s="14"/>
      <c r="AL926" s="14"/>
      <c r="AM926" s="14"/>
      <c r="AN926" s="14"/>
      <c r="AO926" s="14"/>
      <c r="AP926" s="14"/>
    </row>
    <row r="927" spans="1:42" ht="13">
      <c r="A927" s="38"/>
      <c r="B927" s="14"/>
      <c r="C927" s="38"/>
      <c r="D927" s="38"/>
      <c r="E927" s="38"/>
      <c r="F927" s="38"/>
      <c r="G927" s="38"/>
      <c r="H927" s="14"/>
      <c r="I927" s="38"/>
      <c r="J927" s="38"/>
      <c r="K927" s="14"/>
      <c r="L927" s="14"/>
      <c r="M927" s="14"/>
      <c r="N927" s="39"/>
      <c r="O927" s="39"/>
      <c r="P927" s="39"/>
      <c r="Q927" s="39"/>
      <c r="R927" s="39"/>
      <c r="S927" s="39"/>
      <c r="T927" s="39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  <c r="AH927" s="14"/>
      <c r="AI927" s="14"/>
      <c r="AJ927" s="14"/>
      <c r="AK927" s="14"/>
      <c r="AL927" s="14"/>
      <c r="AM927" s="14"/>
      <c r="AN927" s="14"/>
      <c r="AO927" s="14"/>
      <c r="AP927" s="14"/>
    </row>
    <row r="928" spans="1:42" ht="13">
      <c r="A928" s="38"/>
      <c r="B928" s="14"/>
      <c r="C928" s="38"/>
      <c r="D928" s="38"/>
      <c r="E928" s="38"/>
      <c r="F928" s="38"/>
      <c r="G928" s="38"/>
      <c r="H928" s="14"/>
      <c r="I928" s="38"/>
      <c r="J928" s="38"/>
      <c r="K928" s="14"/>
      <c r="L928" s="14"/>
      <c r="M928" s="14"/>
      <c r="N928" s="39"/>
      <c r="O928" s="39"/>
      <c r="P928" s="39"/>
      <c r="Q928" s="39"/>
      <c r="R928" s="39"/>
      <c r="S928" s="39"/>
      <c r="T928" s="39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  <c r="AH928" s="14"/>
      <c r="AI928" s="14"/>
      <c r="AJ928" s="14"/>
      <c r="AK928" s="14"/>
      <c r="AL928" s="14"/>
      <c r="AM928" s="14"/>
      <c r="AN928" s="14"/>
      <c r="AO928" s="14"/>
      <c r="AP928" s="14"/>
    </row>
    <row r="929" spans="1:42" ht="13">
      <c r="A929" s="38"/>
      <c r="B929" s="14"/>
      <c r="C929" s="38"/>
      <c r="D929" s="38"/>
      <c r="E929" s="38"/>
      <c r="F929" s="38"/>
      <c r="G929" s="38"/>
      <c r="H929" s="14"/>
      <c r="I929" s="38"/>
      <c r="J929" s="38"/>
      <c r="K929" s="14"/>
      <c r="L929" s="14"/>
      <c r="M929" s="14"/>
      <c r="N929" s="39"/>
      <c r="O929" s="39"/>
      <c r="P929" s="39"/>
      <c r="Q929" s="39"/>
      <c r="R929" s="39"/>
      <c r="S929" s="39"/>
      <c r="T929" s="39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  <c r="AH929" s="14"/>
      <c r="AI929" s="14"/>
      <c r="AJ929" s="14"/>
      <c r="AK929" s="14"/>
      <c r="AL929" s="14"/>
      <c r="AM929" s="14"/>
      <c r="AN929" s="14"/>
      <c r="AO929" s="14"/>
      <c r="AP929" s="14"/>
    </row>
  </sheetData>
  <conditionalFormatting sqref="E2:E929">
    <cfRule type="containsBlanks" dxfId="11" priority="1">
      <formula>LEN(TRIM(E2))=0</formula>
    </cfRule>
  </conditionalFormatting>
  <conditionalFormatting sqref="F2:F125">
    <cfRule type="cellIs" dxfId="10" priority="4" operator="greaterThanOrEqual">
      <formula>1</formula>
    </cfRule>
  </conditionalFormatting>
  <conditionalFormatting sqref="F2:G929">
    <cfRule type="cellIs" dxfId="9" priority="2" operator="lessThan">
      <formula>1</formula>
    </cfRule>
  </conditionalFormatting>
  <conditionalFormatting sqref="G2:G929">
    <cfRule type="cellIs" dxfId="8" priority="3" operator="greaterThanOrEqual">
      <formula>1</formula>
    </cfRule>
  </conditionalFormatting>
  <conditionalFormatting sqref="M2:O929">
    <cfRule type="expression" dxfId="7" priority="5">
      <formula>$O2&gt;1</formula>
    </cfRule>
  </conditionalFormatting>
  <dataValidations count="5">
    <dataValidation type="custom" allowBlank="1" showDropDown="1" sqref="E2:E316 C2:C316 G2:K316" xr:uid="{00000000-0002-0000-0000-000000000000}">
      <formula1>AND(ISNUMBER(C2),(NOT(OR(NOT(ISERROR(DATEVALUE(C2))), AND(ISNUMBER(C2), LEFT(CELL("format", C2))="D")))))</formula1>
    </dataValidation>
    <dataValidation type="list" allowBlank="1" sqref="P2:P316" xr:uid="{00000000-0002-0000-0000-000001000000}">
      <formula1>"Active,Obselete,Unknown"</formula1>
    </dataValidation>
    <dataValidation type="list" allowBlank="1" sqref="B2:B316" xr:uid="{00000000-0002-0000-0000-000002000000}">
      <formula1>"Gen Hardware,Illumination,Sample Hold,Imaging,Inspection Scope,Obselete/None,Integration"</formula1>
    </dataValidation>
    <dataValidation type="list" allowBlank="1" sqref="Q2:Q316" xr:uid="{00000000-0002-0000-0000-000003000000}">
      <formula1>"Metric,Imperial,Universal"</formula1>
    </dataValidation>
    <dataValidation allowBlank="1" showDropDown="1" sqref="A2:A316 L2:M316 R2:V316" xr:uid="{00000000-0002-0000-0000-000005000000}"/>
  </dataValidations>
  <hyperlinks>
    <hyperlink ref="U25" r:id="rId1" xr:uid="{00000000-0004-0000-0000-000000000000}"/>
    <hyperlink ref="U27" r:id="rId2" xr:uid="{00000000-0004-0000-0000-000001000000}"/>
    <hyperlink ref="U30" r:id="rId3" xr:uid="{00000000-0004-0000-0000-000002000000}"/>
    <hyperlink ref="U32" r:id="rId4" xr:uid="{00000000-0004-0000-0000-000003000000}"/>
    <hyperlink ref="U36" r:id="rId5" xr:uid="{00000000-0004-0000-0000-000004000000}"/>
    <hyperlink ref="U37" r:id="rId6" xr:uid="{00000000-0004-0000-0000-000005000000}"/>
    <hyperlink ref="U44" r:id="rId7" xr:uid="{00000000-0004-0000-0000-000006000000}"/>
    <hyperlink ref="U45" r:id="rId8" xr:uid="{00000000-0004-0000-0000-000007000000}"/>
    <hyperlink ref="U46" r:id="rId9" xr:uid="{00000000-0004-0000-0000-000008000000}"/>
    <hyperlink ref="U47" r:id="rId10" xr:uid="{00000000-0004-0000-0000-000009000000}"/>
    <hyperlink ref="U50" r:id="rId11" xr:uid="{00000000-0004-0000-0000-00000A000000}"/>
    <hyperlink ref="U52" r:id="rId12" xr:uid="{00000000-0004-0000-0000-00000B000000}"/>
    <hyperlink ref="U53" r:id="rId13" xr:uid="{00000000-0004-0000-0000-00000C000000}"/>
    <hyperlink ref="U59" r:id="rId14" location="ad-image-0" xr:uid="{00000000-0004-0000-0000-00000D000000}"/>
    <hyperlink ref="U74" r:id="rId15" xr:uid="{00000000-0004-0000-0000-00000E000000}"/>
    <hyperlink ref="U75" r:id="rId16" location="6646" xr:uid="{00000000-0004-0000-0000-00000F000000}"/>
    <hyperlink ref="U78" r:id="rId17" xr:uid="{00000000-0004-0000-0000-000010000000}"/>
    <hyperlink ref="U81" r:id="rId18" xr:uid="{00000000-0004-0000-0000-000011000000}"/>
    <hyperlink ref="U82" r:id="rId19" xr:uid="{00000000-0004-0000-0000-000012000000}"/>
    <hyperlink ref="U108" r:id="rId20" xr:uid="{00000000-0004-0000-0000-000013000000}"/>
    <hyperlink ref="U118" r:id="rId21" xr:uid="{00000000-0004-0000-0000-000014000000}"/>
    <hyperlink ref="U125" r:id="rId22" xr:uid="{00000000-0004-0000-0000-000015000000}"/>
    <hyperlink ref="U126" r:id="rId23" location="ad-image-0" xr:uid="{00000000-0004-0000-0000-000016000000}"/>
    <hyperlink ref="U130" r:id="rId24" xr:uid="{00000000-0004-0000-0000-000017000000}"/>
    <hyperlink ref="U132" r:id="rId25" xr:uid="{00000000-0004-0000-0000-000018000000}"/>
    <hyperlink ref="U134" r:id="rId26" location="ad-image-0" xr:uid="{00000000-0004-0000-0000-000019000000}"/>
    <hyperlink ref="U145" r:id="rId27" xr:uid="{00000000-0004-0000-0000-00001A000000}"/>
    <hyperlink ref="U147" r:id="rId28" location="ad-image-0" xr:uid="{00000000-0004-0000-0000-00001B000000}"/>
    <hyperlink ref="U164" r:id="rId29" xr:uid="{00000000-0004-0000-0000-00001C000000}"/>
    <hyperlink ref="U165" r:id="rId30" xr:uid="{00000000-0004-0000-0000-00001D000000}"/>
    <hyperlink ref="U168" r:id="rId31" location="ad-image-0" xr:uid="{00000000-0004-0000-0000-00001E000000}"/>
    <hyperlink ref="U175" r:id="rId32" xr:uid="{00000000-0004-0000-0000-00001F000000}"/>
    <hyperlink ref="U176" r:id="rId33" xr:uid="{00000000-0004-0000-0000-000020000000}"/>
    <hyperlink ref="U178" r:id="rId34" xr:uid="{00000000-0004-0000-0000-000021000000}"/>
    <hyperlink ref="U179" r:id="rId35" xr:uid="{00000000-0004-0000-0000-000022000000}"/>
    <hyperlink ref="U181" r:id="rId36" xr:uid="{00000000-0004-0000-0000-000023000000}"/>
    <hyperlink ref="U183" r:id="rId37" xr:uid="{00000000-0004-0000-0000-000024000000}"/>
    <hyperlink ref="U184" r:id="rId38" location="ad-image-0" xr:uid="{00000000-0004-0000-0000-000025000000}"/>
    <hyperlink ref="U187" r:id="rId39" location="ad-image-0" xr:uid="{00000000-0004-0000-0000-000026000000}"/>
    <hyperlink ref="U194" r:id="rId40" xr:uid="{00000000-0004-0000-0000-000027000000}"/>
    <hyperlink ref="U195" r:id="rId41" location="ad-image-0." xr:uid="{00000000-0004-0000-0000-000028000000}"/>
    <hyperlink ref="U197" r:id="rId42" location="ad-image-0" xr:uid="{00000000-0004-0000-0000-000029000000}"/>
    <hyperlink ref="U199" r:id="rId43" location="ad-image-0" xr:uid="{00000000-0004-0000-0000-00002A000000}"/>
    <hyperlink ref="U219" r:id="rId44" xr:uid="{00000000-0004-0000-0000-00002B000000}"/>
    <hyperlink ref="U245" r:id="rId45" xr:uid="{00000000-0004-0000-0000-00002C000000}"/>
    <hyperlink ref="U248" r:id="rId46" xr:uid="{00000000-0004-0000-0000-00002D000000}"/>
    <hyperlink ref="U249" r:id="rId47" location="ad-image-0" xr:uid="{00000000-0004-0000-0000-00002E000000}"/>
    <hyperlink ref="U250" r:id="rId48" xr:uid="{00000000-0004-0000-0000-00002F000000}"/>
    <hyperlink ref="U251" r:id="rId49" xr:uid="{00000000-0004-0000-0000-000030000000}"/>
    <hyperlink ref="U260" r:id="rId50" xr:uid="{00000000-0004-0000-0000-000031000000}"/>
    <hyperlink ref="U261" r:id="rId51" xr:uid="{00000000-0004-0000-0000-000032000000}"/>
    <hyperlink ref="U267" r:id="rId52" xr:uid="{00000000-0004-0000-0000-000033000000}"/>
    <hyperlink ref="U270" r:id="rId53" xr:uid="{00000000-0004-0000-0000-000034000000}"/>
    <hyperlink ref="U279" r:id="rId54" xr:uid="{00000000-0004-0000-0000-000035000000}"/>
    <hyperlink ref="U280" r:id="rId55" xr:uid="{00000000-0004-0000-0000-000036000000}"/>
    <hyperlink ref="U281" r:id="rId56" xr:uid="{00000000-0004-0000-0000-000037000000}"/>
    <hyperlink ref="U286" r:id="rId57" location="ad-image-0" xr:uid="{00000000-0004-0000-0000-000038000000}"/>
    <hyperlink ref="U292" r:id="rId58" xr:uid="{00000000-0004-0000-0000-000039000000}"/>
    <hyperlink ref="U293" r:id="rId59" xr:uid="{00000000-0004-0000-0000-00003A000000}"/>
  </hyperlinks>
  <printOptions horizontalCentered="1" gridLines="1"/>
  <pageMargins left="0.7" right="0.7" top="0.75" bottom="0.75" header="0" footer="0"/>
  <pageSetup fitToWidth="0" pageOrder="overThenDown" orientation="portrait" cellComments="atEnd"/>
  <tableParts count="1">
    <tablePart r:id="rId6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24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sheetData>
    <row r="1" spans="1:5" ht="15.75" customHeight="1">
      <c r="A1" s="40"/>
      <c r="B1" s="40" t="s">
        <v>570</v>
      </c>
      <c r="C1" s="40" t="s">
        <v>571</v>
      </c>
      <c r="D1" s="40" t="s">
        <v>572</v>
      </c>
      <c r="E1" s="40" t="s">
        <v>573</v>
      </c>
    </row>
    <row r="2" spans="1:5" ht="15.75" customHeight="1">
      <c r="A2" s="40" t="s">
        <v>574</v>
      </c>
      <c r="B2" s="40">
        <v>7.0999999999999994E-2</v>
      </c>
      <c r="C2" s="40">
        <v>10</v>
      </c>
      <c r="D2" s="40">
        <v>2</v>
      </c>
      <c r="E2" s="40">
        <f t="shared" ref="E2:E24" si="0">C2-D2</f>
        <v>8</v>
      </c>
    </row>
    <row r="3" spans="1:5" ht="15.75" customHeight="1">
      <c r="A3" s="40" t="s">
        <v>575</v>
      </c>
      <c r="B3" s="40">
        <v>2.5499999999999998</v>
      </c>
      <c r="C3" s="40">
        <v>2</v>
      </c>
      <c r="D3" s="40">
        <v>0</v>
      </c>
      <c r="E3" s="40">
        <f t="shared" si="0"/>
        <v>2</v>
      </c>
    </row>
    <row r="4" spans="1:5" ht="15.75" customHeight="1">
      <c r="A4" s="40" t="s">
        <v>576</v>
      </c>
      <c r="B4" s="40">
        <v>0.44600000000000001</v>
      </c>
      <c r="C4" s="40">
        <v>2</v>
      </c>
      <c r="D4" s="40">
        <v>0</v>
      </c>
      <c r="E4" s="40">
        <f t="shared" si="0"/>
        <v>2</v>
      </c>
    </row>
    <row r="5" spans="1:5" ht="15.75" customHeight="1">
      <c r="A5" s="40" t="s">
        <v>577</v>
      </c>
      <c r="B5" s="40">
        <v>0.16300000000000001</v>
      </c>
      <c r="C5" s="40">
        <v>4</v>
      </c>
      <c r="D5" s="40">
        <v>2</v>
      </c>
      <c r="E5" s="40">
        <f t="shared" si="0"/>
        <v>2</v>
      </c>
    </row>
    <row r="6" spans="1:5" ht="15.75" customHeight="1">
      <c r="A6" s="40" t="s">
        <v>578</v>
      </c>
      <c r="B6" s="40">
        <v>2.8340000000000001</v>
      </c>
      <c r="C6" s="40">
        <v>1</v>
      </c>
      <c r="D6" s="40">
        <v>0</v>
      </c>
      <c r="E6" s="40">
        <f t="shared" si="0"/>
        <v>1</v>
      </c>
    </row>
    <row r="7" spans="1:5" ht="15.75" customHeight="1">
      <c r="A7" s="40" t="s">
        <v>579</v>
      </c>
      <c r="B7" s="40">
        <v>1.9950000000000001</v>
      </c>
      <c r="C7" s="40">
        <v>1</v>
      </c>
      <c r="D7" s="40">
        <v>0</v>
      </c>
      <c r="E7" s="40">
        <f t="shared" si="0"/>
        <v>1</v>
      </c>
    </row>
    <row r="8" spans="1:5" ht="15.75" customHeight="1">
      <c r="A8" s="40" t="s">
        <v>580</v>
      </c>
      <c r="B8" s="40">
        <v>3.956</v>
      </c>
      <c r="C8" s="40">
        <v>1</v>
      </c>
      <c r="D8" s="40">
        <v>0</v>
      </c>
      <c r="E8" s="40">
        <f t="shared" si="0"/>
        <v>1</v>
      </c>
    </row>
    <row r="9" spans="1:5" ht="15.75" customHeight="1">
      <c r="A9" s="40" t="s">
        <v>581</v>
      </c>
      <c r="B9" s="40">
        <v>1.7350000000000001</v>
      </c>
      <c r="C9" s="40">
        <v>1</v>
      </c>
      <c r="D9" s="40">
        <v>0</v>
      </c>
      <c r="E9" s="40">
        <f t="shared" si="0"/>
        <v>1</v>
      </c>
    </row>
    <row r="10" spans="1:5" ht="15.75" customHeight="1">
      <c r="A10" s="40" t="s">
        <v>582</v>
      </c>
      <c r="B10" s="40">
        <v>0.46800000000000003</v>
      </c>
      <c r="C10" s="40">
        <v>1</v>
      </c>
      <c r="D10" s="40">
        <v>0</v>
      </c>
      <c r="E10" s="40">
        <f t="shared" si="0"/>
        <v>1</v>
      </c>
    </row>
    <row r="11" spans="1:5" ht="15.75" customHeight="1">
      <c r="A11" s="40" t="s">
        <v>583</v>
      </c>
      <c r="B11" s="40">
        <v>1.0760000000000001</v>
      </c>
      <c r="C11" s="40">
        <v>1</v>
      </c>
      <c r="D11" s="40">
        <v>0</v>
      </c>
      <c r="E11" s="40">
        <f t="shared" si="0"/>
        <v>1</v>
      </c>
    </row>
    <row r="12" spans="1:5" ht="15.75" customHeight="1">
      <c r="A12" s="40" t="s">
        <v>584</v>
      </c>
      <c r="B12" s="40">
        <v>4.899</v>
      </c>
      <c r="C12" s="40">
        <v>1</v>
      </c>
      <c r="D12" s="40">
        <v>0</v>
      </c>
      <c r="E12" s="40">
        <f t="shared" si="0"/>
        <v>1</v>
      </c>
    </row>
    <row r="13" spans="1:5" ht="15.75" customHeight="1">
      <c r="A13" s="40" t="s">
        <v>585</v>
      </c>
      <c r="B13" s="40">
        <v>2.5209999999999999</v>
      </c>
      <c r="C13" s="40">
        <v>1</v>
      </c>
      <c r="D13" s="40">
        <v>0</v>
      </c>
      <c r="E13" s="40">
        <f t="shared" si="0"/>
        <v>1</v>
      </c>
    </row>
    <row r="14" spans="1:5" ht="15.75" customHeight="1">
      <c r="A14" s="40" t="s">
        <v>586</v>
      </c>
      <c r="B14" s="40">
        <v>1</v>
      </c>
      <c r="C14" s="40">
        <v>1</v>
      </c>
      <c r="D14" s="40">
        <v>0</v>
      </c>
      <c r="E14" s="40">
        <f t="shared" si="0"/>
        <v>1</v>
      </c>
    </row>
    <row r="15" spans="1:5" ht="15.75" customHeight="1">
      <c r="A15" s="40" t="s">
        <v>587</v>
      </c>
      <c r="B15" s="40">
        <v>3.4980000000000002</v>
      </c>
      <c r="C15" s="40">
        <v>1</v>
      </c>
      <c r="D15" s="40">
        <v>0</v>
      </c>
      <c r="E15" s="40">
        <f t="shared" si="0"/>
        <v>1</v>
      </c>
    </row>
    <row r="16" spans="1:5" ht="15.75" customHeight="1">
      <c r="A16" s="40" t="s">
        <v>588</v>
      </c>
      <c r="B16" s="40">
        <v>0.93200000000000005</v>
      </c>
      <c r="C16" s="40">
        <v>1</v>
      </c>
      <c r="D16" s="40">
        <v>0</v>
      </c>
      <c r="E16" s="40">
        <f t="shared" si="0"/>
        <v>1</v>
      </c>
    </row>
    <row r="17" spans="1:5" ht="15.75" customHeight="1">
      <c r="A17" s="40" t="s">
        <v>589</v>
      </c>
      <c r="B17" s="40">
        <v>1.9670000000000001</v>
      </c>
      <c r="C17" s="40">
        <v>1</v>
      </c>
      <c r="D17" s="40">
        <v>0</v>
      </c>
      <c r="E17" s="40">
        <f t="shared" si="0"/>
        <v>1</v>
      </c>
    </row>
    <row r="18" spans="1:5" ht="15.75" customHeight="1">
      <c r="A18" s="40" t="s">
        <v>590</v>
      </c>
      <c r="B18" s="40">
        <v>1.571</v>
      </c>
      <c r="C18" s="40">
        <v>1</v>
      </c>
      <c r="D18" s="40">
        <v>0</v>
      </c>
      <c r="E18" s="40">
        <f t="shared" si="0"/>
        <v>1</v>
      </c>
    </row>
    <row r="19" spans="1:5" ht="15.75" customHeight="1">
      <c r="A19" s="40" t="s">
        <v>591</v>
      </c>
      <c r="B19" s="40">
        <v>4.2190000000000003</v>
      </c>
      <c r="C19" s="40">
        <v>1</v>
      </c>
      <c r="D19" s="40">
        <v>1</v>
      </c>
      <c r="E19" s="40">
        <f t="shared" si="0"/>
        <v>0</v>
      </c>
    </row>
    <row r="20" spans="1:5" ht="15.75" customHeight="1">
      <c r="A20" s="40" t="s">
        <v>592</v>
      </c>
      <c r="B20" s="40">
        <v>5.0609999999999999</v>
      </c>
      <c r="C20" s="40">
        <v>1</v>
      </c>
      <c r="D20" s="40">
        <v>1</v>
      </c>
      <c r="E20" s="40">
        <f t="shared" si="0"/>
        <v>0</v>
      </c>
    </row>
    <row r="21" spans="1:5" ht="15.75" customHeight="1">
      <c r="A21" s="40" t="s">
        <v>593</v>
      </c>
      <c r="B21" s="40">
        <v>2.5049999999999999</v>
      </c>
      <c r="C21" s="40">
        <v>1</v>
      </c>
      <c r="D21" s="40">
        <v>1</v>
      </c>
      <c r="E21" s="40">
        <f t="shared" si="0"/>
        <v>0</v>
      </c>
    </row>
    <row r="22" spans="1:5" ht="15.75" customHeight="1">
      <c r="A22" s="40" t="s">
        <v>594</v>
      </c>
      <c r="B22" s="40">
        <v>2.4319999999999999</v>
      </c>
      <c r="C22" s="40">
        <v>1</v>
      </c>
      <c r="D22" s="40">
        <v>1</v>
      </c>
      <c r="E22" s="40">
        <f t="shared" si="0"/>
        <v>0</v>
      </c>
    </row>
    <row r="23" spans="1:5" ht="15.75" customHeight="1">
      <c r="A23" s="40" t="s">
        <v>595</v>
      </c>
      <c r="B23" s="40">
        <v>3.4689999999999999</v>
      </c>
      <c r="C23" s="40">
        <v>1</v>
      </c>
      <c r="D23" s="40">
        <v>1</v>
      </c>
      <c r="E23" s="40">
        <f t="shared" si="0"/>
        <v>0</v>
      </c>
    </row>
    <row r="24" spans="1:5" ht="15.75" customHeight="1">
      <c r="A24" s="40" t="s">
        <v>596</v>
      </c>
      <c r="B24" s="40">
        <v>3.302</v>
      </c>
      <c r="C24" s="40">
        <v>1</v>
      </c>
      <c r="D24" s="40">
        <v>1</v>
      </c>
      <c r="E24" s="40">
        <f t="shared" si="0"/>
        <v>0</v>
      </c>
    </row>
  </sheetData>
  <conditionalFormatting sqref="E2:E24">
    <cfRule type="cellIs" dxfId="6" priority="1" operator="greater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AP929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min="1" max="1" width="8.33203125" customWidth="1"/>
    <col min="2" max="2" width="15.83203125" customWidth="1"/>
    <col min="3" max="3" width="9.83203125" customWidth="1"/>
    <col min="4" max="7" width="8.33203125" customWidth="1"/>
    <col min="8" max="8" width="9.6640625" customWidth="1"/>
    <col min="9" max="9" width="8.33203125" customWidth="1"/>
    <col min="10" max="10" width="7.6640625" customWidth="1"/>
    <col min="11" max="11" width="9.6640625" customWidth="1"/>
    <col min="12" max="12" width="14.1640625" customWidth="1"/>
    <col min="13" max="13" width="25.5" customWidth="1"/>
    <col min="14" max="15" width="9.6640625" hidden="1" customWidth="1"/>
    <col min="16" max="16" width="9.6640625" customWidth="1"/>
    <col min="17" max="17" width="12.83203125" customWidth="1"/>
    <col min="18" max="19" width="16.1640625" customWidth="1"/>
    <col min="20" max="20" width="78.6640625" customWidth="1"/>
    <col min="21" max="21" width="78.1640625" customWidth="1"/>
    <col min="22" max="22" width="27.1640625" customWidth="1"/>
  </cols>
  <sheetData>
    <row r="1" spans="1:42" ht="22.5" customHeight="1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3" t="s">
        <v>8</v>
      </c>
      <c r="J1" s="3" t="s">
        <v>9</v>
      </c>
      <c r="K1" s="2" t="s">
        <v>10</v>
      </c>
      <c r="L1" s="4" t="s">
        <v>11</v>
      </c>
      <c r="M1" s="4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6" t="s">
        <v>19</v>
      </c>
      <c r="U1" s="6" t="s">
        <v>20</v>
      </c>
      <c r="V1" s="4" t="s">
        <v>21</v>
      </c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</row>
    <row r="2" spans="1:42" ht="22.5" customHeight="1">
      <c r="A2" s="8"/>
      <c r="B2" s="9" t="s">
        <v>253</v>
      </c>
      <c r="C2" s="10"/>
      <c r="D2" s="10">
        <v>1</v>
      </c>
      <c r="E2" s="10">
        <v>1</v>
      </c>
      <c r="F2" s="10"/>
      <c r="G2" s="10">
        <f t="shared" ref="G2:G228" si="0">CEILING(MAX(C2-E2+D2-F2, 0)/I2,1)*I2</f>
        <v>0</v>
      </c>
      <c r="H2" s="9"/>
      <c r="I2" s="10">
        <v>1</v>
      </c>
      <c r="J2" s="10">
        <f t="shared" ref="J2:J31" si="1">G2/I2</f>
        <v>0</v>
      </c>
      <c r="K2" s="9">
        <f t="shared" ref="K2:K256" si="2">H2*G2</f>
        <v>0</v>
      </c>
      <c r="L2" s="9" t="s">
        <v>138</v>
      </c>
      <c r="M2" s="11" t="s">
        <v>254</v>
      </c>
      <c r="N2" s="12" t="str">
        <f t="shared" ref="N2:N256" si="3">B2&amp;"|"&amp;L2&amp;"|"&amp;M2</f>
        <v>Gen Hardware|Thorlabs|HW-KIT1</v>
      </c>
      <c r="O2" s="12">
        <f t="shared" ref="O2:O256" si="4">COUNTIF($N$2:$N929, N2)</f>
        <v>1</v>
      </c>
      <c r="P2" s="12"/>
      <c r="Q2" s="12"/>
      <c r="R2" s="12" t="s">
        <v>138</v>
      </c>
      <c r="S2" s="13" t="s">
        <v>254</v>
      </c>
      <c r="T2" s="13"/>
      <c r="U2" s="11"/>
      <c r="V2" s="11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</row>
    <row r="3" spans="1:42" ht="22.5" customHeight="1">
      <c r="A3" s="8"/>
      <c r="B3" s="9" t="s">
        <v>253</v>
      </c>
      <c r="C3" s="10"/>
      <c r="D3" s="10">
        <v>1</v>
      </c>
      <c r="E3" s="10">
        <v>1</v>
      </c>
      <c r="F3" s="10"/>
      <c r="G3" s="10">
        <f t="shared" si="0"/>
        <v>0</v>
      </c>
      <c r="H3" s="9"/>
      <c r="I3" s="10">
        <v>1</v>
      </c>
      <c r="J3" s="10">
        <f t="shared" si="1"/>
        <v>0</v>
      </c>
      <c r="K3" s="9">
        <f t="shared" si="2"/>
        <v>0</v>
      </c>
      <c r="L3" s="9" t="s">
        <v>138</v>
      </c>
      <c r="M3" s="11" t="s">
        <v>255</v>
      </c>
      <c r="N3" s="12" t="str">
        <f t="shared" si="3"/>
        <v>Gen Hardware|Thorlabs|HW-KIT2</v>
      </c>
      <c r="O3" s="12">
        <f t="shared" si="4"/>
        <v>1</v>
      </c>
      <c r="P3" s="12"/>
      <c r="Q3" s="12"/>
      <c r="R3" s="12" t="s">
        <v>138</v>
      </c>
      <c r="S3" s="13" t="s">
        <v>255</v>
      </c>
      <c r="T3" s="13"/>
      <c r="U3" s="11"/>
      <c r="V3" s="11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</row>
    <row r="4" spans="1:42" ht="22.5" customHeight="1">
      <c r="A4" s="8"/>
      <c r="B4" s="9" t="s">
        <v>253</v>
      </c>
      <c r="C4" s="10"/>
      <c r="D4" s="10">
        <v>1</v>
      </c>
      <c r="E4" s="10">
        <v>1</v>
      </c>
      <c r="F4" s="10"/>
      <c r="G4" s="10">
        <f t="shared" si="0"/>
        <v>0</v>
      </c>
      <c r="H4" s="9"/>
      <c r="I4" s="10">
        <v>1</v>
      </c>
      <c r="J4" s="10">
        <f t="shared" si="1"/>
        <v>0</v>
      </c>
      <c r="K4" s="9">
        <f t="shared" si="2"/>
        <v>0</v>
      </c>
      <c r="L4" s="9" t="s">
        <v>138</v>
      </c>
      <c r="M4" s="11" t="s">
        <v>256</v>
      </c>
      <c r="N4" s="12" t="str">
        <f t="shared" si="3"/>
        <v>Gen Hardware|Thorlabs|HW-KIT3</v>
      </c>
      <c r="O4" s="12">
        <f t="shared" si="4"/>
        <v>1</v>
      </c>
      <c r="P4" s="12"/>
      <c r="Q4" s="12"/>
      <c r="R4" s="12" t="s">
        <v>138</v>
      </c>
      <c r="S4" s="13" t="s">
        <v>256</v>
      </c>
      <c r="T4" s="13"/>
      <c r="U4" s="11"/>
      <c r="V4" s="11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</row>
    <row r="5" spans="1:42" ht="22.5" customHeight="1">
      <c r="A5" s="8"/>
      <c r="B5" s="9" t="s">
        <v>253</v>
      </c>
      <c r="C5" s="10"/>
      <c r="D5" s="10">
        <v>1</v>
      </c>
      <c r="E5" s="10">
        <v>1</v>
      </c>
      <c r="F5" s="10"/>
      <c r="G5" s="10">
        <f t="shared" si="0"/>
        <v>0</v>
      </c>
      <c r="H5" s="9"/>
      <c r="I5" s="10">
        <v>1</v>
      </c>
      <c r="J5" s="10">
        <f t="shared" si="1"/>
        <v>0</v>
      </c>
      <c r="K5" s="9">
        <f t="shared" si="2"/>
        <v>0</v>
      </c>
      <c r="L5" s="9" t="s">
        <v>138</v>
      </c>
      <c r="M5" s="11" t="s">
        <v>257</v>
      </c>
      <c r="N5" s="12" t="str">
        <f t="shared" si="3"/>
        <v>Gen Hardware|Thorlabs|HW-KIT4</v>
      </c>
      <c r="O5" s="12">
        <f t="shared" si="4"/>
        <v>1</v>
      </c>
      <c r="P5" s="12"/>
      <c r="Q5" s="12"/>
      <c r="R5" s="12" t="s">
        <v>138</v>
      </c>
      <c r="S5" s="13" t="s">
        <v>257</v>
      </c>
      <c r="T5" s="13"/>
      <c r="U5" s="11"/>
      <c r="V5" s="11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</row>
    <row r="6" spans="1:42" ht="22.5" customHeight="1">
      <c r="A6" s="8"/>
      <c r="B6" s="9" t="s">
        <v>253</v>
      </c>
      <c r="C6" s="10"/>
      <c r="D6" s="10">
        <v>1</v>
      </c>
      <c r="E6" s="10">
        <v>1</v>
      </c>
      <c r="F6" s="10"/>
      <c r="G6" s="10">
        <f t="shared" si="0"/>
        <v>0</v>
      </c>
      <c r="H6" s="9"/>
      <c r="I6" s="10">
        <v>1</v>
      </c>
      <c r="J6" s="10">
        <f t="shared" si="1"/>
        <v>0</v>
      </c>
      <c r="K6" s="9">
        <f t="shared" si="2"/>
        <v>0</v>
      </c>
      <c r="L6" s="9" t="s">
        <v>138</v>
      </c>
      <c r="M6" s="11" t="s">
        <v>258</v>
      </c>
      <c r="N6" s="12" t="str">
        <f t="shared" si="3"/>
        <v>Gen Hardware|Thorlabs|HW-KIT5</v>
      </c>
      <c r="O6" s="12">
        <f t="shared" si="4"/>
        <v>1</v>
      </c>
      <c r="P6" s="12"/>
      <c r="Q6" s="12"/>
      <c r="R6" s="12" t="s">
        <v>138</v>
      </c>
      <c r="S6" s="13" t="s">
        <v>258</v>
      </c>
      <c r="T6" s="13"/>
      <c r="U6" s="11"/>
      <c r="V6" s="11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</row>
    <row r="7" spans="1:42" ht="22.5" customHeight="1">
      <c r="A7" s="8"/>
      <c r="B7" s="9" t="s">
        <v>253</v>
      </c>
      <c r="C7" s="10"/>
      <c r="D7" s="10">
        <v>1</v>
      </c>
      <c r="E7" s="10">
        <v>1</v>
      </c>
      <c r="F7" s="10"/>
      <c r="G7" s="10">
        <f t="shared" si="0"/>
        <v>0</v>
      </c>
      <c r="H7" s="9"/>
      <c r="I7" s="10">
        <v>1</v>
      </c>
      <c r="J7" s="10">
        <f t="shared" si="1"/>
        <v>0</v>
      </c>
      <c r="K7" s="9">
        <f t="shared" si="2"/>
        <v>0</v>
      </c>
      <c r="L7" s="9" t="s">
        <v>138</v>
      </c>
      <c r="M7" s="11" t="s">
        <v>259</v>
      </c>
      <c r="N7" s="12" t="str">
        <f t="shared" si="3"/>
        <v>Gen Hardware|Thorlabs|HW-KIT6</v>
      </c>
      <c r="O7" s="12">
        <f t="shared" si="4"/>
        <v>1</v>
      </c>
      <c r="P7" s="12"/>
      <c r="Q7" s="12"/>
      <c r="R7" s="12" t="s">
        <v>138</v>
      </c>
      <c r="S7" s="13" t="s">
        <v>259</v>
      </c>
      <c r="T7" s="13"/>
      <c r="U7" s="11"/>
      <c r="V7" s="11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</row>
    <row r="8" spans="1:42" ht="22.5" customHeight="1">
      <c r="A8" s="8"/>
      <c r="B8" s="9" t="s">
        <v>253</v>
      </c>
      <c r="C8" s="10">
        <v>0</v>
      </c>
      <c r="D8" s="10">
        <v>1</v>
      </c>
      <c r="E8" s="10"/>
      <c r="F8" s="10"/>
      <c r="G8" s="10">
        <f t="shared" si="0"/>
        <v>1</v>
      </c>
      <c r="H8" s="9"/>
      <c r="I8" s="10">
        <v>1</v>
      </c>
      <c r="J8" s="10">
        <f t="shared" si="1"/>
        <v>1</v>
      </c>
      <c r="K8" s="9">
        <f t="shared" si="2"/>
        <v>0</v>
      </c>
      <c r="L8" s="9" t="s">
        <v>138</v>
      </c>
      <c r="M8" s="11" t="s">
        <v>546</v>
      </c>
      <c r="N8" s="12" t="str">
        <f t="shared" si="3"/>
        <v>Gen Hardware|Thorlabs|HKTS-KIT</v>
      </c>
      <c r="O8" s="12">
        <f t="shared" si="4"/>
        <v>1</v>
      </c>
      <c r="P8" s="12"/>
      <c r="Q8" s="12"/>
      <c r="R8" s="13"/>
      <c r="S8" s="13"/>
      <c r="T8" s="13"/>
      <c r="U8" s="11"/>
      <c r="V8" s="11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</row>
    <row r="9" spans="1:42" ht="22.5" hidden="1" customHeight="1">
      <c r="A9" s="8"/>
      <c r="B9" s="9"/>
      <c r="C9" s="10"/>
      <c r="D9" s="10"/>
      <c r="E9" s="10"/>
      <c r="F9" s="10"/>
      <c r="G9" s="10">
        <f t="shared" si="0"/>
        <v>0</v>
      </c>
      <c r="H9" s="9"/>
      <c r="I9" s="10">
        <v>1</v>
      </c>
      <c r="J9" s="10">
        <f t="shared" si="1"/>
        <v>0</v>
      </c>
      <c r="K9" s="9">
        <f t="shared" si="2"/>
        <v>0</v>
      </c>
      <c r="L9" s="11" t="s">
        <v>32</v>
      </c>
      <c r="M9" s="11" t="s">
        <v>44</v>
      </c>
      <c r="N9" s="12" t="str">
        <f t="shared" si="3"/>
        <v>|CUSTOM|custom-001</v>
      </c>
      <c r="O9" s="12">
        <f t="shared" si="4"/>
        <v>1</v>
      </c>
      <c r="P9" s="12"/>
      <c r="Q9" s="12"/>
      <c r="R9" s="13"/>
      <c r="S9" s="13"/>
      <c r="T9" s="13" t="s">
        <v>45</v>
      </c>
      <c r="U9" s="11" t="s">
        <v>46</v>
      </c>
      <c r="V9" s="11"/>
    </row>
    <row r="10" spans="1:42" ht="22.5" hidden="1" customHeight="1">
      <c r="A10" s="8"/>
      <c r="B10" s="9"/>
      <c r="C10" s="10"/>
      <c r="D10" s="10"/>
      <c r="E10" s="10"/>
      <c r="F10" s="10"/>
      <c r="G10" s="10">
        <f t="shared" si="0"/>
        <v>0</v>
      </c>
      <c r="H10" s="9"/>
      <c r="I10" s="10">
        <v>1</v>
      </c>
      <c r="J10" s="10">
        <f t="shared" si="1"/>
        <v>0</v>
      </c>
      <c r="K10" s="9">
        <f t="shared" si="2"/>
        <v>0</v>
      </c>
      <c r="L10" s="11" t="s">
        <v>32</v>
      </c>
      <c r="M10" s="11" t="s">
        <v>47</v>
      </c>
      <c r="N10" s="12" t="str">
        <f t="shared" si="3"/>
        <v>|CUSTOM|custom-002</v>
      </c>
      <c r="O10" s="12">
        <f t="shared" si="4"/>
        <v>1</v>
      </c>
      <c r="P10" s="12"/>
      <c r="Q10" s="12"/>
      <c r="R10" s="13"/>
      <c r="S10" s="13"/>
      <c r="T10" s="13" t="s">
        <v>48</v>
      </c>
      <c r="U10" s="11" t="s">
        <v>46</v>
      </c>
      <c r="V10" s="11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</row>
    <row r="11" spans="1:42" ht="22.5" hidden="1" customHeight="1">
      <c r="A11" s="8"/>
      <c r="B11" s="9"/>
      <c r="C11" s="10"/>
      <c r="D11" s="10"/>
      <c r="E11" s="10">
        <v>1</v>
      </c>
      <c r="F11" s="10"/>
      <c r="G11" s="10">
        <f t="shared" si="0"/>
        <v>0</v>
      </c>
      <c r="H11" s="9"/>
      <c r="I11" s="10">
        <v>1</v>
      </c>
      <c r="J11" s="10">
        <f t="shared" si="1"/>
        <v>0</v>
      </c>
      <c r="K11" s="9">
        <f t="shared" si="2"/>
        <v>0</v>
      </c>
      <c r="L11" s="11" t="s">
        <v>32</v>
      </c>
      <c r="M11" s="11" t="s">
        <v>49</v>
      </c>
      <c r="N11" s="12" t="str">
        <f t="shared" si="3"/>
        <v>|CUSTOM|custom-003</v>
      </c>
      <c r="O11" s="12">
        <f t="shared" si="4"/>
        <v>1</v>
      </c>
      <c r="P11" s="12"/>
      <c r="Q11" s="12"/>
      <c r="R11" s="13"/>
      <c r="S11" s="13"/>
      <c r="T11" s="13" t="s">
        <v>50</v>
      </c>
      <c r="U11" s="11" t="s">
        <v>46</v>
      </c>
      <c r="V11" s="11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</row>
    <row r="12" spans="1:42" ht="22.5" hidden="1" customHeight="1">
      <c r="A12" s="8"/>
      <c r="B12" s="9"/>
      <c r="C12" s="10"/>
      <c r="D12" s="10"/>
      <c r="E12" s="10">
        <v>1</v>
      </c>
      <c r="F12" s="10"/>
      <c r="G12" s="10">
        <f t="shared" si="0"/>
        <v>0</v>
      </c>
      <c r="H12" s="9"/>
      <c r="I12" s="10">
        <v>1</v>
      </c>
      <c r="J12" s="10">
        <f t="shared" si="1"/>
        <v>0</v>
      </c>
      <c r="K12" s="9">
        <f t="shared" si="2"/>
        <v>0</v>
      </c>
      <c r="L12" s="11" t="s">
        <v>32</v>
      </c>
      <c r="M12" s="11" t="s">
        <v>51</v>
      </c>
      <c r="N12" s="12" t="str">
        <f t="shared" si="3"/>
        <v>|CUSTOM|custom-004</v>
      </c>
      <c r="O12" s="12">
        <f t="shared" si="4"/>
        <v>1</v>
      </c>
      <c r="P12" s="12"/>
      <c r="Q12" s="12"/>
      <c r="R12" s="13"/>
      <c r="S12" s="13"/>
      <c r="T12" s="13" t="s">
        <v>52</v>
      </c>
      <c r="U12" s="11" t="s">
        <v>46</v>
      </c>
      <c r="V12" s="11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</row>
    <row r="13" spans="1:42" ht="22.5" hidden="1" customHeight="1">
      <c r="A13" s="8"/>
      <c r="B13" s="9"/>
      <c r="C13" s="10"/>
      <c r="D13" s="10"/>
      <c r="E13" s="10">
        <v>1</v>
      </c>
      <c r="F13" s="10"/>
      <c r="G13" s="10">
        <f t="shared" si="0"/>
        <v>0</v>
      </c>
      <c r="H13" s="9"/>
      <c r="I13" s="10">
        <v>1</v>
      </c>
      <c r="J13" s="10">
        <f t="shared" si="1"/>
        <v>0</v>
      </c>
      <c r="K13" s="9">
        <f t="shared" si="2"/>
        <v>0</v>
      </c>
      <c r="L13" s="11" t="s">
        <v>32</v>
      </c>
      <c r="M13" s="11" t="s">
        <v>53</v>
      </c>
      <c r="N13" s="12" t="str">
        <f t="shared" si="3"/>
        <v>|CUSTOM|custom-005</v>
      </c>
      <c r="O13" s="12">
        <f t="shared" si="4"/>
        <v>1</v>
      </c>
      <c r="P13" s="12"/>
      <c r="Q13" s="12"/>
      <c r="R13" s="13"/>
      <c r="S13" s="13"/>
      <c r="T13" s="13" t="s">
        <v>54</v>
      </c>
      <c r="U13" s="11" t="s">
        <v>46</v>
      </c>
      <c r="V13" s="11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</row>
    <row r="14" spans="1:42" ht="22.5" hidden="1" customHeight="1">
      <c r="A14" s="8"/>
      <c r="B14" s="9"/>
      <c r="C14" s="10"/>
      <c r="D14" s="10"/>
      <c r="E14" s="10">
        <v>1</v>
      </c>
      <c r="F14" s="10"/>
      <c r="G14" s="10">
        <f t="shared" si="0"/>
        <v>0</v>
      </c>
      <c r="H14" s="9"/>
      <c r="I14" s="10">
        <v>1</v>
      </c>
      <c r="J14" s="10">
        <f t="shared" si="1"/>
        <v>0</v>
      </c>
      <c r="K14" s="9">
        <f t="shared" si="2"/>
        <v>0</v>
      </c>
      <c r="L14" s="11" t="s">
        <v>32</v>
      </c>
      <c r="M14" s="11" t="s">
        <v>55</v>
      </c>
      <c r="N14" s="12" t="str">
        <f t="shared" si="3"/>
        <v>|CUSTOM|custom-006</v>
      </c>
      <c r="O14" s="12">
        <f t="shared" si="4"/>
        <v>1</v>
      </c>
      <c r="P14" s="12"/>
      <c r="Q14" s="12"/>
      <c r="R14" s="13"/>
      <c r="S14" s="13"/>
      <c r="T14" s="13" t="s">
        <v>56</v>
      </c>
      <c r="U14" s="11" t="s">
        <v>46</v>
      </c>
      <c r="V14" s="11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</row>
    <row r="15" spans="1:42" ht="22.5" hidden="1" customHeight="1">
      <c r="A15" s="8"/>
      <c r="B15" s="9"/>
      <c r="C15" s="10"/>
      <c r="D15" s="10"/>
      <c r="E15" s="10">
        <v>1</v>
      </c>
      <c r="F15" s="10"/>
      <c r="G15" s="10">
        <f t="shared" si="0"/>
        <v>0</v>
      </c>
      <c r="H15" s="9"/>
      <c r="I15" s="10">
        <v>1</v>
      </c>
      <c r="J15" s="10">
        <f t="shared" si="1"/>
        <v>0</v>
      </c>
      <c r="K15" s="9">
        <f t="shared" si="2"/>
        <v>0</v>
      </c>
      <c r="L15" s="11" t="s">
        <v>32</v>
      </c>
      <c r="M15" s="11" t="s">
        <v>57</v>
      </c>
      <c r="N15" s="12" t="str">
        <f t="shared" si="3"/>
        <v>|CUSTOM|custom-007</v>
      </c>
      <c r="O15" s="12">
        <f t="shared" si="4"/>
        <v>1</v>
      </c>
      <c r="P15" s="12"/>
      <c r="Q15" s="12"/>
      <c r="R15" s="13"/>
      <c r="S15" s="13"/>
      <c r="T15" s="13" t="s">
        <v>41</v>
      </c>
      <c r="U15" s="11" t="s">
        <v>46</v>
      </c>
      <c r="V15" s="11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</row>
    <row r="16" spans="1:42" ht="22.5" hidden="1" customHeight="1">
      <c r="A16" s="8"/>
      <c r="B16" s="9"/>
      <c r="C16" s="10"/>
      <c r="D16" s="10"/>
      <c r="E16" s="10">
        <v>1</v>
      </c>
      <c r="F16" s="10"/>
      <c r="G16" s="10">
        <f t="shared" si="0"/>
        <v>0</v>
      </c>
      <c r="H16" s="9"/>
      <c r="I16" s="10">
        <v>1</v>
      </c>
      <c r="J16" s="10">
        <f t="shared" si="1"/>
        <v>0</v>
      </c>
      <c r="K16" s="9">
        <f t="shared" si="2"/>
        <v>0</v>
      </c>
      <c r="L16" s="11" t="s">
        <v>32</v>
      </c>
      <c r="M16" s="11" t="s">
        <v>58</v>
      </c>
      <c r="N16" s="12" t="str">
        <f t="shared" si="3"/>
        <v>|CUSTOM|custom-008</v>
      </c>
      <c r="O16" s="12">
        <f t="shared" si="4"/>
        <v>1</v>
      </c>
      <c r="P16" s="12"/>
      <c r="Q16" s="12"/>
      <c r="R16" s="13"/>
      <c r="S16" s="13"/>
      <c r="T16" s="13" t="s">
        <v>59</v>
      </c>
      <c r="U16" s="11" t="s">
        <v>46</v>
      </c>
      <c r="V16" s="11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</row>
    <row r="17" spans="1:42" ht="22.5" hidden="1" customHeight="1">
      <c r="A17" s="8"/>
      <c r="B17" s="9"/>
      <c r="C17" s="10"/>
      <c r="D17" s="10"/>
      <c r="E17" s="10">
        <v>1</v>
      </c>
      <c r="F17" s="10"/>
      <c r="G17" s="10">
        <f t="shared" si="0"/>
        <v>0</v>
      </c>
      <c r="H17" s="9"/>
      <c r="I17" s="10">
        <v>1</v>
      </c>
      <c r="J17" s="10">
        <f t="shared" si="1"/>
        <v>0</v>
      </c>
      <c r="K17" s="9">
        <f t="shared" si="2"/>
        <v>0</v>
      </c>
      <c r="L17" s="11" t="s">
        <v>32</v>
      </c>
      <c r="M17" s="11" t="s">
        <v>60</v>
      </c>
      <c r="N17" s="12" t="str">
        <f t="shared" si="3"/>
        <v>|CUSTOM|custom-009</v>
      </c>
      <c r="O17" s="12">
        <f t="shared" si="4"/>
        <v>1</v>
      </c>
      <c r="P17" s="12"/>
      <c r="Q17" s="12"/>
      <c r="R17" s="13"/>
      <c r="S17" s="13"/>
      <c r="T17" s="13" t="s">
        <v>61</v>
      </c>
      <c r="U17" s="11" t="s">
        <v>46</v>
      </c>
      <c r="V17" s="11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</row>
    <row r="18" spans="1:42" ht="22.5" hidden="1" customHeight="1">
      <c r="A18" s="8"/>
      <c r="B18" s="9"/>
      <c r="C18" s="10"/>
      <c r="D18" s="10"/>
      <c r="E18" s="10">
        <v>1</v>
      </c>
      <c r="F18" s="10"/>
      <c r="G18" s="10">
        <f t="shared" si="0"/>
        <v>0</v>
      </c>
      <c r="H18" s="9"/>
      <c r="I18" s="10">
        <v>1</v>
      </c>
      <c r="J18" s="10">
        <f t="shared" si="1"/>
        <v>0</v>
      </c>
      <c r="K18" s="9">
        <f t="shared" si="2"/>
        <v>0</v>
      </c>
      <c r="L18" s="11" t="s">
        <v>32</v>
      </c>
      <c r="M18" s="11" t="s">
        <v>62</v>
      </c>
      <c r="N18" s="12" t="str">
        <f t="shared" si="3"/>
        <v>|CUSTOM|custom-010</v>
      </c>
      <c r="O18" s="12">
        <f t="shared" si="4"/>
        <v>1</v>
      </c>
      <c r="P18" s="12"/>
      <c r="Q18" s="12"/>
      <c r="R18" s="13"/>
      <c r="S18" s="13"/>
      <c r="T18" s="13" t="s">
        <v>63</v>
      </c>
      <c r="U18" s="11" t="s">
        <v>46</v>
      </c>
      <c r="V18" s="11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</row>
    <row r="19" spans="1:42" ht="22.5" hidden="1" customHeight="1">
      <c r="A19" s="8"/>
      <c r="B19" s="9"/>
      <c r="C19" s="10"/>
      <c r="D19" s="10"/>
      <c r="E19" s="10">
        <v>1</v>
      </c>
      <c r="F19" s="10"/>
      <c r="G19" s="10">
        <f t="shared" si="0"/>
        <v>0</v>
      </c>
      <c r="H19" s="9"/>
      <c r="I19" s="10">
        <v>1</v>
      </c>
      <c r="J19" s="10">
        <f t="shared" si="1"/>
        <v>0</v>
      </c>
      <c r="K19" s="9">
        <f t="shared" si="2"/>
        <v>0</v>
      </c>
      <c r="L19" s="11" t="s">
        <v>32</v>
      </c>
      <c r="M19" s="11" t="s">
        <v>64</v>
      </c>
      <c r="N19" s="12" t="str">
        <f t="shared" si="3"/>
        <v>|CUSTOM|custom-011</v>
      </c>
      <c r="O19" s="12">
        <f t="shared" si="4"/>
        <v>1</v>
      </c>
      <c r="P19" s="12"/>
      <c r="Q19" s="12"/>
      <c r="R19" s="13"/>
      <c r="S19" s="13"/>
      <c r="T19" s="13" t="s">
        <v>65</v>
      </c>
      <c r="U19" s="11" t="s">
        <v>46</v>
      </c>
      <c r="V19" s="11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</row>
    <row r="20" spans="1:42" ht="22.5" hidden="1" customHeight="1">
      <c r="A20" s="8"/>
      <c r="B20" s="9"/>
      <c r="C20" s="10"/>
      <c r="D20" s="10"/>
      <c r="E20" s="10">
        <v>1</v>
      </c>
      <c r="F20" s="10"/>
      <c r="G20" s="10">
        <f t="shared" si="0"/>
        <v>0</v>
      </c>
      <c r="H20" s="9"/>
      <c r="I20" s="10">
        <v>1</v>
      </c>
      <c r="J20" s="10">
        <f t="shared" si="1"/>
        <v>0</v>
      </c>
      <c r="K20" s="9">
        <f t="shared" si="2"/>
        <v>0</v>
      </c>
      <c r="L20" s="11" t="s">
        <v>32</v>
      </c>
      <c r="M20" s="11" t="s">
        <v>66</v>
      </c>
      <c r="N20" s="12" t="str">
        <f t="shared" si="3"/>
        <v>|CUSTOM|custom-012</v>
      </c>
      <c r="O20" s="12">
        <f t="shared" si="4"/>
        <v>1</v>
      </c>
      <c r="P20" s="12"/>
      <c r="Q20" s="12"/>
      <c r="R20" s="13"/>
      <c r="S20" s="13"/>
      <c r="T20" s="13" t="s">
        <v>39</v>
      </c>
      <c r="U20" s="11" t="s">
        <v>46</v>
      </c>
      <c r="V20" s="11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</row>
    <row r="21" spans="1:42" ht="22.5" hidden="1" customHeight="1">
      <c r="A21" s="8"/>
      <c r="B21" s="9"/>
      <c r="C21" s="10"/>
      <c r="D21" s="10"/>
      <c r="E21" s="10">
        <v>1</v>
      </c>
      <c r="F21" s="10"/>
      <c r="G21" s="10">
        <f t="shared" si="0"/>
        <v>0</v>
      </c>
      <c r="H21" s="9"/>
      <c r="I21" s="10">
        <v>1</v>
      </c>
      <c r="J21" s="10">
        <f t="shared" si="1"/>
        <v>0</v>
      </c>
      <c r="K21" s="9">
        <f t="shared" si="2"/>
        <v>0</v>
      </c>
      <c r="L21" s="11" t="s">
        <v>32</v>
      </c>
      <c r="M21" s="11" t="s">
        <v>67</v>
      </c>
      <c r="N21" s="12" t="str">
        <f t="shared" si="3"/>
        <v>|CUSTOM|custom-013</v>
      </c>
      <c r="O21" s="12">
        <f t="shared" si="4"/>
        <v>1</v>
      </c>
      <c r="P21" s="12"/>
      <c r="Q21" s="12"/>
      <c r="R21" s="13"/>
      <c r="S21" s="13"/>
      <c r="T21" s="13" t="s">
        <v>68</v>
      </c>
      <c r="U21" s="11" t="s">
        <v>46</v>
      </c>
      <c r="V21" s="11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</row>
    <row r="22" spans="1:42" ht="22.5" customHeight="1">
      <c r="A22" s="8"/>
      <c r="B22" s="9" t="s">
        <v>253</v>
      </c>
      <c r="C22" s="10">
        <v>0</v>
      </c>
      <c r="D22" s="10">
        <v>1</v>
      </c>
      <c r="E22" s="10"/>
      <c r="F22" s="10"/>
      <c r="G22" s="10">
        <f t="shared" si="0"/>
        <v>1</v>
      </c>
      <c r="H22" s="9"/>
      <c r="I22" s="10">
        <v>1</v>
      </c>
      <c r="J22" s="10">
        <f t="shared" si="1"/>
        <v>1</v>
      </c>
      <c r="K22" s="9">
        <f t="shared" si="2"/>
        <v>0</v>
      </c>
      <c r="L22" s="9" t="s">
        <v>138</v>
      </c>
      <c r="M22" s="11" t="s">
        <v>547</v>
      </c>
      <c r="N22" s="12" t="str">
        <f t="shared" si="3"/>
        <v>Gen Hardware|Thorlabs|TC2</v>
      </c>
      <c r="O22" s="12">
        <f t="shared" si="4"/>
        <v>1</v>
      </c>
      <c r="P22" s="12"/>
      <c r="Q22" s="12"/>
      <c r="R22" s="13"/>
      <c r="S22" s="13"/>
      <c r="T22" s="13"/>
      <c r="U22" s="11"/>
      <c r="V22" s="11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</row>
    <row r="23" spans="1:42" ht="22.5" customHeight="1">
      <c r="A23" s="8"/>
      <c r="B23" s="9" t="s">
        <v>253</v>
      </c>
      <c r="C23" s="10">
        <v>0</v>
      </c>
      <c r="D23" s="10">
        <v>1</v>
      </c>
      <c r="E23" s="10"/>
      <c r="F23" s="10"/>
      <c r="G23" s="10">
        <f t="shared" si="0"/>
        <v>1</v>
      </c>
      <c r="H23" s="9"/>
      <c r="I23" s="10">
        <v>1</v>
      </c>
      <c r="J23" s="10">
        <f t="shared" si="1"/>
        <v>1</v>
      </c>
      <c r="K23" s="9">
        <f t="shared" si="2"/>
        <v>0</v>
      </c>
      <c r="L23" s="9" t="s">
        <v>138</v>
      </c>
      <c r="M23" s="11" t="s">
        <v>548</v>
      </c>
      <c r="N23" s="12" t="str">
        <f t="shared" si="3"/>
        <v>Gen Hardware|Thorlabs|SPW301</v>
      </c>
      <c r="O23" s="12">
        <f t="shared" si="4"/>
        <v>1</v>
      </c>
      <c r="P23" s="12"/>
      <c r="Q23" s="12"/>
      <c r="R23" s="13"/>
      <c r="S23" s="13"/>
      <c r="T23" s="13"/>
      <c r="U23" s="11"/>
      <c r="V23" s="11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</row>
    <row r="24" spans="1:42" ht="22.5" customHeight="1">
      <c r="A24" s="8"/>
      <c r="B24" s="9" t="s">
        <v>253</v>
      </c>
      <c r="C24" s="10">
        <v>0</v>
      </c>
      <c r="D24" s="10">
        <v>1</v>
      </c>
      <c r="E24" s="10"/>
      <c r="F24" s="10"/>
      <c r="G24" s="10">
        <f t="shared" si="0"/>
        <v>1</v>
      </c>
      <c r="H24" s="9"/>
      <c r="I24" s="10">
        <v>1</v>
      </c>
      <c r="J24" s="10">
        <f t="shared" si="1"/>
        <v>1</v>
      </c>
      <c r="K24" s="9">
        <f t="shared" si="2"/>
        <v>0</v>
      </c>
      <c r="L24" s="9" t="s">
        <v>138</v>
      </c>
      <c r="M24" s="11" t="s">
        <v>550</v>
      </c>
      <c r="N24" s="12" t="str">
        <f t="shared" si="3"/>
        <v>Gen Hardware|Thorlabs|CA4-US</v>
      </c>
      <c r="O24" s="12">
        <f t="shared" si="4"/>
        <v>1</v>
      </c>
      <c r="P24" s="12"/>
      <c r="Q24" s="12"/>
      <c r="R24" s="13"/>
      <c r="S24" s="13"/>
      <c r="T24" s="13"/>
      <c r="U24" s="11"/>
      <c r="V24" s="11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</row>
    <row r="25" spans="1:42" ht="22.5" customHeight="1">
      <c r="A25" s="8"/>
      <c r="B25" s="9" t="s">
        <v>253</v>
      </c>
      <c r="C25" s="10">
        <v>0</v>
      </c>
      <c r="D25" s="10">
        <v>1</v>
      </c>
      <c r="E25" s="10"/>
      <c r="F25" s="10"/>
      <c r="G25" s="10">
        <f t="shared" si="0"/>
        <v>1</v>
      </c>
      <c r="H25" s="9"/>
      <c r="I25" s="10">
        <v>1</v>
      </c>
      <c r="J25" s="10">
        <f t="shared" si="1"/>
        <v>1</v>
      </c>
      <c r="K25" s="9">
        <f t="shared" si="2"/>
        <v>0</v>
      </c>
      <c r="L25" s="9" t="s">
        <v>138</v>
      </c>
      <c r="M25" s="11" t="s">
        <v>551</v>
      </c>
      <c r="N25" s="12" t="str">
        <f t="shared" si="3"/>
        <v>Gen Hardware|Thorlabs|PLW33</v>
      </c>
      <c r="O25" s="12">
        <f t="shared" si="4"/>
        <v>1</v>
      </c>
      <c r="P25" s="12"/>
      <c r="Q25" s="12"/>
      <c r="R25" s="13"/>
      <c r="S25" s="13"/>
      <c r="T25" s="13"/>
      <c r="U25" s="11"/>
      <c r="V25" s="11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</row>
    <row r="26" spans="1:42" ht="22.5" customHeight="1">
      <c r="A26" s="8"/>
      <c r="B26" s="9" t="s">
        <v>253</v>
      </c>
      <c r="C26" s="10">
        <v>0</v>
      </c>
      <c r="D26" s="10">
        <v>1</v>
      </c>
      <c r="E26" s="10"/>
      <c r="F26" s="10"/>
      <c r="G26" s="10">
        <f t="shared" si="0"/>
        <v>1</v>
      </c>
      <c r="H26" s="9"/>
      <c r="I26" s="10">
        <v>1</v>
      </c>
      <c r="J26" s="10">
        <f t="shared" si="1"/>
        <v>1</v>
      </c>
      <c r="K26" s="9">
        <f t="shared" si="2"/>
        <v>0</v>
      </c>
      <c r="L26" s="9" t="s">
        <v>138</v>
      </c>
      <c r="M26" s="11" t="s">
        <v>552</v>
      </c>
      <c r="N26" s="12" t="str">
        <f t="shared" si="3"/>
        <v>Gen Hardware|Thorlabs|VRC3</v>
      </c>
      <c r="O26" s="12">
        <f t="shared" si="4"/>
        <v>1</v>
      </c>
      <c r="P26" s="12"/>
      <c r="Q26" s="12"/>
      <c r="R26" s="13"/>
      <c r="S26" s="13"/>
      <c r="T26" s="13"/>
      <c r="U26" s="11"/>
      <c r="V26" s="11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</row>
    <row r="27" spans="1:42" ht="22.5" customHeight="1">
      <c r="A27" s="8"/>
      <c r="B27" s="9" t="s">
        <v>253</v>
      </c>
      <c r="C27" s="10">
        <v>0</v>
      </c>
      <c r="D27" s="10">
        <v>1</v>
      </c>
      <c r="E27" s="10"/>
      <c r="F27" s="10"/>
      <c r="G27" s="10">
        <f t="shared" si="0"/>
        <v>1</v>
      </c>
      <c r="H27" s="9"/>
      <c r="I27" s="10">
        <v>1</v>
      </c>
      <c r="J27" s="10">
        <f t="shared" si="1"/>
        <v>1</v>
      </c>
      <c r="K27" s="9">
        <f t="shared" si="2"/>
        <v>0</v>
      </c>
      <c r="L27" s="9" t="s">
        <v>106</v>
      </c>
      <c r="M27" s="11" t="s">
        <v>553</v>
      </c>
      <c r="N27" s="12" t="str">
        <f t="shared" si="3"/>
        <v>Gen Hardware|McMaster-Carr|1992T41</v>
      </c>
      <c r="O27" s="12">
        <f t="shared" si="4"/>
        <v>1</v>
      </c>
      <c r="P27" s="12"/>
      <c r="Q27" s="12"/>
      <c r="R27" s="13"/>
      <c r="S27" s="13"/>
      <c r="T27" s="12" t="s">
        <v>554</v>
      </c>
      <c r="U27" s="11"/>
      <c r="V27" s="11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</row>
    <row r="28" spans="1:42" ht="22.5" customHeight="1">
      <c r="A28" s="8"/>
      <c r="B28" s="9" t="s">
        <v>253</v>
      </c>
      <c r="C28" s="10">
        <v>0</v>
      </c>
      <c r="D28" s="10">
        <v>0</v>
      </c>
      <c r="E28" s="10"/>
      <c r="F28" s="10"/>
      <c r="G28" s="10">
        <f t="shared" si="0"/>
        <v>0</v>
      </c>
      <c r="H28" s="9"/>
      <c r="I28" s="10">
        <v>50</v>
      </c>
      <c r="J28" s="10">
        <f t="shared" si="1"/>
        <v>0</v>
      </c>
      <c r="K28" s="9">
        <f t="shared" si="2"/>
        <v>0</v>
      </c>
      <c r="L28" s="9" t="s">
        <v>138</v>
      </c>
      <c r="M28" s="11" t="s">
        <v>556</v>
      </c>
      <c r="N28" s="12" t="str">
        <f t="shared" si="3"/>
        <v>Gen Hardware|Thorlabs|SH25LP63</v>
      </c>
      <c r="O28" s="12">
        <f t="shared" si="4"/>
        <v>1</v>
      </c>
      <c r="P28" s="12"/>
      <c r="Q28" s="12"/>
      <c r="R28" s="13"/>
      <c r="S28" s="13"/>
      <c r="T28" s="13"/>
      <c r="U28" s="11"/>
      <c r="V28" s="11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</row>
    <row r="29" spans="1:42" ht="22.5" customHeight="1">
      <c r="A29" s="8"/>
      <c r="B29" s="9" t="s">
        <v>31</v>
      </c>
      <c r="C29" s="10">
        <v>1</v>
      </c>
      <c r="D29" s="10"/>
      <c r="E29" s="10">
        <v>1</v>
      </c>
      <c r="F29" s="10"/>
      <c r="G29" s="10">
        <f t="shared" si="0"/>
        <v>0</v>
      </c>
      <c r="H29" s="9"/>
      <c r="I29" s="10">
        <v>1</v>
      </c>
      <c r="J29" s="10">
        <f t="shared" si="1"/>
        <v>0</v>
      </c>
      <c r="K29" s="9">
        <f t="shared" si="2"/>
        <v>0</v>
      </c>
      <c r="L29" s="11" t="s">
        <v>32</v>
      </c>
      <c r="M29" s="11" t="s">
        <v>33</v>
      </c>
      <c r="N29" s="12" t="str">
        <f t="shared" si="3"/>
        <v>Illumination|CUSTOM|3DP-eye-mask-mount</v>
      </c>
      <c r="O29" s="12">
        <f t="shared" si="4"/>
        <v>1</v>
      </c>
      <c r="P29" s="12"/>
      <c r="Q29" s="12"/>
      <c r="R29" s="13"/>
      <c r="S29" s="13"/>
      <c r="T29" s="13" t="s">
        <v>34</v>
      </c>
      <c r="U29" s="11" t="s">
        <v>26</v>
      </c>
      <c r="V29" s="11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</row>
    <row r="30" spans="1:42" ht="22.5" customHeight="1">
      <c r="A30" s="8"/>
      <c r="B30" s="9" t="s">
        <v>31</v>
      </c>
      <c r="C30" s="10">
        <v>1</v>
      </c>
      <c r="D30" s="10"/>
      <c r="E30" s="10">
        <v>1</v>
      </c>
      <c r="F30" s="10"/>
      <c r="G30" s="10">
        <f t="shared" si="0"/>
        <v>0</v>
      </c>
      <c r="H30" s="9"/>
      <c r="I30" s="10">
        <v>1</v>
      </c>
      <c r="J30" s="10">
        <f t="shared" si="1"/>
        <v>0</v>
      </c>
      <c r="K30" s="9">
        <f t="shared" si="2"/>
        <v>0</v>
      </c>
      <c r="L30" s="11" t="s">
        <v>32</v>
      </c>
      <c r="M30" s="11" t="s">
        <v>40</v>
      </c>
      <c r="N30" s="12" t="str">
        <f t="shared" si="3"/>
        <v>Illumination|CUSTOM|CNC-galvo-to-60mm-adapter</v>
      </c>
      <c r="O30" s="12">
        <f t="shared" si="4"/>
        <v>1</v>
      </c>
      <c r="P30" s="12" t="s">
        <v>38</v>
      </c>
      <c r="Q30" s="12"/>
      <c r="R30" s="13"/>
      <c r="S30" s="13"/>
      <c r="T30" s="13" t="s">
        <v>41</v>
      </c>
      <c r="U30" s="11" t="s">
        <v>26</v>
      </c>
      <c r="V30" s="11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</row>
    <row r="31" spans="1:42" ht="22.5" customHeight="1">
      <c r="A31" s="8"/>
      <c r="B31" s="9" t="s">
        <v>31</v>
      </c>
      <c r="C31" s="10">
        <v>1</v>
      </c>
      <c r="D31" s="10"/>
      <c r="E31" s="10">
        <v>1</v>
      </c>
      <c r="F31" s="10"/>
      <c r="G31" s="10">
        <f t="shared" si="0"/>
        <v>0</v>
      </c>
      <c r="H31" s="9"/>
      <c r="I31" s="10">
        <v>1</v>
      </c>
      <c r="J31" s="10">
        <f t="shared" si="1"/>
        <v>0</v>
      </c>
      <c r="K31" s="9">
        <f t="shared" si="2"/>
        <v>0</v>
      </c>
      <c r="L31" s="11" t="s">
        <v>32</v>
      </c>
      <c r="M31" s="11" t="s">
        <v>69</v>
      </c>
      <c r="N31" s="12" t="str">
        <f t="shared" si="3"/>
        <v>Illumination|CUSTOM|Customized optical mask</v>
      </c>
      <c r="O31" s="12">
        <f t="shared" si="4"/>
        <v>1</v>
      </c>
      <c r="P31" s="12"/>
      <c r="Q31" s="12"/>
      <c r="R31" s="13"/>
      <c r="S31" s="13"/>
      <c r="T31" s="13" t="s">
        <v>70</v>
      </c>
      <c r="U31" s="11"/>
      <c r="V31" s="11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</row>
    <row r="32" spans="1:42" ht="22.5" customHeight="1">
      <c r="A32" s="8"/>
      <c r="B32" s="9" t="s">
        <v>31</v>
      </c>
      <c r="C32" s="10">
        <v>1</v>
      </c>
      <c r="D32" s="10"/>
      <c r="E32" s="10">
        <v>1</v>
      </c>
      <c r="F32" s="10"/>
      <c r="G32" s="10">
        <f t="shared" si="0"/>
        <v>0</v>
      </c>
      <c r="H32" s="9"/>
      <c r="I32" s="10">
        <v>1</v>
      </c>
      <c r="J32" s="10">
        <v>1</v>
      </c>
      <c r="K32" s="9">
        <f t="shared" si="2"/>
        <v>0</v>
      </c>
      <c r="L32" s="11" t="s">
        <v>74</v>
      </c>
      <c r="M32" s="11" t="s">
        <v>75</v>
      </c>
      <c r="N32" s="12" t="str">
        <f t="shared" si="3"/>
        <v>Illumination|Edmund Optics|16-043</v>
      </c>
      <c r="O32" s="12">
        <f t="shared" si="4"/>
        <v>1</v>
      </c>
      <c r="P32" s="12"/>
      <c r="Q32" s="12"/>
      <c r="R32" s="13" t="s">
        <v>76</v>
      </c>
      <c r="S32" s="13" t="s">
        <v>77</v>
      </c>
      <c r="T32" s="13" t="s">
        <v>78</v>
      </c>
      <c r="U32" s="15" t="s">
        <v>597</v>
      </c>
      <c r="V32" s="11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</row>
    <row r="33" spans="1:42" ht="22.5" customHeight="1">
      <c r="A33" s="8"/>
      <c r="B33" s="9" t="s">
        <v>31</v>
      </c>
      <c r="C33" s="10">
        <v>1</v>
      </c>
      <c r="D33" s="10"/>
      <c r="E33" s="10">
        <v>1</v>
      </c>
      <c r="F33" s="10"/>
      <c r="G33" s="10">
        <f t="shared" si="0"/>
        <v>0</v>
      </c>
      <c r="H33" s="9"/>
      <c r="I33" s="10">
        <v>1</v>
      </c>
      <c r="J33" s="10">
        <f t="shared" ref="J33:J69" si="5">G33/I33</f>
        <v>0</v>
      </c>
      <c r="K33" s="9">
        <f t="shared" si="2"/>
        <v>0</v>
      </c>
      <c r="L33" s="11" t="s">
        <v>91</v>
      </c>
      <c r="M33" s="11" t="s">
        <v>92</v>
      </c>
      <c r="N33" s="12" t="str">
        <f t="shared" si="3"/>
        <v>Illumination|HÜBNER|Cobalt HS-03</v>
      </c>
      <c r="O33" s="12">
        <f t="shared" si="4"/>
        <v>1</v>
      </c>
      <c r="P33" s="12" t="s">
        <v>38</v>
      </c>
      <c r="Q33" s="12"/>
      <c r="R33" s="13"/>
      <c r="S33" s="13"/>
      <c r="T33" s="13" t="s">
        <v>93</v>
      </c>
      <c r="U33" s="11" t="s">
        <v>26</v>
      </c>
      <c r="V33" s="11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</row>
    <row r="34" spans="1:42" ht="22.5" customHeight="1">
      <c r="A34" s="8"/>
      <c r="B34" s="9" t="s">
        <v>31</v>
      </c>
      <c r="C34" s="10">
        <v>1</v>
      </c>
      <c r="D34" s="10"/>
      <c r="E34" s="10">
        <v>1</v>
      </c>
      <c r="F34" s="10"/>
      <c r="G34" s="10">
        <f t="shared" si="0"/>
        <v>0</v>
      </c>
      <c r="H34" s="9"/>
      <c r="I34" s="10">
        <v>1</v>
      </c>
      <c r="J34" s="10">
        <f t="shared" si="5"/>
        <v>0</v>
      </c>
      <c r="K34" s="9">
        <f t="shared" si="2"/>
        <v>0</v>
      </c>
      <c r="L34" s="11" t="s">
        <v>91</v>
      </c>
      <c r="M34" s="11" t="s">
        <v>94</v>
      </c>
      <c r="N34" s="12" t="str">
        <f t="shared" si="3"/>
        <v>Illumination|HÜBNER|Cobolt 06-MLD 515nm</v>
      </c>
      <c r="O34" s="12">
        <f t="shared" si="4"/>
        <v>1</v>
      </c>
      <c r="P34" s="12"/>
      <c r="Q34" s="12"/>
      <c r="R34" s="13"/>
      <c r="S34" s="13"/>
      <c r="T34" s="13" t="s">
        <v>95</v>
      </c>
      <c r="U34" s="16" t="s">
        <v>96</v>
      </c>
      <c r="V34" s="11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</row>
    <row r="35" spans="1:42" ht="22.5" customHeight="1">
      <c r="A35" s="8"/>
      <c r="B35" s="9" t="s">
        <v>31</v>
      </c>
      <c r="C35" s="10">
        <v>1</v>
      </c>
      <c r="D35" s="10"/>
      <c r="E35" s="10">
        <v>1</v>
      </c>
      <c r="F35" s="10"/>
      <c r="G35" s="10">
        <f t="shared" si="0"/>
        <v>0</v>
      </c>
      <c r="H35" s="9"/>
      <c r="I35" s="10">
        <v>1</v>
      </c>
      <c r="J35" s="10">
        <f t="shared" si="5"/>
        <v>0</v>
      </c>
      <c r="K35" s="9">
        <f t="shared" si="2"/>
        <v>0</v>
      </c>
      <c r="L35" s="11" t="s">
        <v>102</v>
      </c>
      <c r="M35" s="11" t="s">
        <v>103</v>
      </c>
      <c r="N35" s="12" t="str">
        <f t="shared" si="3"/>
        <v>Illumination|Laserline Optics|LOCP-8.9R05-1.4</v>
      </c>
      <c r="O35" s="12">
        <f t="shared" si="4"/>
        <v>1</v>
      </c>
      <c r="P35" s="12"/>
      <c r="Q35" s="12"/>
      <c r="R35" s="13"/>
      <c r="S35" s="13"/>
      <c r="T35" s="13" t="s">
        <v>104</v>
      </c>
      <c r="U35" s="16" t="s">
        <v>105</v>
      </c>
      <c r="V35" s="11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</row>
    <row r="36" spans="1:42" ht="22.5" customHeight="1">
      <c r="A36" s="8"/>
      <c r="B36" s="9" t="s">
        <v>31</v>
      </c>
      <c r="C36" s="10">
        <v>3</v>
      </c>
      <c r="D36" s="10">
        <v>104</v>
      </c>
      <c r="E36" s="10">
        <v>0</v>
      </c>
      <c r="F36" s="10">
        <v>100</v>
      </c>
      <c r="G36" s="10">
        <f t="shared" si="0"/>
        <v>100</v>
      </c>
      <c r="H36" s="9">
        <v>0.06</v>
      </c>
      <c r="I36" s="10">
        <v>100</v>
      </c>
      <c r="J36" s="10">
        <f t="shared" si="5"/>
        <v>1</v>
      </c>
      <c r="K36" s="9">
        <f t="shared" si="2"/>
        <v>6</v>
      </c>
      <c r="L36" s="11" t="s">
        <v>106</v>
      </c>
      <c r="M36" s="11" t="s">
        <v>109</v>
      </c>
      <c r="N36" s="12" t="str">
        <f t="shared" si="3"/>
        <v>Illumination|McMaster-Carr|91292A113</v>
      </c>
      <c r="O36" s="12">
        <f t="shared" si="4"/>
        <v>1</v>
      </c>
      <c r="P36" s="12"/>
      <c r="Q36" s="12"/>
      <c r="R36" s="13"/>
      <c r="S36" s="13"/>
      <c r="T36" s="13" t="s">
        <v>110</v>
      </c>
      <c r="U36" s="11" t="s">
        <v>111</v>
      </c>
      <c r="V36" s="11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</row>
    <row r="37" spans="1:42" ht="22.5" customHeight="1">
      <c r="A37" s="8"/>
      <c r="B37" s="9" t="s">
        <v>31</v>
      </c>
      <c r="C37" s="10">
        <v>1</v>
      </c>
      <c r="D37" s="10"/>
      <c r="E37" s="10">
        <v>1</v>
      </c>
      <c r="F37" s="10"/>
      <c r="G37" s="10">
        <f t="shared" si="0"/>
        <v>0</v>
      </c>
      <c r="H37" s="9"/>
      <c r="I37" s="10">
        <v>1</v>
      </c>
      <c r="J37" s="10">
        <f t="shared" si="5"/>
        <v>0</v>
      </c>
      <c r="K37" s="9">
        <f t="shared" si="2"/>
        <v>0</v>
      </c>
      <c r="L37" s="11" t="s">
        <v>114</v>
      </c>
      <c r="M37" s="11" t="s">
        <v>115</v>
      </c>
      <c r="N37" s="12" t="str">
        <f t="shared" si="3"/>
        <v>Illumination|Microscope Central|1-UB950-2</v>
      </c>
      <c r="O37" s="12">
        <f t="shared" si="4"/>
        <v>1</v>
      </c>
      <c r="P37" s="12"/>
      <c r="Q37" s="12"/>
      <c r="R37" s="13" t="s">
        <v>116</v>
      </c>
      <c r="S37" s="13" t="s">
        <v>117</v>
      </c>
      <c r="T37" s="13" t="s">
        <v>118</v>
      </c>
      <c r="U37" s="15" t="s">
        <v>119</v>
      </c>
      <c r="V37" s="11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</row>
    <row r="38" spans="1:42" ht="22.5" customHeight="1">
      <c r="A38" s="8"/>
      <c r="B38" s="9" t="s">
        <v>31</v>
      </c>
      <c r="C38" s="10">
        <v>1</v>
      </c>
      <c r="D38" s="10"/>
      <c r="E38" s="10">
        <v>1</v>
      </c>
      <c r="F38" s="10"/>
      <c r="G38" s="10">
        <f t="shared" si="0"/>
        <v>0</v>
      </c>
      <c r="H38" s="9"/>
      <c r="I38" s="10">
        <v>1</v>
      </c>
      <c r="J38" s="10">
        <f t="shared" si="5"/>
        <v>0</v>
      </c>
      <c r="K38" s="9">
        <f t="shared" si="2"/>
        <v>0</v>
      </c>
      <c r="L38" s="11" t="s">
        <v>138</v>
      </c>
      <c r="M38" s="11" t="s">
        <v>139</v>
      </c>
      <c r="N38" s="12" t="str">
        <f t="shared" si="3"/>
        <v>Illumination|Thorlabs|AC127-050-A-ML</v>
      </c>
      <c r="O38" s="12">
        <f t="shared" si="4"/>
        <v>1</v>
      </c>
      <c r="P38" s="12"/>
      <c r="Q38" s="12"/>
      <c r="R38" s="13" t="s">
        <v>138</v>
      </c>
      <c r="S38" s="13" t="s">
        <v>139</v>
      </c>
      <c r="T38" s="13" t="s">
        <v>140</v>
      </c>
      <c r="U38" s="16" t="s">
        <v>141</v>
      </c>
      <c r="V38" s="11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</row>
    <row r="39" spans="1:42" ht="22.5" customHeight="1">
      <c r="A39" s="8"/>
      <c r="B39" s="9" t="s">
        <v>31</v>
      </c>
      <c r="C39" s="10">
        <v>1</v>
      </c>
      <c r="D39" s="10"/>
      <c r="E39" s="10">
        <v>1</v>
      </c>
      <c r="F39" s="10"/>
      <c r="G39" s="10">
        <f t="shared" si="0"/>
        <v>0</v>
      </c>
      <c r="H39" s="9"/>
      <c r="I39" s="10">
        <v>1</v>
      </c>
      <c r="J39" s="10">
        <f t="shared" si="5"/>
        <v>0</v>
      </c>
      <c r="K39" s="9">
        <f t="shared" si="2"/>
        <v>0</v>
      </c>
      <c r="L39" s="11" t="s">
        <v>138</v>
      </c>
      <c r="M39" s="11" t="s">
        <v>142</v>
      </c>
      <c r="N39" s="12" t="str">
        <f t="shared" si="3"/>
        <v>Illumination|Thorlabs|AC127-075-A-ML</v>
      </c>
      <c r="O39" s="12">
        <f t="shared" si="4"/>
        <v>1</v>
      </c>
      <c r="P39" s="12"/>
      <c r="Q39" s="12"/>
      <c r="R39" s="13" t="s">
        <v>138</v>
      </c>
      <c r="S39" s="13" t="s">
        <v>142</v>
      </c>
      <c r="T39" s="13" t="s">
        <v>143</v>
      </c>
      <c r="U39" s="16" t="s">
        <v>144</v>
      </c>
      <c r="V39" s="11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</row>
    <row r="40" spans="1:42" ht="22.5" customHeight="1">
      <c r="A40" s="8"/>
      <c r="B40" s="9" t="s">
        <v>31</v>
      </c>
      <c r="C40" s="10">
        <v>1</v>
      </c>
      <c r="D40" s="10"/>
      <c r="E40" s="10">
        <v>1</v>
      </c>
      <c r="F40" s="10"/>
      <c r="G40" s="10">
        <f t="shared" si="0"/>
        <v>0</v>
      </c>
      <c r="H40" s="9"/>
      <c r="I40" s="10">
        <v>1</v>
      </c>
      <c r="J40" s="10">
        <f t="shared" si="5"/>
        <v>0</v>
      </c>
      <c r="K40" s="9">
        <f t="shared" si="2"/>
        <v>0</v>
      </c>
      <c r="L40" s="11" t="s">
        <v>138</v>
      </c>
      <c r="M40" s="11" t="s">
        <v>145</v>
      </c>
      <c r="N40" s="12" t="str">
        <f t="shared" si="3"/>
        <v>Illumination|Thorlabs|AC254-100-A-ML</v>
      </c>
      <c r="O40" s="12">
        <f t="shared" si="4"/>
        <v>1</v>
      </c>
      <c r="P40" s="12" t="s">
        <v>38</v>
      </c>
      <c r="Q40" s="12"/>
      <c r="R40" s="13" t="s">
        <v>138</v>
      </c>
      <c r="S40" s="13" t="s">
        <v>145</v>
      </c>
      <c r="T40" s="13" t="s">
        <v>146</v>
      </c>
      <c r="U40" s="11" t="s">
        <v>26</v>
      </c>
      <c r="V40" s="11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</row>
    <row r="41" spans="1:42" ht="22.5" customHeight="1">
      <c r="A41" s="8"/>
      <c r="B41" s="9" t="s">
        <v>31</v>
      </c>
      <c r="C41" s="10">
        <v>2</v>
      </c>
      <c r="D41" s="10"/>
      <c r="E41" s="10">
        <v>2</v>
      </c>
      <c r="F41" s="10"/>
      <c r="G41" s="10">
        <f t="shared" si="0"/>
        <v>0</v>
      </c>
      <c r="H41" s="9"/>
      <c r="I41" s="10">
        <v>1</v>
      </c>
      <c r="J41" s="10">
        <f t="shared" si="5"/>
        <v>0</v>
      </c>
      <c r="K41" s="9">
        <f t="shared" si="2"/>
        <v>0</v>
      </c>
      <c r="L41" s="11" t="s">
        <v>138</v>
      </c>
      <c r="M41" s="11" t="s">
        <v>163</v>
      </c>
      <c r="N41" s="12" t="str">
        <f t="shared" si="3"/>
        <v>Illumination|Thorlabs|BA1</v>
      </c>
      <c r="O41" s="12">
        <f t="shared" si="4"/>
        <v>1</v>
      </c>
      <c r="P41" s="12"/>
      <c r="Q41" s="12"/>
      <c r="R41" s="13" t="s">
        <v>138</v>
      </c>
      <c r="S41" s="13" t="s">
        <v>163</v>
      </c>
      <c r="T41" s="13" t="s">
        <v>164</v>
      </c>
      <c r="U41" s="16" t="s">
        <v>165</v>
      </c>
      <c r="V41" s="11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</row>
    <row r="42" spans="1:42" ht="22.5" customHeight="1">
      <c r="A42" s="8"/>
      <c r="B42" s="9" t="s">
        <v>31</v>
      </c>
      <c r="C42" s="10">
        <v>1</v>
      </c>
      <c r="D42" s="10"/>
      <c r="E42" s="10">
        <v>1</v>
      </c>
      <c r="F42" s="10"/>
      <c r="G42" s="10">
        <f t="shared" si="0"/>
        <v>0</v>
      </c>
      <c r="H42" s="9"/>
      <c r="I42" s="10">
        <v>1</v>
      </c>
      <c r="J42" s="10">
        <f t="shared" si="5"/>
        <v>0</v>
      </c>
      <c r="K42" s="9">
        <f t="shared" si="2"/>
        <v>0</v>
      </c>
      <c r="L42" s="11" t="s">
        <v>138</v>
      </c>
      <c r="M42" s="11" t="s">
        <v>170</v>
      </c>
      <c r="N42" s="12" t="str">
        <f t="shared" si="3"/>
        <v>Illumination|Thorlabs|BA2</v>
      </c>
      <c r="O42" s="12">
        <f t="shared" si="4"/>
        <v>1</v>
      </c>
      <c r="P42" s="12" t="s">
        <v>38</v>
      </c>
      <c r="Q42" s="12"/>
      <c r="R42" s="13" t="s">
        <v>138</v>
      </c>
      <c r="S42" s="13" t="s">
        <v>170</v>
      </c>
      <c r="T42" s="13" t="s">
        <v>171</v>
      </c>
      <c r="U42" s="11" t="s">
        <v>26</v>
      </c>
      <c r="V42" s="11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</row>
    <row r="43" spans="1:42" ht="22.5" customHeight="1">
      <c r="A43" s="8"/>
      <c r="B43" s="9" t="s">
        <v>31</v>
      </c>
      <c r="C43" s="10">
        <v>1</v>
      </c>
      <c r="D43" s="10"/>
      <c r="E43" s="10">
        <v>1</v>
      </c>
      <c r="F43" s="10"/>
      <c r="G43" s="10">
        <f t="shared" si="0"/>
        <v>0</v>
      </c>
      <c r="H43" s="9"/>
      <c r="I43" s="10">
        <v>1</v>
      </c>
      <c r="J43" s="10">
        <f t="shared" si="5"/>
        <v>0</v>
      </c>
      <c r="K43" s="9">
        <f t="shared" si="2"/>
        <v>0</v>
      </c>
      <c r="L43" s="11" t="s">
        <v>138</v>
      </c>
      <c r="M43" s="11" t="s">
        <v>173</v>
      </c>
      <c r="N43" s="12" t="str">
        <f t="shared" si="3"/>
        <v>Illumination|Thorlabs|BA2L</v>
      </c>
      <c r="O43" s="12">
        <f t="shared" si="4"/>
        <v>1</v>
      </c>
      <c r="P43" s="12" t="s">
        <v>38</v>
      </c>
      <c r="Q43" s="12"/>
      <c r="R43" s="13" t="s">
        <v>138</v>
      </c>
      <c r="S43" s="13" t="s">
        <v>173</v>
      </c>
      <c r="T43" s="13" t="s">
        <v>174</v>
      </c>
      <c r="U43" s="11" t="s">
        <v>26</v>
      </c>
      <c r="V43" s="11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</row>
    <row r="44" spans="1:42" ht="22.5" customHeight="1">
      <c r="A44" s="8"/>
      <c r="B44" s="9" t="s">
        <v>31</v>
      </c>
      <c r="C44" s="10">
        <v>2</v>
      </c>
      <c r="D44" s="10"/>
      <c r="E44" s="10">
        <v>2</v>
      </c>
      <c r="F44" s="10"/>
      <c r="G44" s="10">
        <f t="shared" si="0"/>
        <v>0</v>
      </c>
      <c r="H44" s="9"/>
      <c r="I44" s="10">
        <v>1</v>
      </c>
      <c r="J44" s="10">
        <f t="shared" si="5"/>
        <v>0</v>
      </c>
      <c r="K44" s="9">
        <f t="shared" si="2"/>
        <v>0</v>
      </c>
      <c r="L44" s="11" t="s">
        <v>138</v>
      </c>
      <c r="M44" s="11" t="s">
        <v>176</v>
      </c>
      <c r="N44" s="12" t="str">
        <f t="shared" si="3"/>
        <v>Illumination|Thorlabs|BB05-E02</v>
      </c>
      <c r="O44" s="12">
        <f t="shared" si="4"/>
        <v>1</v>
      </c>
      <c r="P44" s="12" t="s">
        <v>38</v>
      </c>
      <c r="Q44" s="12"/>
      <c r="R44" s="13" t="s">
        <v>138</v>
      </c>
      <c r="S44" s="13" t="s">
        <v>176</v>
      </c>
      <c r="T44" s="13" t="s">
        <v>177</v>
      </c>
      <c r="U44" s="11" t="s">
        <v>26</v>
      </c>
      <c r="V44" s="11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</row>
    <row r="45" spans="1:42" ht="22.5" customHeight="1">
      <c r="A45" s="8"/>
      <c r="B45" s="9" t="s">
        <v>31</v>
      </c>
      <c r="C45" s="10">
        <v>1</v>
      </c>
      <c r="D45" s="10"/>
      <c r="E45" s="10">
        <v>1</v>
      </c>
      <c r="F45" s="10"/>
      <c r="G45" s="10">
        <f t="shared" si="0"/>
        <v>0</v>
      </c>
      <c r="H45" s="9"/>
      <c r="I45" s="10">
        <v>1</v>
      </c>
      <c r="J45" s="10">
        <f t="shared" si="5"/>
        <v>0</v>
      </c>
      <c r="K45" s="9">
        <f t="shared" si="2"/>
        <v>0</v>
      </c>
      <c r="L45" s="11" t="s">
        <v>138</v>
      </c>
      <c r="M45" s="11" t="s">
        <v>178</v>
      </c>
      <c r="N45" s="12" t="str">
        <f t="shared" si="3"/>
        <v xml:space="preserve">Illumination|Thorlabs|BB1-E02 </v>
      </c>
      <c r="O45" s="12">
        <f t="shared" si="4"/>
        <v>1</v>
      </c>
      <c r="P45" s="12" t="s">
        <v>38</v>
      </c>
      <c r="Q45" s="12"/>
      <c r="R45" s="13" t="s">
        <v>138</v>
      </c>
      <c r="S45" s="13" t="s">
        <v>178</v>
      </c>
      <c r="T45" s="13" t="s">
        <v>179</v>
      </c>
      <c r="U45" s="11" t="s">
        <v>26</v>
      </c>
      <c r="V45" s="11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</row>
    <row r="46" spans="1:42" ht="22.5" customHeight="1">
      <c r="A46" s="8"/>
      <c r="B46" s="9" t="s">
        <v>31</v>
      </c>
      <c r="C46" s="10">
        <v>2</v>
      </c>
      <c r="D46" s="10"/>
      <c r="E46" s="10">
        <v>2</v>
      </c>
      <c r="F46" s="10"/>
      <c r="G46" s="10">
        <f t="shared" si="0"/>
        <v>0</v>
      </c>
      <c r="H46" s="9"/>
      <c r="I46" s="10">
        <v>1</v>
      </c>
      <c r="J46" s="10">
        <f t="shared" si="5"/>
        <v>0</v>
      </c>
      <c r="K46" s="9">
        <f t="shared" si="2"/>
        <v>0</v>
      </c>
      <c r="L46" s="11" t="s">
        <v>138</v>
      </c>
      <c r="M46" s="11" t="s">
        <v>180</v>
      </c>
      <c r="N46" s="12" t="str">
        <f t="shared" si="3"/>
        <v>Illumination|Thorlabs|BBE1-E02</v>
      </c>
      <c r="O46" s="12">
        <f t="shared" si="4"/>
        <v>1</v>
      </c>
      <c r="P46" s="12" t="s">
        <v>38</v>
      </c>
      <c r="Q46" s="12"/>
      <c r="R46" s="13" t="s">
        <v>138</v>
      </c>
      <c r="S46" s="13" t="s">
        <v>180</v>
      </c>
      <c r="T46" s="13" t="s">
        <v>181</v>
      </c>
      <c r="U46" s="11" t="s">
        <v>26</v>
      </c>
      <c r="V46" s="11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</row>
    <row r="47" spans="1:42" ht="22.5" customHeight="1">
      <c r="A47" s="8"/>
      <c r="B47" s="9" t="s">
        <v>31</v>
      </c>
      <c r="C47" s="10">
        <v>1</v>
      </c>
      <c r="D47" s="10"/>
      <c r="E47" s="10">
        <v>1</v>
      </c>
      <c r="F47" s="10"/>
      <c r="G47" s="10">
        <f t="shared" si="0"/>
        <v>0</v>
      </c>
      <c r="H47" s="9"/>
      <c r="I47" s="10">
        <v>1</v>
      </c>
      <c r="J47" s="10">
        <f t="shared" si="5"/>
        <v>0</v>
      </c>
      <c r="K47" s="9">
        <f t="shared" si="2"/>
        <v>0</v>
      </c>
      <c r="L47" s="11" t="s">
        <v>138</v>
      </c>
      <c r="M47" s="11" t="s">
        <v>184</v>
      </c>
      <c r="N47" s="12" t="str">
        <f t="shared" si="3"/>
        <v>Illumination|Thorlabs|C330TMD-A</v>
      </c>
      <c r="O47" s="12">
        <f t="shared" si="4"/>
        <v>1</v>
      </c>
      <c r="P47" s="12" t="s">
        <v>38</v>
      </c>
      <c r="Q47" s="12"/>
      <c r="R47" s="13" t="s">
        <v>138</v>
      </c>
      <c r="S47" s="13" t="s">
        <v>184</v>
      </c>
      <c r="T47" s="13" t="s">
        <v>185</v>
      </c>
      <c r="U47" s="16" t="s">
        <v>186</v>
      </c>
      <c r="V47" s="11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</row>
    <row r="48" spans="1:42" ht="22.5" customHeight="1">
      <c r="A48" s="8"/>
      <c r="B48" s="9" t="s">
        <v>31</v>
      </c>
      <c r="C48" s="10">
        <v>9</v>
      </c>
      <c r="D48" s="10"/>
      <c r="E48" s="10">
        <v>9</v>
      </c>
      <c r="F48" s="10"/>
      <c r="G48" s="10">
        <f t="shared" si="0"/>
        <v>0</v>
      </c>
      <c r="H48" s="9"/>
      <c r="I48" s="10">
        <v>5</v>
      </c>
      <c r="J48" s="10">
        <f t="shared" si="5"/>
        <v>0</v>
      </c>
      <c r="K48" s="9">
        <f t="shared" si="2"/>
        <v>0</v>
      </c>
      <c r="L48" s="11" t="s">
        <v>138</v>
      </c>
      <c r="M48" s="11" t="s">
        <v>196</v>
      </c>
      <c r="N48" s="12" t="str">
        <f t="shared" si="3"/>
        <v>Illumination|Thorlabs|CF125-P5</v>
      </c>
      <c r="O48" s="12">
        <f t="shared" si="4"/>
        <v>1</v>
      </c>
      <c r="P48" s="12"/>
      <c r="Q48" s="12"/>
      <c r="R48" s="13"/>
      <c r="S48" s="13"/>
      <c r="T48" s="13"/>
      <c r="U48" s="11"/>
      <c r="V48" s="11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</row>
    <row r="49" spans="1:42" ht="22.5" customHeight="1">
      <c r="A49" s="8"/>
      <c r="B49" s="9" t="s">
        <v>31</v>
      </c>
      <c r="C49" s="10">
        <v>1</v>
      </c>
      <c r="D49" s="10"/>
      <c r="E49" s="10">
        <v>1</v>
      </c>
      <c r="F49" s="10"/>
      <c r="G49" s="10">
        <f t="shared" si="0"/>
        <v>0</v>
      </c>
      <c r="H49" s="9"/>
      <c r="I49" s="10">
        <v>1</v>
      </c>
      <c r="J49" s="10">
        <f t="shared" si="5"/>
        <v>0</v>
      </c>
      <c r="K49" s="9">
        <f t="shared" si="2"/>
        <v>0</v>
      </c>
      <c r="L49" s="11" t="s">
        <v>138</v>
      </c>
      <c r="M49" s="11" t="s">
        <v>207</v>
      </c>
      <c r="N49" s="12" t="str">
        <f t="shared" si="3"/>
        <v>Illumination|Thorlabs|CP08FP</v>
      </c>
      <c r="O49" s="12">
        <f t="shared" si="4"/>
        <v>1</v>
      </c>
      <c r="P49" s="12" t="s">
        <v>38</v>
      </c>
      <c r="Q49" s="12"/>
      <c r="R49" s="13" t="s">
        <v>138</v>
      </c>
      <c r="S49" s="13" t="s">
        <v>207</v>
      </c>
      <c r="T49" s="13" t="s">
        <v>208</v>
      </c>
      <c r="U49" s="11" t="s">
        <v>26</v>
      </c>
      <c r="V49" s="11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</row>
    <row r="50" spans="1:42" ht="22.5" customHeight="1">
      <c r="A50" s="8"/>
      <c r="B50" s="9" t="s">
        <v>31</v>
      </c>
      <c r="C50" s="10">
        <v>1</v>
      </c>
      <c r="D50" s="10"/>
      <c r="E50" s="10">
        <v>1</v>
      </c>
      <c r="F50" s="10"/>
      <c r="G50" s="10">
        <f t="shared" si="0"/>
        <v>0</v>
      </c>
      <c r="H50" s="9"/>
      <c r="I50" s="10">
        <v>1</v>
      </c>
      <c r="J50" s="10">
        <f t="shared" si="5"/>
        <v>0</v>
      </c>
      <c r="K50" s="9">
        <f t="shared" si="2"/>
        <v>0</v>
      </c>
      <c r="L50" s="11" t="s">
        <v>138</v>
      </c>
      <c r="M50" s="11" t="s">
        <v>209</v>
      </c>
      <c r="N50" s="12" t="str">
        <f t="shared" si="3"/>
        <v>Illumination|Thorlabs|CP20D</v>
      </c>
      <c r="O50" s="12">
        <f t="shared" si="4"/>
        <v>1</v>
      </c>
      <c r="P50" s="12" t="s">
        <v>38</v>
      </c>
      <c r="Q50" s="12"/>
      <c r="R50" s="13" t="s">
        <v>138</v>
      </c>
      <c r="S50" s="13" t="s">
        <v>209</v>
      </c>
      <c r="T50" s="13" t="s">
        <v>210</v>
      </c>
      <c r="U50" s="11" t="s">
        <v>26</v>
      </c>
      <c r="V50" s="11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</row>
    <row r="51" spans="1:42" ht="22.5" customHeight="1">
      <c r="A51" s="8"/>
      <c r="B51" s="9" t="s">
        <v>31</v>
      </c>
      <c r="C51" s="10">
        <v>1</v>
      </c>
      <c r="D51" s="10"/>
      <c r="E51" s="10">
        <v>1</v>
      </c>
      <c r="F51" s="10"/>
      <c r="G51" s="10">
        <f t="shared" si="0"/>
        <v>0</v>
      </c>
      <c r="H51" s="9"/>
      <c r="I51" s="10">
        <v>1</v>
      </c>
      <c r="J51" s="10">
        <f t="shared" si="5"/>
        <v>0</v>
      </c>
      <c r="K51" s="9">
        <f t="shared" si="2"/>
        <v>0</v>
      </c>
      <c r="L51" s="11" t="s">
        <v>138</v>
      </c>
      <c r="M51" s="11" t="s">
        <v>211</v>
      </c>
      <c r="N51" s="12" t="str">
        <f t="shared" si="3"/>
        <v>Illumination|Thorlabs|CP32</v>
      </c>
      <c r="O51" s="12">
        <f t="shared" si="4"/>
        <v>1</v>
      </c>
      <c r="P51" s="12" t="s">
        <v>38</v>
      </c>
      <c r="Q51" s="12"/>
      <c r="R51" s="13" t="s">
        <v>138</v>
      </c>
      <c r="S51" s="13" t="s">
        <v>211</v>
      </c>
      <c r="T51" s="13" t="s">
        <v>212</v>
      </c>
      <c r="U51" s="11" t="s">
        <v>26</v>
      </c>
      <c r="V51" s="11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</row>
    <row r="52" spans="1:42" ht="22.5" customHeight="1">
      <c r="A52" s="8"/>
      <c r="B52" s="9" t="s">
        <v>31</v>
      </c>
      <c r="C52" s="10">
        <v>1</v>
      </c>
      <c r="D52" s="10"/>
      <c r="E52" s="10">
        <v>1</v>
      </c>
      <c r="F52" s="10"/>
      <c r="G52" s="10">
        <f t="shared" si="0"/>
        <v>0</v>
      </c>
      <c r="H52" s="9"/>
      <c r="I52" s="10">
        <v>1</v>
      </c>
      <c r="J52" s="10">
        <f t="shared" si="5"/>
        <v>0</v>
      </c>
      <c r="K52" s="9">
        <f t="shared" si="2"/>
        <v>0</v>
      </c>
      <c r="L52" s="11" t="s">
        <v>138</v>
      </c>
      <c r="M52" s="11" t="s">
        <v>213</v>
      </c>
      <c r="N52" s="12" t="str">
        <f t="shared" si="3"/>
        <v>Illumination|Thorlabs|CPA1</v>
      </c>
      <c r="O52" s="12">
        <f t="shared" si="4"/>
        <v>1</v>
      </c>
      <c r="P52" s="12" t="s">
        <v>38</v>
      </c>
      <c r="Q52" s="12"/>
      <c r="R52" s="13" t="s">
        <v>138</v>
      </c>
      <c r="S52" s="13" t="s">
        <v>213</v>
      </c>
      <c r="T52" s="13" t="s">
        <v>214</v>
      </c>
      <c r="U52" s="11" t="s">
        <v>26</v>
      </c>
      <c r="V52" s="11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</row>
    <row r="53" spans="1:42" ht="22.5" customHeight="1">
      <c r="A53" s="8"/>
      <c r="B53" s="9" t="s">
        <v>31</v>
      </c>
      <c r="C53" s="10">
        <v>1</v>
      </c>
      <c r="D53" s="10"/>
      <c r="E53" s="10">
        <v>1</v>
      </c>
      <c r="F53" s="10"/>
      <c r="G53" s="10">
        <f t="shared" si="0"/>
        <v>0</v>
      </c>
      <c r="H53" s="9"/>
      <c r="I53" s="10">
        <v>1</v>
      </c>
      <c r="J53" s="10">
        <f t="shared" si="5"/>
        <v>0</v>
      </c>
      <c r="K53" s="9">
        <f t="shared" si="2"/>
        <v>0</v>
      </c>
      <c r="L53" s="9" t="s">
        <v>138</v>
      </c>
      <c r="M53" s="9" t="s">
        <v>215</v>
      </c>
      <c r="N53" s="12" t="str">
        <f t="shared" si="3"/>
        <v>Illumination|Thorlabs|CRM05</v>
      </c>
      <c r="O53" s="12">
        <f t="shared" si="4"/>
        <v>1</v>
      </c>
      <c r="P53" s="12"/>
      <c r="Q53" s="12"/>
      <c r="R53" s="12" t="s">
        <v>138</v>
      </c>
      <c r="S53" s="12" t="s">
        <v>215</v>
      </c>
      <c r="T53" s="12" t="s">
        <v>216</v>
      </c>
      <c r="U53" s="11"/>
      <c r="V53" s="11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</row>
    <row r="54" spans="1:42" ht="22.5" customHeight="1">
      <c r="A54" s="8"/>
      <c r="B54" s="9" t="s">
        <v>31</v>
      </c>
      <c r="C54" s="10">
        <v>1</v>
      </c>
      <c r="D54" s="10"/>
      <c r="E54" s="10">
        <v>1</v>
      </c>
      <c r="F54" s="10"/>
      <c r="G54" s="10">
        <f t="shared" si="0"/>
        <v>0</v>
      </c>
      <c r="H54" s="9"/>
      <c r="I54" s="10">
        <v>1</v>
      </c>
      <c r="J54" s="10">
        <f t="shared" si="5"/>
        <v>0</v>
      </c>
      <c r="K54" s="9">
        <f t="shared" si="2"/>
        <v>0</v>
      </c>
      <c r="L54" s="11" t="s">
        <v>138</v>
      </c>
      <c r="M54" s="11" t="s">
        <v>217</v>
      </c>
      <c r="N54" s="12" t="str">
        <f t="shared" si="3"/>
        <v>Illumination|Thorlabs|CXY1A</v>
      </c>
      <c r="O54" s="12">
        <f t="shared" si="4"/>
        <v>1</v>
      </c>
      <c r="P54" s="12" t="s">
        <v>38</v>
      </c>
      <c r="Q54" s="12"/>
      <c r="R54" s="13" t="s">
        <v>138</v>
      </c>
      <c r="S54" s="13" t="s">
        <v>217</v>
      </c>
      <c r="T54" s="13" t="s">
        <v>218</v>
      </c>
      <c r="U54" s="11" t="s">
        <v>219</v>
      </c>
      <c r="V54" s="11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</row>
    <row r="55" spans="1:42" ht="22.5" customHeight="1">
      <c r="A55" s="8"/>
      <c r="B55" s="9" t="s">
        <v>31</v>
      </c>
      <c r="C55" s="10">
        <v>1</v>
      </c>
      <c r="D55" s="10"/>
      <c r="E55" s="10">
        <v>1</v>
      </c>
      <c r="F55" s="10"/>
      <c r="G55" s="10">
        <f t="shared" si="0"/>
        <v>0</v>
      </c>
      <c r="H55" s="9"/>
      <c r="I55" s="10">
        <v>1</v>
      </c>
      <c r="J55" s="10">
        <f t="shared" si="5"/>
        <v>0</v>
      </c>
      <c r="K55" s="9">
        <f t="shared" si="2"/>
        <v>0</v>
      </c>
      <c r="L55" s="11" t="s">
        <v>138</v>
      </c>
      <c r="M55" s="11" t="s">
        <v>220</v>
      </c>
      <c r="N55" s="12" t="str">
        <f t="shared" si="3"/>
        <v>Illumination|Thorlabs|CXY2 / CXY2A</v>
      </c>
      <c r="O55" s="12">
        <f t="shared" si="4"/>
        <v>1</v>
      </c>
      <c r="P55" s="12"/>
      <c r="Q55" s="12"/>
      <c r="R55" s="13" t="s">
        <v>138</v>
      </c>
      <c r="S55" s="13" t="s">
        <v>220</v>
      </c>
      <c r="T55" s="13" t="s">
        <v>221</v>
      </c>
      <c r="U55" s="11" t="s">
        <v>222</v>
      </c>
      <c r="V55" s="11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</row>
    <row r="56" spans="1:42" ht="22.5" customHeight="1">
      <c r="A56" s="8"/>
      <c r="B56" s="9" t="s">
        <v>31</v>
      </c>
      <c r="C56" s="10">
        <v>1</v>
      </c>
      <c r="D56" s="10"/>
      <c r="E56" s="10">
        <v>1</v>
      </c>
      <c r="F56" s="10"/>
      <c r="G56" s="10">
        <f t="shared" si="0"/>
        <v>0</v>
      </c>
      <c r="H56" s="9"/>
      <c r="I56" s="10">
        <v>1</v>
      </c>
      <c r="J56" s="10">
        <f t="shared" si="5"/>
        <v>0</v>
      </c>
      <c r="K56" s="9">
        <f t="shared" si="2"/>
        <v>0</v>
      </c>
      <c r="L56" s="11" t="s">
        <v>138</v>
      </c>
      <c r="M56" s="11" t="s">
        <v>223</v>
      </c>
      <c r="N56" s="12" t="str">
        <f t="shared" si="3"/>
        <v>Illumination|Thorlabs|E09RMS</v>
      </c>
      <c r="O56" s="12">
        <f t="shared" si="4"/>
        <v>1</v>
      </c>
      <c r="P56" s="12" t="s">
        <v>38</v>
      </c>
      <c r="Q56" s="12"/>
      <c r="R56" s="13" t="s">
        <v>138</v>
      </c>
      <c r="S56" s="13" t="s">
        <v>223</v>
      </c>
      <c r="T56" s="13" t="s">
        <v>224</v>
      </c>
      <c r="U56" s="11" t="s">
        <v>26</v>
      </c>
      <c r="V56" s="11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</row>
    <row r="57" spans="1:42" ht="22.5" customHeight="1">
      <c r="A57" s="8"/>
      <c r="B57" s="9" t="s">
        <v>31</v>
      </c>
      <c r="C57" s="10">
        <v>4</v>
      </c>
      <c r="D57" s="10"/>
      <c r="E57" s="10">
        <v>4</v>
      </c>
      <c r="F57" s="10"/>
      <c r="G57" s="10">
        <f t="shared" si="0"/>
        <v>0</v>
      </c>
      <c r="H57" s="9"/>
      <c r="I57" s="10">
        <v>1</v>
      </c>
      <c r="J57" s="10">
        <f t="shared" si="5"/>
        <v>0</v>
      </c>
      <c r="K57" s="9">
        <f t="shared" si="2"/>
        <v>0</v>
      </c>
      <c r="L57" s="11" t="s">
        <v>138</v>
      </c>
      <c r="M57" s="11" t="s">
        <v>225</v>
      </c>
      <c r="N57" s="12" t="str">
        <f t="shared" si="3"/>
        <v>Illumination|Thorlabs|ER025</v>
      </c>
      <c r="O57" s="12">
        <f t="shared" si="4"/>
        <v>1</v>
      </c>
      <c r="P57" s="12"/>
      <c r="Q57" s="12"/>
      <c r="R57" s="13"/>
      <c r="S57" s="13"/>
      <c r="T57" s="13"/>
      <c r="U57" s="11"/>
      <c r="V57" s="11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</row>
    <row r="58" spans="1:42" ht="22.5" customHeight="1">
      <c r="A58" s="8"/>
      <c r="B58" s="9" t="s">
        <v>31</v>
      </c>
      <c r="C58" s="10">
        <v>0</v>
      </c>
      <c r="D58" s="10"/>
      <c r="E58" s="10">
        <v>0</v>
      </c>
      <c r="F58" s="10"/>
      <c r="G58" s="10">
        <f t="shared" si="0"/>
        <v>0</v>
      </c>
      <c r="H58" s="9"/>
      <c r="I58" s="10">
        <v>4</v>
      </c>
      <c r="J58" s="10">
        <f t="shared" si="5"/>
        <v>0</v>
      </c>
      <c r="K58" s="9">
        <f t="shared" si="2"/>
        <v>0</v>
      </c>
      <c r="L58" s="11" t="s">
        <v>138</v>
      </c>
      <c r="M58" s="11" t="s">
        <v>227</v>
      </c>
      <c r="N58" s="12" t="str">
        <f t="shared" si="3"/>
        <v xml:space="preserve">Illumination|Thorlabs|ER05-P4 </v>
      </c>
      <c r="O58" s="12">
        <f t="shared" si="4"/>
        <v>1</v>
      </c>
      <c r="P58" s="12" t="s">
        <v>38</v>
      </c>
      <c r="Q58" s="12"/>
      <c r="R58" s="13" t="s">
        <v>138</v>
      </c>
      <c r="S58" s="13" t="s">
        <v>227</v>
      </c>
      <c r="T58" s="13" t="s">
        <v>228</v>
      </c>
      <c r="U58" s="11" t="s">
        <v>26</v>
      </c>
      <c r="V58" s="11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</row>
    <row r="59" spans="1:42" ht="22.5" customHeight="1">
      <c r="A59" s="8"/>
      <c r="B59" s="9" t="s">
        <v>31</v>
      </c>
      <c r="C59" s="10">
        <v>8</v>
      </c>
      <c r="D59" s="10"/>
      <c r="E59" s="10">
        <v>8</v>
      </c>
      <c r="F59" s="10"/>
      <c r="G59" s="10">
        <f t="shared" si="0"/>
        <v>0</v>
      </c>
      <c r="H59" s="9"/>
      <c r="I59" s="10">
        <v>4</v>
      </c>
      <c r="J59" s="10">
        <f t="shared" si="5"/>
        <v>0</v>
      </c>
      <c r="K59" s="9">
        <f t="shared" si="2"/>
        <v>0</v>
      </c>
      <c r="L59" s="11" t="s">
        <v>138</v>
      </c>
      <c r="M59" s="11" t="s">
        <v>229</v>
      </c>
      <c r="N59" s="12" t="str">
        <f t="shared" si="3"/>
        <v>Illumination|Thorlabs|ER1-P4</v>
      </c>
      <c r="O59" s="12">
        <f t="shared" si="4"/>
        <v>1</v>
      </c>
      <c r="P59" s="12" t="s">
        <v>38</v>
      </c>
      <c r="Q59" s="12"/>
      <c r="R59" s="13" t="s">
        <v>138</v>
      </c>
      <c r="S59" s="13" t="s">
        <v>229</v>
      </c>
      <c r="T59" s="13" t="s">
        <v>230</v>
      </c>
      <c r="U59" s="11" t="s">
        <v>26</v>
      </c>
      <c r="V59" s="11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</row>
    <row r="60" spans="1:42" ht="22.5" customHeight="1">
      <c r="A60" s="8"/>
      <c r="B60" s="9" t="s">
        <v>31</v>
      </c>
      <c r="C60" s="10">
        <v>4</v>
      </c>
      <c r="D60" s="10"/>
      <c r="E60" s="10">
        <v>4</v>
      </c>
      <c r="F60" s="10"/>
      <c r="G60" s="10">
        <f t="shared" si="0"/>
        <v>0</v>
      </c>
      <c r="H60" s="9"/>
      <c r="I60" s="10">
        <v>4</v>
      </c>
      <c r="J60" s="10">
        <f t="shared" si="5"/>
        <v>0</v>
      </c>
      <c r="K60" s="9">
        <f t="shared" si="2"/>
        <v>0</v>
      </c>
      <c r="L60" s="11" t="s">
        <v>138</v>
      </c>
      <c r="M60" s="11" t="s">
        <v>232</v>
      </c>
      <c r="N60" s="12" t="str">
        <f t="shared" si="3"/>
        <v>Illumination|Thorlabs|ER1.5-P4</v>
      </c>
      <c r="O60" s="12">
        <f t="shared" si="4"/>
        <v>1</v>
      </c>
      <c r="P60" s="12" t="s">
        <v>38</v>
      </c>
      <c r="Q60" s="12"/>
      <c r="R60" s="13" t="s">
        <v>138</v>
      </c>
      <c r="S60" s="13" t="s">
        <v>232</v>
      </c>
      <c r="T60" s="13" t="s">
        <v>233</v>
      </c>
      <c r="U60" s="11" t="s">
        <v>26</v>
      </c>
      <c r="V60" s="11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</row>
    <row r="61" spans="1:42" ht="22.5" customHeight="1">
      <c r="A61" s="8"/>
      <c r="B61" s="9" t="s">
        <v>31</v>
      </c>
      <c r="C61" s="10">
        <v>4</v>
      </c>
      <c r="D61" s="10"/>
      <c r="E61" s="10">
        <v>4</v>
      </c>
      <c r="F61" s="10"/>
      <c r="G61" s="10">
        <f t="shared" si="0"/>
        <v>0</v>
      </c>
      <c r="H61" s="9"/>
      <c r="I61" s="10">
        <v>1</v>
      </c>
      <c r="J61" s="10">
        <f t="shared" si="5"/>
        <v>0</v>
      </c>
      <c r="K61" s="9">
        <f t="shared" si="2"/>
        <v>0</v>
      </c>
      <c r="L61" s="11" t="s">
        <v>138</v>
      </c>
      <c r="M61" s="11" t="s">
        <v>234</v>
      </c>
      <c r="N61" s="12" t="str">
        <f t="shared" si="3"/>
        <v>Illumination|Thorlabs|ER10</v>
      </c>
      <c r="O61" s="12">
        <f t="shared" si="4"/>
        <v>1</v>
      </c>
      <c r="P61" s="12" t="s">
        <v>38</v>
      </c>
      <c r="Q61" s="12"/>
      <c r="R61" s="13" t="s">
        <v>138</v>
      </c>
      <c r="S61" s="13" t="s">
        <v>234</v>
      </c>
      <c r="T61" s="13" t="s">
        <v>235</v>
      </c>
      <c r="U61" s="11" t="s">
        <v>26</v>
      </c>
      <c r="V61" s="11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</row>
    <row r="62" spans="1:42" ht="22.5" customHeight="1">
      <c r="A62" s="8"/>
      <c r="B62" s="9" t="s">
        <v>31</v>
      </c>
      <c r="C62" s="10">
        <v>4</v>
      </c>
      <c r="D62" s="10"/>
      <c r="E62" s="10">
        <v>8</v>
      </c>
      <c r="F62" s="10"/>
      <c r="G62" s="10">
        <f t="shared" si="0"/>
        <v>0</v>
      </c>
      <c r="H62" s="9"/>
      <c r="I62" s="10">
        <v>4</v>
      </c>
      <c r="J62" s="10">
        <f t="shared" si="5"/>
        <v>0</v>
      </c>
      <c r="K62" s="9">
        <f t="shared" si="2"/>
        <v>0</v>
      </c>
      <c r="L62" s="11" t="s">
        <v>138</v>
      </c>
      <c r="M62" s="11" t="s">
        <v>238</v>
      </c>
      <c r="N62" s="12" t="str">
        <f t="shared" si="3"/>
        <v>Illumination|Thorlabs|ER2-P4</v>
      </c>
      <c r="O62" s="12">
        <f t="shared" si="4"/>
        <v>1</v>
      </c>
      <c r="P62" s="12" t="s">
        <v>38</v>
      </c>
      <c r="Q62" s="12"/>
      <c r="R62" s="13" t="s">
        <v>138</v>
      </c>
      <c r="S62" s="13" t="s">
        <v>238</v>
      </c>
      <c r="T62" s="13" t="s">
        <v>239</v>
      </c>
      <c r="U62" s="11" t="s">
        <v>26</v>
      </c>
      <c r="V62" s="11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</row>
    <row r="63" spans="1:42" ht="22.5" customHeight="1">
      <c r="A63" s="8"/>
      <c r="B63" s="9" t="s">
        <v>31</v>
      </c>
      <c r="C63" s="10">
        <v>12</v>
      </c>
      <c r="D63" s="10"/>
      <c r="E63" s="10">
        <v>12</v>
      </c>
      <c r="F63" s="10"/>
      <c r="G63" s="10">
        <f t="shared" si="0"/>
        <v>0</v>
      </c>
      <c r="H63" s="9"/>
      <c r="I63" s="10">
        <v>4</v>
      </c>
      <c r="J63" s="10">
        <f t="shared" si="5"/>
        <v>0</v>
      </c>
      <c r="K63" s="9">
        <f t="shared" si="2"/>
        <v>0</v>
      </c>
      <c r="L63" s="11" t="s">
        <v>138</v>
      </c>
      <c r="M63" s="11" t="s">
        <v>241</v>
      </c>
      <c r="N63" s="12" t="str">
        <f t="shared" si="3"/>
        <v>Illumination|Thorlabs|ER3-P4</v>
      </c>
      <c r="O63" s="12">
        <f t="shared" si="4"/>
        <v>1</v>
      </c>
      <c r="P63" s="12" t="s">
        <v>38</v>
      </c>
      <c r="Q63" s="12"/>
      <c r="R63" s="13" t="s">
        <v>138</v>
      </c>
      <c r="S63" s="13" t="s">
        <v>241</v>
      </c>
      <c r="T63" s="13" t="s">
        <v>242</v>
      </c>
      <c r="U63" s="11" t="s">
        <v>26</v>
      </c>
      <c r="V63" s="11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</row>
    <row r="64" spans="1:42" ht="22.5" customHeight="1">
      <c r="A64" s="8"/>
      <c r="B64" s="9" t="s">
        <v>31</v>
      </c>
      <c r="C64" s="10">
        <v>8</v>
      </c>
      <c r="D64" s="10"/>
      <c r="E64" s="10">
        <v>8</v>
      </c>
      <c r="F64" s="10"/>
      <c r="G64" s="10">
        <f t="shared" si="0"/>
        <v>0</v>
      </c>
      <c r="H64" s="9"/>
      <c r="I64" s="10">
        <v>4</v>
      </c>
      <c r="J64" s="10">
        <f t="shared" si="5"/>
        <v>0</v>
      </c>
      <c r="K64" s="9">
        <f t="shared" si="2"/>
        <v>0</v>
      </c>
      <c r="L64" s="11" t="s">
        <v>138</v>
      </c>
      <c r="M64" s="11" t="s">
        <v>243</v>
      </c>
      <c r="N64" s="12" t="str">
        <f t="shared" si="3"/>
        <v>Illumination|Thorlabs|ER4-P4</v>
      </c>
      <c r="O64" s="12">
        <f t="shared" si="4"/>
        <v>1</v>
      </c>
      <c r="P64" s="12"/>
      <c r="Q64" s="12"/>
      <c r="R64" s="13" t="s">
        <v>138</v>
      </c>
      <c r="S64" s="13" t="s">
        <v>243</v>
      </c>
      <c r="T64" s="13" t="s">
        <v>244</v>
      </c>
      <c r="U64" s="11" t="s">
        <v>245</v>
      </c>
      <c r="V64" s="11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</row>
    <row r="65" spans="1:42" ht="22.5" customHeight="1">
      <c r="A65" s="8"/>
      <c r="B65" s="9" t="s">
        <v>31</v>
      </c>
      <c r="C65" s="10">
        <v>1</v>
      </c>
      <c r="D65" s="10"/>
      <c r="E65" s="10">
        <v>1</v>
      </c>
      <c r="F65" s="10"/>
      <c r="G65" s="10">
        <f t="shared" si="0"/>
        <v>0</v>
      </c>
      <c r="H65" s="9"/>
      <c r="I65" s="10">
        <v>1</v>
      </c>
      <c r="J65" s="10">
        <f t="shared" si="5"/>
        <v>0</v>
      </c>
      <c r="K65" s="9">
        <f t="shared" si="2"/>
        <v>0</v>
      </c>
      <c r="L65" s="11" t="s">
        <v>138</v>
      </c>
      <c r="M65" s="11" t="s">
        <v>251</v>
      </c>
      <c r="N65" s="12" t="str">
        <f t="shared" si="3"/>
        <v>Illumination|Thorlabs|H45</v>
      </c>
      <c r="O65" s="12">
        <f t="shared" si="4"/>
        <v>1</v>
      </c>
      <c r="P65" s="12" t="s">
        <v>38</v>
      </c>
      <c r="Q65" s="12"/>
      <c r="R65" s="13" t="s">
        <v>138</v>
      </c>
      <c r="S65" s="13" t="s">
        <v>251</v>
      </c>
      <c r="T65" s="13" t="s">
        <v>252</v>
      </c>
      <c r="U65" s="11" t="s">
        <v>26</v>
      </c>
      <c r="V65" s="11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</row>
    <row r="66" spans="1:42" ht="22.5" customHeight="1">
      <c r="A66" s="8"/>
      <c r="B66" s="9" t="s">
        <v>31</v>
      </c>
      <c r="C66" s="10">
        <v>1</v>
      </c>
      <c r="D66" s="10"/>
      <c r="E66" s="10">
        <v>1</v>
      </c>
      <c r="F66" s="10"/>
      <c r="G66" s="10">
        <f t="shared" si="0"/>
        <v>0</v>
      </c>
      <c r="H66" s="9"/>
      <c r="I66" s="10">
        <v>1</v>
      </c>
      <c r="J66" s="10">
        <f t="shared" si="5"/>
        <v>0</v>
      </c>
      <c r="K66" s="9">
        <f t="shared" si="2"/>
        <v>0</v>
      </c>
      <c r="L66" s="11" t="s">
        <v>138</v>
      </c>
      <c r="M66" s="11" t="s">
        <v>260</v>
      </c>
      <c r="N66" s="12" t="str">
        <f t="shared" si="3"/>
        <v>Illumination|Thorlabs|ITL200</v>
      </c>
      <c r="O66" s="12">
        <f t="shared" si="4"/>
        <v>1</v>
      </c>
      <c r="P66" s="12"/>
      <c r="Q66" s="12"/>
      <c r="R66" s="13" t="s">
        <v>138</v>
      </c>
      <c r="S66" s="13" t="s">
        <v>260</v>
      </c>
      <c r="T66" s="13" t="s">
        <v>261</v>
      </c>
      <c r="U66" s="16" t="s">
        <v>262</v>
      </c>
      <c r="V66" s="11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</row>
    <row r="67" spans="1:42" ht="22.5" customHeight="1">
      <c r="A67" s="8"/>
      <c r="B67" s="9" t="s">
        <v>31</v>
      </c>
      <c r="C67" s="10">
        <v>2</v>
      </c>
      <c r="D67" s="10"/>
      <c r="E67" s="10">
        <v>3</v>
      </c>
      <c r="F67" s="10"/>
      <c r="G67" s="10">
        <f t="shared" si="0"/>
        <v>0</v>
      </c>
      <c r="H67" s="9"/>
      <c r="I67" s="10">
        <v>1</v>
      </c>
      <c r="J67" s="10">
        <f t="shared" si="5"/>
        <v>0</v>
      </c>
      <c r="K67" s="9">
        <f t="shared" si="2"/>
        <v>0</v>
      </c>
      <c r="L67" s="11" t="s">
        <v>138</v>
      </c>
      <c r="M67" s="11" t="s">
        <v>264</v>
      </c>
      <c r="N67" s="12" t="str">
        <f t="shared" si="3"/>
        <v>Illumination|Thorlabs|KA05</v>
      </c>
      <c r="O67" s="12">
        <f t="shared" si="4"/>
        <v>1</v>
      </c>
      <c r="P67" s="12" t="s">
        <v>38</v>
      </c>
      <c r="Q67" s="12"/>
      <c r="R67" s="13" t="s">
        <v>138</v>
      </c>
      <c r="S67" s="13" t="s">
        <v>264</v>
      </c>
      <c r="T67" s="13" t="s">
        <v>265</v>
      </c>
      <c r="U67" s="11" t="s">
        <v>26</v>
      </c>
      <c r="V67" s="11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</row>
    <row r="68" spans="1:42" ht="22.5" customHeight="1">
      <c r="A68" s="8"/>
      <c r="B68" s="9" t="s">
        <v>31</v>
      </c>
      <c r="C68" s="10">
        <v>0</v>
      </c>
      <c r="D68" s="10"/>
      <c r="E68" s="10"/>
      <c r="F68" s="10"/>
      <c r="G68" s="10">
        <f t="shared" si="0"/>
        <v>0</v>
      </c>
      <c r="H68" s="9"/>
      <c r="I68" s="10">
        <v>1</v>
      </c>
      <c r="J68" s="10">
        <f t="shared" si="5"/>
        <v>0</v>
      </c>
      <c r="K68" s="9">
        <f t="shared" si="2"/>
        <v>0</v>
      </c>
      <c r="L68" s="11" t="s">
        <v>138</v>
      </c>
      <c r="M68" s="11" t="s">
        <v>267</v>
      </c>
      <c r="N68" s="12" t="str">
        <f t="shared" si="3"/>
        <v>Illumination|Thorlabs|KCB1</v>
      </c>
      <c r="O68" s="12">
        <f t="shared" si="4"/>
        <v>1</v>
      </c>
      <c r="P68" s="12" t="s">
        <v>38</v>
      </c>
      <c r="Q68" s="12"/>
      <c r="R68" s="13" t="s">
        <v>138</v>
      </c>
      <c r="S68" s="13" t="s">
        <v>267</v>
      </c>
      <c r="T68" s="13" t="s">
        <v>268</v>
      </c>
      <c r="U68" s="11" t="s">
        <v>26</v>
      </c>
      <c r="V68" s="11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</row>
    <row r="69" spans="1:42" ht="22.5" customHeight="1">
      <c r="A69" s="8"/>
      <c r="B69" s="9" t="s">
        <v>31</v>
      </c>
      <c r="C69" s="10">
        <v>0</v>
      </c>
      <c r="D69" s="10"/>
      <c r="E69" s="10"/>
      <c r="F69" s="10"/>
      <c r="G69" s="10">
        <f t="shared" si="0"/>
        <v>0</v>
      </c>
      <c r="H69" s="9"/>
      <c r="I69" s="10">
        <v>1</v>
      </c>
      <c r="J69" s="10">
        <f t="shared" si="5"/>
        <v>0</v>
      </c>
      <c r="K69" s="9">
        <f t="shared" si="2"/>
        <v>0</v>
      </c>
      <c r="L69" s="11" t="s">
        <v>138</v>
      </c>
      <c r="M69" s="11" t="s">
        <v>269</v>
      </c>
      <c r="N69" s="12" t="str">
        <f t="shared" si="3"/>
        <v>Illumination|Thorlabs|KCB1E</v>
      </c>
      <c r="O69" s="12">
        <f t="shared" si="4"/>
        <v>1</v>
      </c>
      <c r="P69" s="12" t="s">
        <v>38</v>
      </c>
      <c r="Q69" s="12"/>
      <c r="R69" s="13" t="s">
        <v>138</v>
      </c>
      <c r="S69" s="13" t="s">
        <v>269</v>
      </c>
      <c r="T69" s="13" t="s">
        <v>270</v>
      </c>
      <c r="U69" s="11" t="s">
        <v>26</v>
      </c>
      <c r="V69" s="11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</row>
    <row r="70" spans="1:42" ht="22.5" customHeight="1">
      <c r="A70" s="8"/>
      <c r="B70" s="9" t="s">
        <v>31</v>
      </c>
      <c r="C70" s="10">
        <v>2</v>
      </c>
      <c r="D70" s="10"/>
      <c r="E70" s="10">
        <v>2</v>
      </c>
      <c r="F70" s="10"/>
      <c r="G70" s="10">
        <f t="shared" si="0"/>
        <v>0</v>
      </c>
      <c r="H70" s="9"/>
      <c r="I70" s="10">
        <v>1</v>
      </c>
      <c r="J70" s="10">
        <v>0</v>
      </c>
      <c r="K70" s="9">
        <f t="shared" si="2"/>
        <v>0</v>
      </c>
      <c r="L70" s="11" t="s">
        <v>138</v>
      </c>
      <c r="M70" s="11" t="s">
        <v>272</v>
      </c>
      <c r="N70" s="12" t="str">
        <f t="shared" si="3"/>
        <v>Illumination|Thorlabs|KCB1EC/M</v>
      </c>
      <c r="O70" s="12">
        <f t="shared" si="4"/>
        <v>1</v>
      </c>
      <c r="P70" s="12" t="s">
        <v>38</v>
      </c>
      <c r="Q70" s="12"/>
      <c r="R70" s="13" t="s">
        <v>138</v>
      </c>
      <c r="S70" s="13" t="s">
        <v>272</v>
      </c>
      <c r="T70" s="13" t="s">
        <v>273</v>
      </c>
      <c r="U70" s="15" t="s">
        <v>274</v>
      </c>
      <c r="V70" s="11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</row>
    <row r="71" spans="1:42" ht="22.5" customHeight="1">
      <c r="A71" s="8"/>
      <c r="B71" s="9" t="s">
        <v>31</v>
      </c>
      <c r="C71" s="10">
        <v>1</v>
      </c>
      <c r="D71" s="10"/>
      <c r="E71" s="10">
        <v>1</v>
      </c>
      <c r="F71" s="10"/>
      <c r="G71" s="10">
        <f t="shared" si="0"/>
        <v>0</v>
      </c>
      <c r="H71" s="9"/>
      <c r="I71" s="10">
        <v>1</v>
      </c>
      <c r="J71" s="10">
        <f t="shared" ref="J71:J305" si="6">G71/I71</f>
        <v>0</v>
      </c>
      <c r="K71" s="9">
        <f t="shared" si="2"/>
        <v>0</v>
      </c>
      <c r="L71" s="11" t="s">
        <v>138</v>
      </c>
      <c r="M71" s="11" t="s">
        <v>281</v>
      </c>
      <c r="N71" s="12" t="str">
        <f t="shared" si="3"/>
        <v>Illumination|Thorlabs|KM100</v>
      </c>
      <c r="O71" s="12">
        <f t="shared" si="4"/>
        <v>1</v>
      </c>
      <c r="P71" s="12" t="s">
        <v>38</v>
      </c>
      <c r="Q71" s="12"/>
      <c r="R71" s="13" t="s">
        <v>138</v>
      </c>
      <c r="S71" s="13" t="s">
        <v>281</v>
      </c>
      <c r="T71" s="13" t="s">
        <v>282</v>
      </c>
      <c r="U71" s="11" t="s">
        <v>283</v>
      </c>
      <c r="V71" s="11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</row>
    <row r="72" spans="1:42" ht="22.5" customHeight="1">
      <c r="A72" s="8"/>
      <c r="B72" s="9" t="s">
        <v>31</v>
      </c>
      <c r="C72" s="10">
        <v>1</v>
      </c>
      <c r="D72" s="10"/>
      <c r="E72" s="10">
        <v>3</v>
      </c>
      <c r="F72" s="10"/>
      <c r="G72" s="10">
        <f t="shared" si="0"/>
        <v>0</v>
      </c>
      <c r="H72" s="9"/>
      <c r="I72" s="10">
        <v>1</v>
      </c>
      <c r="J72" s="10">
        <f t="shared" si="6"/>
        <v>0</v>
      </c>
      <c r="K72" s="9">
        <f t="shared" si="2"/>
        <v>0</v>
      </c>
      <c r="L72" s="11" t="s">
        <v>138</v>
      </c>
      <c r="M72" s="11" t="s">
        <v>288</v>
      </c>
      <c r="N72" s="12" t="str">
        <f t="shared" si="3"/>
        <v>Illumination|Thorlabs|LCP01</v>
      </c>
      <c r="O72" s="12">
        <f t="shared" si="4"/>
        <v>1</v>
      </c>
      <c r="P72" s="12" t="s">
        <v>279</v>
      </c>
      <c r="Q72" s="12"/>
      <c r="R72" s="13" t="s">
        <v>138</v>
      </c>
      <c r="S72" s="13" t="s">
        <v>288</v>
      </c>
      <c r="T72" s="13" t="s">
        <v>289</v>
      </c>
      <c r="U72" s="15" t="s">
        <v>598</v>
      </c>
      <c r="V72" s="11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</row>
    <row r="73" spans="1:42" ht="22.5" customHeight="1">
      <c r="A73" s="8"/>
      <c r="B73" s="9" t="s">
        <v>31</v>
      </c>
      <c r="C73" s="10">
        <v>1</v>
      </c>
      <c r="D73" s="10"/>
      <c r="E73" s="10">
        <v>1</v>
      </c>
      <c r="F73" s="10"/>
      <c r="G73" s="10">
        <f t="shared" si="0"/>
        <v>0</v>
      </c>
      <c r="H73" s="9"/>
      <c r="I73" s="10">
        <v>1</v>
      </c>
      <c r="J73" s="10">
        <f t="shared" si="6"/>
        <v>0</v>
      </c>
      <c r="K73" s="9">
        <f t="shared" si="2"/>
        <v>0</v>
      </c>
      <c r="L73" s="11" t="s">
        <v>138</v>
      </c>
      <c r="M73" s="11" t="s">
        <v>292</v>
      </c>
      <c r="N73" s="12" t="str">
        <f t="shared" si="3"/>
        <v>Illumination|Thorlabs|LCP02</v>
      </c>
      <c r="O73" s="12">
        <f t="shared" si="4"/>
        <v>1</v>
      </c>
      <c r="P73" s="12"/>
      <c r="Q73" s="12"/>
      <c r="R73" s="13"/>
      <c r="S73" s="13"/>
      <c r="T73" s="13"/>
      <c r="U73" s="11"/>
      <c r="V73" s="11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</row>
    <row r="74" spans="1:42" ht="22.5" customHeight="1">
      <c r="A74" s="8"/>
      <c r="B74" s="9" t="s">
        <v>31</v>
      </c>
      <c r="C74" s="10">
        <v>0</v>
      </c>
      <c r="D74" s="10"/>
      <c r="E74" s="10"/>
      <c r="F74" s="10"/>
      <c r="G74" s="10">
        <f t="shared" si="0"/>
        <v>0</v>
      </c>
      <c r="H74" s="9"/>
      <c r="I74" s="10">
        <v>1</v>
      </c>
      <c r="J74" s="10">
        <f t="shared" si="6"/>
        <v>0</v>
      </c>
      <c r="K74" s="9">
        <f t="shared" si="2"/>
        <v>0</v>
      </c>
      <c r="L74" s="11" t="s">
        <v>138</v>
      </c>
      <c r="M74" s="11" t="s">
        <v>295</v>
      </c>
      <c r="N74" s="12" t="str">
        <f t="shared" si="3"/>
        <v>Illumination|Thorlabs|LCP08</v>
      </c>
      <c r="O74" s="12">
        <f t="shared" si="4"/>
        <v>1</v>
      </c>
      <c r="P74" s="12" t="s">
        <v>38</v>
      </c>
      <c r="Q74" s="12"/>
      <c r="R74" s="13" t="s">
        <v>138</v>
      </c>
      <c r="S74" s="13" t="s">
        <v>295</v>
      </c>
      <c r="T74" s="13" t="s">
        <v>296</v>
      </c>
      <c r="U74" s="11" t="s">
        <v>26</v>
      </c>
      <c r="V74" s="11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</row>
    <row r="75" spans="1:42" ht="22.5" customHeight="1">
      <c r="A75" s="8"/>
      <c r="B75" s="9" t="s">
        <v>31</v>
      </c>
      <c r="C75" s="10">
        <v>1</v>
      </c>
      <c r="D75" s="10"/>
      <c r="E75" s="10">
        <v>1</v>
      </c>
      <c r="F75" s="10"/>
      <c r="G75" s="10">
        <f t="shared" si="0"/>
        <v>0</v>
      </c>
      <c r="H75" s="9"/>
      <c r="I75" s="10">
        <v>1</v>
      </c>
      <c r="J75" s="10">
        <f t="shared" si="6"/>
        <v>0</v>
      </c>
      <c r="K75" s="9">
        <f t="shared" si="2"/>
        <v>0</v>
      </c>
      <c r="L75" s="11" t="s">
        <v>138</v>
      </c>
      <c r="M75" s="11" t="s">
        <v>298</v>
      </c>
      <c r="N75" s="12" t="str">
        <f t="shared" si="3"/>
        <v>Illumination|Thorlabs|LCP33</v>
      </c>
      <c r="O75" s="12">
        <f t="shared" si="4"/>
        <v>1</v>
      </c>
      <c r="P75" s="12" t="s">
        <v>38</v>
      </c>
      <c r="Q75" s="12"/>
      <c r="R75" s="13" t="s">
        <v>138</v>
      </c>
      <c r="S75" s="13" t="s">
        <v>298</v>
      </c>
      <c r="T75" s="13" t="s">
        <v>299</v>
      </c>
      <c r="U75" s="11" t="s">
        <v>26</v>
      </c>
      <c r="V75" s="11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</row>
    <row r="76" spans="1:42" ht="22.5" customHeight="1">
      <c r="A76" s="8"/>
      <c r="B76" s="9" t="s">
        <v>31</v>
      </c>
      <c r="C76" s="10">
        <v>3</v>
      </c>
      <c r="D76" s="10"/>
      <c r="E76" s="10">
        <v>3</v>
      </c>
      <c r="F76" s="10"/>
      <c r="G76" s="10">
        <f t="shared" si="0"/>
        <v>0</v>
      </c>
      <c r="H76" s="9"/>
      <c r="I76" s="10">
        <v>1</v>
      </c>
      <c r="J76" s="10">
        <f t="shared" si="6"/>
        <v>0</v>
      </c>
      <c r="K76" s="9">
        <f t="shared" si="2"/>
        <v>0</v>
      </c>
      <c r="L76" s="11" t="s">
        <v>138</v>
      </c>
      <c r="M76" s="11" t="s">
        <v>304</v>
      </c>
      <c r="N76" s="12" t="str">
        <f t="shared" si="3"/>
        <v>Illumination|Thorlabs|LCP6X</v>
      </c>
      <c r="O76" s="12">
        <f t="shared" si="4"/>
        <v>1</v>
      </c>
      <c r="P76" s="12" t="s">
        <v>38</v>
      </c>
      <c r="Q76" s="12"/>
      <c r="R76" s="13" t="s">
        <v>138</v>
      </c>
      <c r="S76" s="13" t="s">
        <v>304</v>
      </c>
      <c r="T76" s="13" t="s">
        <v>305</v>
      </c>
      <c r="U76" s="11" t="s">
        <v>26</v>
      </c>
      <c r="V76" s="11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</row>
    <row r="77" spans="1:42" ht="22.5" customHeight="1">
      <c r="A77" s="8"/>
      <c r="B77" s="9" t="s">
        <v>31</v>
      </c>
      <c r="C77" s="10">
        <v>1</v>
      </c>
      <c r="D77" s="10"/>
      <c r="E77" s="10">
        <v>1</v>
      </c>
      <c r="F77" s="10"/>
      <c r="G77" s="10">
        <f t="shared" si="0"/>
        <v>0</v>
      </c>
      <c r="H77" s="9"/>
      <c r="I77" s="10">
        <v>1</v>
      </c>
      <c r="J77" s="10">
        <f t="shared" si="6"/>
        <v>0</v>
      </c>
      <c r="K77" s="9">
        <f t="shared" si="2"/>
        <v>0</v>
      </c>
      <c r="L77" s="11" t="s">
        <v>138</v>
      </c>
      <c r="M77" s="11" t="s">
        <v>306</v>
      </c>
      <c r="N77" s="12" t="str">
        <f t="shared" si="3"/>
        <v>Illumination|Thorlabs|LCPA1</v>
      </c>
      <c r="O77" s="12">
        <f t="shared" si="4"/>
        <v>1</v>
      </c>
      <c r="P77" s="12" t="s">
        <v>38</v>
      </c>
      <c r="Q77" s="12"/>
      <c r="R77" s="13" t="s">
        <v>138</v>
      </c>
      <c r="S77" s="13" t="s">
        <v>306</v>
      </c>
      <c r="T77" s="13" t="s">
        <v>307</v>
      </c>
      <c r="U77" s="11" t="s">
        <v>26</v>
      </c>
      <c r="V77" s="11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</row>
    <row r="78" spans="1:42" ht="22.5" customHeight="1">
      <c r="A78" s="8"/>
      <c r="B78" s="9" t="s">
        <v>31</v>
      </c>
      <c r="C78" s="10">
        <v>1</v>
      </c>
      <c r="D78" s="10"/>
      <c r="E78" s="10">
        <v>1</v>
      </c>
      <c r="F78" s="10"/>
      <c r="G78" s="10">
        <f t="shared" si="0"/>
        <v>0</v>
      </c>
      <c r="H78" s="9"/>
      <c r="I78" s="10">
        <v>1</v>
      </c>
      <c r="J78" s="10">
        <f t="shared" si="6"/>
        <v>0</v>
      </c>
      <c r="K78" s="9">
        <f t="shared" si="2"/>
        <v>0</v>
      </c>
      <c r="L78" s="11" t="s">
        <v>138</v>
      </c>
      <c r="M78" s="11" t="s">
        <v>311</v>
      </c>
      <c r="N78" s="12" t="str">
        <f t="shared" si="3"/>
        <v>Illumination|Thorlabs|LMR1AP</v>
      </c>
      <c r="O78" s="12">
        <f t="shared" si="4"/>
        <v>1</v>
      </c>
      <c r="P78" s="12" t="s">
        <v>38</v>
      </c>
      <c r="Q78" s="12"/>
      <c r="R78" s="13" t="s">
        <v>138</v>
      </c>
      <c r="S78" s="13" t="s">
        <v>311</v>
      </c>
      <c r="T78" s="13" t="s">
        <v>312</v>
      </c>
      <c r="U78" s="11" t="s">
        <v>26</v>
      </c>
      <c r="V78" s="11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</row>
    <row r="79" spans="1:42" ht="22.5" customHeight="1">
      <c r="A79" s="8"/>
      <c r="B79" s="9" t="s">
        <v>31</v>
      </c>
      <c r="C79" s="10">
        <v>1</v>
      </c>
      <c r="D79" s="10"/>
      <c r="E79" s="10">
        <v>1</v>
      </c>
      <c r="F79" s="10"/>
      <c r="G79" s="10">
        <f t="shared" si="0"/>
        <v>0</v>
      </c>
      <c r="H79" s="9"/>
      <c r="I79" s="10">
        <v>1</v>
      </c>
      <c r="J79" s="10">
        <f t="shared" si="6"/>
        <v>0</v>
      </c>
      <c r="K79" s="9">
        <f t="shared" si="2"/>
        <v>0</v>
      </c>
      <c r="L79" s="11" t="s">
        <v>138</v>
      </c>
      <c r="M79" s="11" t="s">
        <v>316</v>
      </c>
      <c r="N79" s="12" t="str">
        <f t="shared" si="3"/>
        <v>Illumination|Thorlabs|LMR2AP</v>
      </c>
      <c r="O79" s="12">
        <f t="shared" si="4"/>
        <v>1</v>
      </c>
      <c r="P79" s="12" t="s">
        <v>38</v>
      </c>
      <c r="Q79" s="12"/>
      <c r="R79" s="13" t="s">
        <v>138</v>
      </c>
      <c r="S79" s="13" t="s">
        <v>316</v>
      </c>
      <c r="T79" s="13" t="s">
        <v>317</v>
      </c>
      <c r="U79" s="11" t="s">
        <v>26</v>
      </c>
      <c r="V79" s="11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</row>
    <row r="80" spans="1:42" ht="22.5" customHeight="1">
      <c r="A80" s="8"/>
      <c r="B80" s="9" t="s">
        <v>31</v>
      </c>
      <c r="C80" s="10">
        <v>1</v>
      </c>
      <c r="D80" s="10"/>
      <c r="E80" s="10">
        <v>1</v>
      </c>
      <c r="F80" s="10"/>
      <c r="G80" s="10">
        <f t="shared" si="0"/>
        <v>0</v>
      </c>
      <c r="H80" s="9"/>
      <c r="I80" s="10">
        <v>1</v>
      </c>
      <c r="J80" s="10">
        <f t="shared" si="6"/>
        <v>0</v>
      </c>
      <c r="K80" s="9">
        <f t="shared" si="2"/>
        <v>0</v>
      </c>
      <c r="L80" s="11" t="s">
        <v>138</v>
      </c>
      <c r="M80" s="11" t="s">
        <v>318</v>
      </c>
      <c r="N80" s="12" t="str">
        <f t="shared" si="3"/>
        <v>Illumination|Thorlabs|LMRA9</v>
      </c>
      <c r="O80" s="12">
        <f t="shared" si="4"/>
        <v>1</v>
      </c>
      <c r="P80" s="12" t="s">
        <v>38</v>
      </c>
      <c r="Q80" s="12"/>
      <c r="R80" s="13" t="s">
        <v>138</v>
      </c>
      <c r="S80" s="13" t="s">
        <v>318</v>
      </c>
      <c r="T80" s="13" t="s">
        <v>319</v>
      </c>
      <c r="U80" s="11" t="s">
        <v>26</v>
      </c>
      <c r="V80" s="11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</row>
    <row r="81" spans="1:42" ht="22.5" customHeight="1">
      <c r="A81" s="8"/>
      <c r="B81" s="9" t="s">
        <v>31</v>
      </c>
      <c r="C81" s="10">
        <v>1</v>
      </c>
      <c r="D81" s="10"/>
      <c r="E81" s="10">
        <v>1</v>
      </c>
      <c r="F81" s="10"/>
      <c r="G81" s="10">
        <f t="shared" si="0"/>
        <v>0</v>
      </c>
      <c r="H81" s="9"/>
      <c r="I81" s="10">
        <v>1</v>
      </c>
      <c r="J81" s="10">
        <f t="shared" si="6"/>
        <v>0</v>
      </c>
      <c r="K81" s="9">
        <f t="shared" si="2"/>
        <v>0</v>
      </c>
      <c r="L81" s="11" t="s">
        <v>138</v>
      </c>
      <c r="M81" s="11" t="s">
        <v>322</v>
      </c>
      <c r="N81" s="12" t="str">
        <f t="shared" si="3"/>
        <v>Illumination|Thorlabs|M32M34S</v>
      </c>
      <c r="O81" s="12">
        <f t="shared" si="4"/>
        <v>1</v>
      </c>
      <c r="P81" s="12" t="s">
        <v>38</v>
      </c>
      <c r="Q81" s="12"/>
      <c r="R81" s="13" t="s">
        <v>138</v>
      </c>
      <c r="S81" s="13" t="s">
        <v>322</v>
      </c>
      <c r="T81" s="13" t="s">
        <v>323</v>
      </c>
      <c r="U81" s="11" t="s">
        <v>26</v>
      </c>
      <c r="V81" s="11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</row>
    <row r="82" spans="1:42" ht="22.5" customHeight="1">
      <c r="A82" s="8"/>
      <c r="B82" s="9" t="s">
        <v>31</v>
      </c>
      <c r="C82" s="10">
        <v>1</v>
      </c>
      <c r="D82" s="10"/>
      <c r="E82" s="10">
        <v>1</v>
      </c>
      <c r="F82" s="10">
        <v>0</v>
      </c>
      <c r="G82" s="10">
        <f t="shared" si="0"/>
        <v>0</v>
      </c>
      <c r="H82" s="9"/>
      <c r="I82" s="10">
        <v>1</v>
      </c>
      <c r="J82" s="10">
        <f t="shared" si="6"/>
        <v>0</v>
      </c>
      <c r="K82" s="9">
        <f t="shared" si="2"/>
        <v>0</v>
      </c>
      <c r="L82" s="11" t="s">
        <v>138</v>
      </c>
      <c r="M82" s="11" t="s">
        <v>324</v>
      </c>
      <c r="N82" s="12" t="str">
        <f t="shared" si="3"/>
        <v>Illumination|Thorlabs|M43L01</v>
      </c>
      <c r="O82" s="12">
        <f t="shared" si="4"/>
        <v>1</v>
      </c>
      <c r="P82" s="12"/>
      <c r="Q82" s="12"/>
      <c r="R82" s="13" t="s">
        <v>138</v>
      </c>
      <c r="S82" s="13" t="s">
        <v>324</v>
      </c>
      <c r="T82" s="13" t="s">
        <v>325</v>
      </c>
      <c r="U82" s="11" t="s">
        <v>326</v>
      </c>
      <c r="V82" s="11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</row>
    <row r="83" spans="1:42" ht="22.5" customHeight="1">
      <c r="A83" s="8"/>
      <c r="B83" s="9" t="s">
        <v>31</v>
      </c>
      <c r="C83" s="10">
        <v>1</v>
      </c>
      <c r="D83" s="10"/>
      <c r="E83" s="10">
        <v>1</v>
      </c>
      <c r="F83" s="10"/>
      <c r="G83" s="10">
        <f t="shared" si="0"/>
        <v>0</v>
      </c>
      <c r="H83" s="9"/>
      <c r="I83" s="10">
        <v>1</v>
      </c>
      <c r="J83" s="10">
        <f t="shared" si="6"/>
        <v>0</v>
      </c>
      <c r="K83" s="9">
        <f t="shared" si="2"/>
        <v>0</v>
      </c>
      <c r="L83" s="11" t="s">
        <v>138</v>
      </c>
      <c r="M83" s="11" t="s">
        <v>329</v>
      </c>
      <c r="N83" s="12" t="str">
        <f t="shared" si="3"/>
        <v>Illumination|Thorlabs|MB1012</v>
      </c>
      <c r="O83" s="12">
        <f t="shared" si="4"/>
        <v>1</v>
      </c>
      <c r="P83" s="12" t="s">
        <v>38</v>
      </c>
      <c r="Q83" s="12"/>
      <c r="R83" s="13" t="s">
        <v>138</v>
      </c>
      <c r="S83" s="13" t="s">
        <v>329</v>
      </c>
      <c r="T83" s="13" t="s">
        <v>330</v>
      </c>
      <c r="U83" s="11" t="s">
        <v>26</v>
      </c>
      <c r="V83" s="11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</row>
    <row r="84" spans="1:42" ht="22.5" customHeight="1">
      <c r="A84" s="8"/>
      <c r="B84" s="9" t="s">
        <v>31</v>
      </c>
      <c r="C84" s="10">
        <v>1</v>
      </c>
      <c r="D84" s="10"/>
      <c r="E84" s="10">
        <v>1</v>
      </c>
      <c r="F84" s="10"/>
      <c r="G84" s="10">
        <f t="shared" si="0"/>
        <v>0</v>
      </c>
      <c r="H84" s="9"/>
      <c r="I84" s="10">
        <v>1</v>
      </c>
      <c r="J84" s="10">
        <f t="shared" si="6"/>
        <v>0</v>
      </c>
      <c r="K84" s="9">
        <f t="shared" si="2"/>
        <v>0</v>
      </c>
      <c r="L84" s="11" t="s">
        <v>138</v>
      </c>
      <c r="M84" s="11" t="s">
        <v>351</v>
      </c>
      <c r="N84" s="12" t="str">
        <f t="shared" si="3"/>
        <v>Illumination|Thorlabs|P1-460B-FC-1</v>
      </c>
      <c r="O84" s="12">
        <f t="shared" si="4"/>
        <v>1</v>
      </c>
      <c r="P84" s="12"/>
      <c r="Q84" s="12"/>
      <c r="R84" s="13" t="s">
        <v>138</v>
      </c>
      <c r="S84" s="13" t="s">
        <v>351</v>
      </c>
      <c r="T84" s="13"/>
      <c r="U84" s="11"/>
      <c r="V84" s="11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</row>
    <row r="85" spans="1:42" ht="22.5" customHeight="1">
      <c r="A85" s="8"/>
      <c r="B85" s="9" t="s">
        <v>31</v>
      </c>
      <c r="C85" s="10">
        <v>1</v>
      </c>
      <c r="D85" s="10"/>
      <c r="E85" s="10">
        <v>1</v>
      </c>
      <c r="F85" s="10"/>
      <c r="G85" s="10">
        <f t="shared" si="0"/>
        <v>0</v>
      </c>
      <c r="H85" s="9"/>
      <c r="I85" s="10">
        <v>1</v>
      </c>
      <c r="J85" s="10">
        <f t="shared" si="6"/>
        <v>0</v>
      </c>
      <c r="K85" s="9">
        <f t="shared" si="2"/>
        <v>0</v>
      </c>
      <c r="L85" s="11" t="s">
        <v>138</v>
      </c>
      <c r="M85" s="11" t="s">
        <v>360</v>
      </c>
      <c r="N85" s="12" t="str">
        <f t="shared" si="3"/>
        <v>Illumination|Thorlabs|PAF2-A7A</v>
      </c>
      <c r="O85" s="12">
        <f t="shared" si="4"/>
        <v>1</v>
      </c>
      <c r="P85" s="12" t="s">
        <v>38</v>
      </c>
      <c r="Q85" s="12"/>
      <c r="R85" s="13" t="s">
        <v>138</v>
      </c>
      <c r="S85" s="13" t="s">
        <v>360</v>
      </c>
      <c r="T85" s="12" t="s">
        <v>361</v>
      </c>
      <c r="U85" s="11" t="s">
        <v>26</v>
      </c>
      <c r="V85" s="11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</row>
    <row r="86" spans="1:42" ht="22.5" customHeight="1">
      <c r="A86" s="8"/>
      <c r="B86" s="9" t="s">
        <v>31</v>
      </c>
      <c r="C86" s="10">
        <v>2</v>
      </c>
      <c r="D86" s="10"/>
      <c r="E86" s="10">
        <v>2</v>
      </c>
      <c r="F86" s="10"/>
      <c r="G86" s="10">
        <f t="shared" si="0"/>
        <v>0</v>
      </c>
      <c r="H86" s="9"/>
      <c r="I86" s="10">
        <v>1</v>
      </c>
      <c r="J86" s="10">
        <f t="shared" si="6"/>
        <v>0</v>
      </c>
      <c r="K86" s="9">
        <f t="shared" si="2"/>
        <v>0</v>
      </c>
      <c r="L86" s="11" t="s">
        <v>138</v>
      </c>
      <c r="M86" s="11" t="s">
        <v>376</v>
      </c>
      <c r="N86" s="12" t="str">
        <f t="shared" si="3"/>
        <v>Illumination|Thorlabs|PH1</v>
      </c>
      <c r="O86" s="12">
        <f t="shared" si="4"/>
        <v>1</v>
      </c>
      <c r="P86" s="12" t="s">
        <v>38</v>
      </c>
      <c r="Q86" s="12"/>
      <c r="R86" s="13" t="s">
        <v>138</v>
      </c>
      <c r="S86" s="13" t="s">
        <v>376</v>
      </c>
      <c r="T86" s="13" t="s">
        <v>377</v>
      </c>
      <c r="U86" s="15" t="s">
        <v>378</v>
      </c>
      <c r="V86" s="11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</row>
    <row r="87" spans="1:42" ht="22.5" customHeight="1">
      <c r="A87" s="8"/>
      <c r="B87" s="9" t="s">
        <v>31</v>
      </c>
      <c r="C87" s="10">
        <v>2</v>
      </c>
      <c r="D87" s="10"/>
      <c r="E87" s="10">
        <v>2</v>
      </c>
      <c r="F87" s="10"/>
      <c r="G87" s="10">
        <f t="shared" si="0"/>
        <v>0</v>
      </c>
      <c r="H87" s="9"/>
      <c r="I87" s="10">
        <v>1</v>
      </c>
      <c r="J87" s="10">
        <f t="shared" si="6"/>
        <v>0</v>
      </c>
      <c r="K87" s="9">
        <f t="shared" si="2"/>
        <v>0</v>
      </c>
      <c r="L87" s="11" t="s">
        <v>138</v>
      </c>
      <c r="M87" s="11" t="s">
        <v>383</v>
      </c>
      <c r="N87" s="12" t="str">
        <f t="shared" si="3"/>
        <v>Illumination|Thorlabs|PH2E</v>
      </c>
      <c r="O87" s="12">
        <f t="shared" si="4"/>
        <v>1</v>
      </c>
      <c r="P87" s="12" t="s">
        <v>38</v>
      </c>
      <c r="Q87" s="12"/>
      <c r="R87" s="13" t="s">
        <v>138</v>
      </c>
      <c r="S87" s="13" t="s">
        <v>383</v>
      </c>
      <c r="T87" s="13" t="s">
        <v>384</v>
      </c>
      <c r="U87" s="11" t="s">
        <v>26</v>
      </c>
      <c r="V87" s="11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</row>
    <row r="88" spans="1:42" ht="22.5" customHeight="1">
      <c r="A88" s="8"/>
      <c r="B88" s="9" t="s">
        <v>31</v>
      </c>
      <c r="C88" s="10">
        <v>4</v>
      </c>
      <c r="D88" s="10"/>
      <c r="E88" s="10">
        <v>5</v>
      </c>
      <c r="F88" s="10"/>
      <c r="G88" s="10">
        <f t="shared" si="0"/>
        <v>0</v>
      </c>
      <c r="H88" s="9"/>
      <c r="I88" s="10">
        <v>1</v>
      </c>
      <c r="J88" s="10">
        <f t="shared" si="6"/>
        <v>0</v>
      </c>
      <c r="K88" s="9">
        <f t="shared" si="2"/>
        <v>0</v>
      </c>
      <c r="L88" s="11" t="s">
        <v>138</v>
      </c>
      <c r="M88" s="11" t="s">
        <v>385</v>
      </c>
      <c r="N88" s="12" t="str">
        <f t="shared" si="3"/>
        <v>Illumination|Thorlabs|PH3</v>
      </c>
      <c r="O88" s="12">
        <f t="shared" si="4"/>
        <v>1</v>
      </c>
      <c r="P88" s="12" t="s">
        <v>38</v>
      </c>
      <c r="Q88" s="12"/>
      <c r="R88" s="13" t="s">
        <v>138</v>
      </c>
      <c r="S88" s="13" t="s">
        <v>385</v>
      </c>
      <c r="T88" s="13" t="s">
        <v>386</v>
      </c>
      <c r="U88" s="11" t="s">
        <v>26</v>
      </c>
      <c r="V88" s="11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</row>
    <row r="89" spans="1:42" ht="22.5" customHeight="1">
      <c r="A89" s="8"/>
      <c r="B89" s="9" t="s">
        <v>31</v>
      </c>
      <c r="C89" s="10">
        <v>3</v>
      </c>
      <c r="D89" s="10"/>
      <c r="E89" s="10">
        <v>3</v>
      </c>
      <c r="F89" s="10"/>
      <c r="G89" s="10">
        <f t="shared" si="0"/>
        <v>0</v>
      </c>
      <c r="H89" s="9"/>
      <c r="I89" s="10">
        <v>1</v>
      </c>
      <c r="J89" s="10">
        <f t="shared" si="6"/>
        <v>0</v>
      </c>
      <c r="K89" s="9">
        <f t="shared" si="2"/>
        <v>0</v>
      </c>
      <c r="L89" s="11" t="s">
        <v>138</v>
      </c>
      <c r="M89" s="11" t="s">
        <v>387</v>
      </c>
      <c r="N89" s="12" t="str">
        <f t="shared" si="3"/>
        <v>Illumination|Thorlabs|PH4</v>
      </c>
      <c r="O89" s="12">
        <f t="shared" si="4"/>
        <v>1</v>
      </c>
      <c r="P89" s="12" t="s">
        <v>38</v>
      </c>
      <c r="Q89" s="12"/>
      <c r="R89" s="13" t="s">
        <v>138</v>
      </c>
      <c r="S89" s="13" t="s">
        <v>387</v>
      </c>
      <c r="T89" s="13" t="s">
        <v>272</v>
      </c>
      <c r="U89" s="11" t="s">
        <v>26</v>
      </c>
      <c r="V89" s="11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</row>
    <row r="90" spans="1:42" ht="22.5" customHeight="1">
      <c r="A90" s="8"/>
      <c r="B90" s="9" t="s">
        <v>31</v>
      </c>
      <c r="C90" s="10">
        <v>2</v>
      </c>
      <c r="D90" s="10"/>
      <c r="E90" s="10">
        <v>2</v>
      </c>
      <c r="F90" s="10"/>
      <c r="G90" s="10">
        <f t="shared" si="0"/>
        <v>0</v>
      </c>
      <c r="H90" s="9"/>
      <c r="I90" s="10">
        <v>1</v>
      </c>
      <c r="J90" s="10">
        <f t="shared" si="6"/>
        <v>0</v>
      </c>
      <c r="K90" s="9">
        <f t="shared" si="2"/>
        <v>0</v>
      </c>
      <c r="L90" s="11" t="s">
        <v>138</v>
      </c>
      <c r="M90" s="11" t="s">
        <v>389</v>
      </c>
      <c r="N90" s="12" t="str">
        <f t="shared" si="3"/>
        <v>Illumination|Thorlabs|PH6</v>
      </c>
      <c r="O90" s="12">
        <f t="shared" si="4"/>
        <v>1</v>
      </c>
      <c r="P90" s="12" t="s">
        <v>38</v>
      </c>
      <c r="Q90" s="12"/>
      <c r="R90" s="13" t="s">
        <v>138</v>
      </c>
      <c r="S90" s="13" t="s">
        <v>389</v>
      </c>
      <c r="T90" s="13" t="s">
        <v>390</v>
      </c>
      <c r="U90" s="11" t="s">
        <v>26</v>
      </c>
      <c r="V90" s="11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</row>
    <row r="91" spans="1:42" ht="22.5" customHeight="1">
      <c r="A91" s="8"/>
      <c r="B91" s="9" t="s">
        <v>31</v>
      </c>
      <c r="C91" s="10">
        <v>1</v>
      </c>
      <c r="D91" s="10"/>
      <c r="E91" s="10">
        <v>1</v>
      </c>
      <c r="F91" s="10"/>
      <c r="G91" s="10">
        <f t="shared" si="0"/>
        <v>0</v>
      </c>
      <c r="H91" s="9"/>
      <c r="I91" s="10">
        <v>1</v>
      </c>
      <c r="J91" s="10">
        <f t="shared" si="6"/>
        <v>0</v>
      </c>
      <c r="K91" s="9">
        <f t="shared" si="2"/>
        <v>0</v>
      </c>
      <c r="L91" s="11" t="s">
        <v>138</v>
      </c>
      <c r="M91" s="11" t="s">
        <v>395</v>
      </c>
      <c r="N91" s="12" t="str">
        <f t="shared" si="3"/>
        <v>Illumination|Thorlabs|PT1</v>
      </c>
      <c r="O91" s="12">
        <f t="shared" si="4"/>
        <v>1</v>
      </c>
      <c r="P91" s="12"/>
      <c r="Q91" s="12"/>
      <c r="R91" s="13" t="s">
        <v>138</v>
      </c>
      <c r="S91" s="13" t="s">
        <v>395</v>
      </c>
      <c r="T91" s="13" t="s">
        <v>396</v>
      </c>
      <c r="U91" s="15" t="s">
        <v>599</v>
      </c>
      <c r="V91" s="11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</row>
    <row r="92" spans="1:42" ht="22.5" customHeight="1">
      <c r="A92" s="8"/>
      <c r="B92" s="9" t="s">
        <v>31</v>
      </c>
      <c r="C92" s="10">
        <v>1</v>
      </c>
      <c r="D92" s="10"/>
      <c r="E92" s="10">
        <v>1</v>
      </c>
      <c r="F92" s="10"/>
      <c r="G92" s="10">
        <f t="shared" si="0"/>
        <v>0</v>
      </c>
      <c r="H92" s="9"/>
      <c r="I92" s="10">
        <v>1</v>
      </c>
      <c r="J92" s="10">
        <f t="shared" si="6"/>
        <v>0</v>
      </c>
      <c r="K92" s="9">
        <f t="shared" si="2"/>
        <v>0</v>
      </c>
      <c r="L92" s="11" t="s">
        <v>138</v>
      </c>
      <c r="M92" s="11" t="s">
        <v>407</v>
      </c>
      <c r="N92" s="12" t="str">
        <f t="shared" si="3"/>
        <v>Illumination|Thorlabs|RA180</v>
      </c>
      <c r="O92" s="12">
        <f t="shared" si="4"/>
        <v>1</v>
      </c>
      <c r="P92" s="12" t="s">
        <v>38</v>
      </c>
      <c r="Q92" s="12"/>
      <c r="R92" s="13" t="s">
        <v>138</v>
      </c>
      <c r="S92" s="13" t="s">
        <v>407</v>
      </c>
      <c r="T92" s="13" t="s">
        <v>408</v>
      </c>
      <c r="U92" s="11" t="s">
        <v>26</v>
      </c>
      <c r="V92" s="11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</row>
    <row r="93" spans="1:42" ht="22.5" customHeight="1">
      <c r="A93" s="8"/>
      <c r="B93" s="9" t="s">
        <v>31</v>
      </c>
      <c r="C93" s="10">
        <v>2</v>
      </c>
      <c r="D93" s="10"/>
      <c r="E93" s="10">
        <v>2</v>
      </c>
      <c r="F93" s="10"/>
      <c r="G93" s="10">
        <f t="shared" si="0"/>
        <v>0</v>
      </c>
      <c r="H93" s="9"/>
      <c r="I93" s="10">
        <v>1</v>
      </c>
      <c r="J93" s="10">
        <f t="shared" si="6"/>
        <v>0</v>
      </c>
      <c r="K93" s="9">
        <f t="shared" si="2"/>
        <v>0</v>
      </c>
      <c r="L93" s="11" t="s">
        <v>138</v>
      </c>
      <c r="M93" s="11" t="s">
        <v>409</v>
      </c>
      <c r="N93" s="12" t="str">
        <f t="shared" si="3"/>
        <v>Illumination|Thorlabs|RA360</v>
      </c>
      <c r="O93" s="12">
        <f t="shared" si="4"/>
        <v>1</v>
      </c>
      <c r="P93" s="12" t="s">
        <v>38</v>
      </c>
      <c r="Q93" s="12"/>
      <c r="R93" s="13" t="s">
        <v>138</v>
      </c>
      <c r="S93" s="13" t="s">
        <v>409</v>
      </c>
      <c r="T93" s="13" t="s">
        <v>410</v>
      </c>
      <c r="U93" s="11" t="s">
        <v>26</v>
      </c>
      <c r="V93" s="11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</row>
    <row r="94" spans="1:42" ht="22.5" customHeight="1">
      <c r="A94" s="8"/>
      <c r="B94" s="9" t="s">
        <v>31</v>
      </c>
      <c r="C94" s="10">
        <v>2</v>
      </c>
      <c r="D94" s="10"/>
      <c r="E94" s="10">
        <v>2</v>
      </c>
      <c r="F94" s="10"/>
      <c r="G94" s="10">
        <f t="shared" si="0"/>
        <v>0</v>
      </c>
      <c r="H94" s="9"/>
      <c r="I94" s="10">
        <v>1</v>
      </c>
      <c r="J94" s="10">
        <f t="shared" si="6"/>
        <v>0</v>
      </c>
      <c r="K94" s="9">
        <f t="shared" si="2"/>
        <v>0</v>
      </c>
      <c r="L94" s="11" t="s">
        <v>138</v>
      </c>
      <c r="M94" s="11" t="s">
        <v>415</v>
      </c>
      <c r="N94" s="12" t="str">
        <f t="shared" si="3"/>
        <v>Illumination|Thorlabs|RS05P</v>
      </c>
      <c r="O94" s="12">
        <f t="shared" si="4"/>
        <v>1</v>
      </c>
      <c r="P94" s="12" t="s">
        <v>38</v>
      </c>
      <c r="Q94" s="12"/>
      <c r="R94" s="13" t="s">
        <v>138</v>
      </c>
      <c r="S94" s="13" t="s">
        <v>415</v>
      </c>
      <c r="T94" s="13" t="s">
        <v>416</v>
      </c>
      <c r="U94" s="11" t="s">
        <v>26</v>
      </c>
      <c r="V94" s="11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</row>
    <row r="95" spans="1:42" ht="22.5" customHeight="1">
      <c r="A95" s="8"/>
      <c r="B95" s="9" t="s">
        <v>31</v>
      </c>
      <c r="C95" s="10">
        <v>2</v>
      </c>
      <c r="D95" s="10"/>
      <c r="E95" s="10">
        <v>2</v>
      </c>
      <c r="F95" s="10"/>
      <c r="G95" s="10">
        <f t="shared" si="0"/>
        <v>0</v>
      </c>
      <c r="H95" s="9"/>
      <c r="I95" s="10">
        <v>1</v>
      </c>
      <c r="J95" s="10">
        <f t="shared" si="6"/>
        <v>0</v>
      </c>
      <c r="K95" s="9">
        <f t="shared" si="2"/>
        <v>0</v>
      </c>
      <c r="L95" s="11" t="s">
        <v>138</v>
      </c>
      <c r="M95" s="11" t="s">
        <v>406</v>
      </c>
      <c r="N95" s="12" t="str">
        <f t="shared" si="3"/>
        <v>Illumination|Thorlabs|RS2P8</v>
      </c>
      <c r="O95" s="12">
        <f t="shared" si="4"/>
        <v>1</v>
      </c>
      <c r="P95" s="12" t="s">
        <v>38</v>
      </c>
      <c r="Q95" s="12"/>
      <c r="R95" s="13" t="s">
        <v>138</v>
      </c>
      <c r="S95" s="13" t="s">
        <v>427</v>
      </c>
      <c r="T95" s="13" t="s">
        <v>428</v>
      </c>
      <c r="U95" s="11" t="s">
        <v>26</v>
      </c>
      <c r="V95" s="11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</row>
    <row r="96" spans="1:42" ht="22.5" customHeight="1">
      <c r="A96" s="8"/>
      <c r="B96" s="9" t="s">
        <v>31</v>
      </c>
      <c r="C96" s="10">
        <v>3</v>
      </c>
      <c r="D96" s="10"/>
      <c r="E96" s="10">
        <v>3</v>
      </c>
      <c r="F96" s="10"/>
      <c r="G96" s="10">
        <f t="shared" si="0"/>
        <v>0</v>
      </c>
      <c r="H96" s="9"/>
      <c r="I96" s="10">
        <v>1</v>
      </c>
      <c r="J96" s="10">
        <f t="shared" si="6"/>
        <v>0</v>
      </c>
      <c r="K96" s="9">
        <f t="shared" si="2"/>
        <v>0</v>
      </c>
      <c r="L96" s="11" t="s">
        <v>138</v>
      </c>
      <c r="M96" s="11" t="s">
        <v>430</v>
      </c>
      <c r="N96" s="12" t="str">
        <f t="shared" si="3"/>
        <v>Illumination|Thorlabs|RS4P</v>
      </c>
      <c r="O96" s="12">
        <f t="shared" si="4"/>
        <v>1</v>
      </c>
      <c r="P96" s="12" t="s">
        <v>38</v>
      </c>
      <c r="Q96" s="12"/>
      <c r="R96" s="13" t="s">
        <v>138</v>
      </c>
      <c r="S96" s="13" t="s">
        <v>430</v>
      </c>
      <c r="T96" s="13" t="s">
        <v>431</v>
      </c>
      <c r="U96" s="11" t="s">
        <v>26</v>
      </c>
      <c r="V96" s="11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</row>
    <row r="97" spans="1:42" ht="22.5" customHeight="1">
      <c r="A97" s="8"/>
      <c r="B97" s="9" t="s">
        <v>31</v>
      </c>
      <c r="C97" s="10">
        <v>2</v>
      </c>
      <c r="D97" s="10"/>
      <c r="E97" s="10">
        <v>2</v>
      </c>
      <c r="F97" s="10"/>
      <c r="G97" s="10">
        <f t="shared" si="0"/>
        <v>0</v>
      </c>
      <c r="H97" s="9"/>
      <c r="I97" s="10">
        <v>1</v>
      </c>
      <c r="J97" s="10">
        <f t="shared" si="6"/>
        <v>0</v>
      </c>
      <c r="K97" s="9">
        <f t="shared" si="2"/>
        <v>0</v>
      </c>
      <c r="L97" s="11" t="s">
        <v>138</v>
      </c>
      <c r="M97" s="11" t="s">
        <v>432</v>
      </c>
      <c r="N97" s="12" t="str">
        <f t="shared" si="3"/>
        <v>Illumination|Thorlabs|RS6P</v>
      </c>
      <c r="O97" s="12">
        <f t="shared" si="4"/>
        <v>1</v>
      </c>
      <c r="P97" s="12" t="s">
        <v>38</v>
      </c>
      <c r="Q97" s="12"/>
      <c r="R97" s="13" t="s">
        <v>138</v>
      </c>
      <c r="S97" s="13" t="s">
        <v>432</v>
      </c>
      <c r="T97" s="13" t="s">
        <v>433</v>
      </c>
      <c r="U97" s="11" t="s">
        <v>26</v>
      </c>
      <c r="V97" s="11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</row>
    <row r="98" spans="1:42" ht="22.5" customHeight="1">
      <c r="A98" s="8"/>
      <c r="B98" s="9" t="s">
        <v>31</v>
      </c>
      <c r="C98" s="10">
        <v>2</v>
      </c>
      <c r="D98" s="10"/>
      <c r="E98" s="10">
        <v>10</v>
      </c>
      <c r="F98" s="10"/>
      <c r="G98" s="10">
        <f t="shared" si="0"/>
        <v>0</v>
      </c>
      <c r="H98" s="9"/>
      <c r="I98" s="10">
        <v>10</v>
      </c>
      <c r="J98" s="10">
        <f t="shared" si="6"/>
        <v>0</v>
      </c>
      <c r="K98" s="9">
        <f t="shared" si="2"/>
        <v>0</v>
      </c>
      <c r="L98" s="11" t="s">
        <v>138</v>
      </c>
      <c r="M98" s="11" t="s">
        <v>435</v>
      </c>
      <c r="N98" s="12" t="str">
        <f t="shared" si="3"/>
        <v>Illumination|Thorlabs|SD1</v>
      </c>
      <c r="O98" s="12">
        <f t="shared" si="4"/>
        <v>1</v>
      </c>
      <c r="P98" s="12"/>
      <c r="Q98" s="12"/>
      <c r="R98" s="13"/>
      <c r="S98" s="13"/>
      <c r="T98" s="13"/>
      <c r="U98" s="11" t="s">
        <v>46</v>
      </c>
      <c r="V98" s="11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</row>
    <row r="99" spans="1:42" ht="22.5" customHeight="1">
      <c r="A99" s="8"/>
      <c r="B99" s="9" t="s">
        <v>31</v>
      </c>
      <c r="C99" s="10">
        <v>1</v>
      </c>
      <c r="D99" s="10"/>
      <c r="E99" s="10">
        <v>1</v>
      </c>
      <c r="F99" s="10"/>
      <c r="G99" s="10">
        <f t="shared" si="0"/>
        <v>0</v>
      </c>
      <c r="H99" s="9"/>
      <c r="I99" s="10">
        <v>1</v>
      </c>
      <c r="J99" s="10">
        <f t="shared" si="6"/>
        <v>0</v>
      </c>
      <c r="K99" s="9">
        <f t="shared" si="2"/>
        <v>0</v>
      </c>
      <c r="L99" s="11" t="s">
        <v>138</v>
      </c>
      <c r="M99" s="11" t="s">
        <v>437</v>
      </c>
      <c r="N99" s="12" t="str">
        <f t="shared" si="3"/>
        <v>Illumination|Thorlabs|SM1A3</v>
      </c>
      <c r="O99" s="12">
        <f t="shared" si="4"/>
        <v>1</v>
      </c>
      <c r="P99" s="12" t="s">
        <v>38</v>
      </c>
      <c r="Q99" s="12"/>
      <c r="R99" s="13" t="s">
        <v>138</v>
      </c>
      <c r="S99" s="13" t="s">
        <v>437</v>
      </c>
      <c r="T99" s="13" t="s">
        <v>438</v>
      </c>
      <c r="U99" s="11" t="s">
        <v>26</v>
      </c>
      <c r="V99" s="11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</row>
    <row r="100" spans="1:42" ht="22.5" customHeight="1">
      <c r="A100" s="8"/>
      <c r="B100" s="9" t="s">
        <v>31</v>
      </c>
      <c r="C100" s="10">
        <v>1</v>
      </c>
      <c r="D100" s="10"/>
      <c r="E100" s="10">
        <v>1</v>
      </c>
      <c r="F100" s="10"/>
      <c r="G100" s="10">
        <f t="shared" si="0"/>
        <v>0</v>
      </c>
      <c r="H100" s="9"/>
      <c r="I100" s="10">
        <v>1</v>
      </c>
      <c r="J100" s="10">
        <f t="shared" si="6"/>
        <v>0</v>
      </c>
      <c r="K100" s="9">
        <f t="shared" si="2"/>
        <v>0</v>
      </c>
      <c r="L100" s="11" t="s">
        <v>138</v>
      </c>
      <c r="M100" s="11" t="s">
        <v>439</v>
      </c>
      <c r="N100" s="12" t="str">
        <f t="shared" si="3"/>
        <v>Illumination|Thorlabs|SM1A34</v>
      </c>
      <c r="O100" s="12">
        <f t="shared" si="4"/>
        <v>1</v>
      </c>
      <c r="P100" s="12" t="s">
        <v>38</v>
      </c>
      <c r="Q100" s="12"/>
      <c r="R100" s="13" t="s">
        <v>138</v>
      </c>
      <c r="S100" s="13" t="s">
        <v>439</v>
      </c>
      <c r="T100" s="13" t="s">
        <v>440</v>
      </c>
      <c r="U100" s="11" t="s">
        <v>26</v>
      </c>
      <c r="V100" s="11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</row>
    <row r="101" spans="1:42" ht="22.5" customHeight="1">
      <c r="A101" s="8"/>
      <c r="B101" s="9" t="s">
        <v>31</v>
      </c>
      <c r="C101" s="10">
        <v>1</v>
      </c>
      <c r="D101" s="10"/>
      <c r="E101" s="10">
        <v>1</v>
      </c>
      <c r="F101" s="10"/>
      <c r="G101" s="10">
        <f t="shared" si="0"/>
        <v>0</v>
      </c>
      <c r="H101" s="9"/>
      <c r="I101" s="10">
        <v>1</v>
      </c>
      <c r="J101" s="10">
        <f t="shared" si="6"/>
        <v>0</v>
      </c>
      <c r="K101" s="9">
        <f t="shared" si="2"/>
        <v>0</v>
      </c>
      <c r="L101" s="11" t="s">
        <v>138</v>
      </c>
      <c r="M101" s="11" t="s">
        <v>442</v>
      </c>
      <c r="N101" s="12" t="str">
        <f t="shared" si="3"/>
        <v>Illumination|Thorlabs|SM1AP1</v>
      </c>
      <c r="O101" s="12">
        <f t="shared" si="4"/>
        <v>1</v>
      </c>
      <c r="P101" s="12" t="s">
        <v>38</v>
      </c>
      <c r="Q101" s="12"/>
      <c r="R101" s="13" t="s">
        <v>138</v>
      </c>
      <c r="S101" s="13" t="s">
        <v>442</v>
      </c>
      <c r="T101" s="13" t="s">
        <v>443</v>
      </c>
      <c r="U101" s="11" t="s">
        <v>26</v>
      </c>
      <c r="V101" s="11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</row>
    <row r="102" spans="1:42" ht="22.5" customHeight="1">
      <c r="A102" s="8"/>
      <c r="B102" s="9" t="s">
        <v>31</v>
      </c>
      <c r="C102" s="10">
        <v>1</v>
      </c>
      <c r="D102" s="10"/>
      <c r="E102" s="10">
        <v>1</v>
      </c>
      <c r="F102" s="10"/>
      <c r="G102" s="10">
        <f t="shared" si="0"/>
        <v>0</v>
      </c>
      <c r="H102" s="9"/>
      <c r="I102" s="10">
        <v>1</v>
      </c>
      <c r="J102" s="10">
        <f t="shared" si="6"/>
        <v>0</v>
      </c>
      <c r="K102" s="9">
        <f t="shared" si="2"/>
        <v>0</v>
      </c>
      <c r="L102" s="11" t="s">
        <v>138</v>
      </c>
      <c r="M102" s="11" t="s">
        <v>445</v>
      </c>
      <c r="N102" s="12" t="str">
        <f t="shared" si="3"/>
        <v>Illumination|Thorlabs|SM1FC2</v>
      </c>
      <c r="O102" s="12">
        <f t="shared" si="4"/>
        <v>1</v>
      </c>
      <c r="P102" s="12" t="s">
        <v>38</v>
      </c>
      <c r="Q102" s="12"/>
      <c r="R102" s="13" t="s">
        <v>138</v>
      </c>
      <c r="S102" s="13" t="s">
        <v>445</v>
      </c>
      <c r="T102" s="13" t="s">
        <v>446</v>
      </c>
      <c r="U102" s="11" t="s">
        <v>26</v>
      </c>
      <c r="V102" s="11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</row>
    <row r="103" spans="1:42" ht="22.5" customHeight="1">
      <c r="A103" s="8"/>
      <c r="B103" s="9" t="s">
        <v>31</v>
      </c>
      <c r="C103" s="10">
        <v>1</v>
      </c>
      <c r="D103" s="10"/>
      <c r="E103" s="10">
        <v>1</v>
      </c>
      <c r="F103" s="10"/>
      <c r="G103" s="10">
        <f t="shared" si="0"/>
        <v>0</v>
      </c>
      <c r="H103" s="9"/>
      <c r="I103" s="10">
        <v>1</v>
      </c>
      <c r="J103" s="10">
        <f t="shared" si="6"/>
        <v>0</v>
      </c>
      <c r="K103" s="9">
        <f t="shared" si="2"/>
        <v>0</v>
      </c>
      <c r="L103" s="11" t="s">
        <v>138</v>
      </c>
      <c r="M103" s="11" t="s">
        <v>453</v>
      </c>
      <c r="N103" s="12" t="str">
        <f t="shared" si="3"/>
        <v>Illumination|Thorlabs|SM1S8M</v>
      </c>
      <c r="O103" s="12">
        <f t="shared" si="4"/>
        <v>1</v>
      </c>
      <c r="P103" s="12" t="s">
        <v>38</v>
      </c>
      <c r="Q103" s="12"/>
      <c r="R103" s="13" t="s">
        <v>138</v>
      </c>
      <c r="S103" s="13" t="s">
        <v>453</v>
      </c>
      <c r="T103" s="13" t="s">
        <v>454</v>
      </c>
      <c r="U103" s="11" t="s">
        <v>26</v>
      </c>
      <c r="V103" s="11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</row>
    <row r="104" spans="1:42" ht="22.5" customHeight="1">
      <c r="A104" s="8"/>
      <c r="B104" s="9" t="s">
        <v>31</v>
      </c>
      <c r="C104" s="10">
        <v>1</v>
      </c>
      <c r="D104" s="10"/>
      <c r="E104" s="10">
        <v>1</v>
      </c>
      <c r="F104" s="10"/>
      <c r="G104" s="10">
        <f t="shared" si="0"/>
        <v>0</v>
      </c>
      <c r="H104" s="9"/>
      <c r="I104" s="10">
        <v>1</v>
      </c>
      <c r="J104" s="10">
        <f t="shared" si="6"/>
        <v>0</v>
      </c>
      <c r="K104" s="9">
        <f t="shared" si="2"/>
        <v>0</v>
      </c>
      <c r="L104" s="11" t="s">
        <v>138</v>
      </c>
      <c r="M104" s="11" t="s">
        <v>458</v>
      </c>
      <c r="N104" s="12" t="str">
        <f t="shared" si="3"/>
        <v>Illumination|Thorlabs|SM1ZA</v>
      </c>
      <c r="O104" s="12">
        <f t="shared" si="4"/>
        <v>1</v>
      </c>
      <c r="P104" s="12" t="s">
        <v>38</v>
      </c>
      <c r="Q104" s="12"/>
      <c r="R104" s="13" t="s">
        <v>138</v>
      </c>
      <c r="S104" s="13" t="s">
        <v>458</v>
      </c>
      <c r="T104" s="13" t="s">
        <v>459</v>
      </c>
      <c r="U104" s="11" t="s">
        <v>26</v>
      </c>
      <c r="V104" s="11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</row>
    <row r="105" spans="1:42" ht="22.5" customHeight="1">
      <c r="A105" s="8"/>
      <c r="B105" s="9" t="s">
        <v>31</v>
      </c>
      <c r="C105" s="10">
        <v>1</v>
      </c>
      <c r="D105" s="10"/>
      <c r="E105" s="10">
        <v>1</v>
      </c>
      <c r="F105" s="10"/>
      <c r="G105" s="10">
        <f t="shared" si="0"/>
        <v>0</v>
      </c>
      <c r="H105" s="9"/>
      <c r="I105" s="10">
        <v>1</v>
      </c>
      <c r="J105" s="10">
        <f t="shared" si="6"/>
        <v>0</v>
      </c>
      <c r="K105" s="9">
        <f t="shared" si="2"/>
        <v>0</v>
      </c>
      <c r="L105" s="11" t="s">
        <v>138</v>
      </c>
      <c r="M105" s="11" t="s">
        <v>460</v>
      </c>
      <c r="N105" s="12" t="str">
        <f t="shared" si="3"/>
        <v>Illumination|Thorlabs|SM2A20</v>
      </c>
      <c r="O105" s="12">
        <f t="shared" si="4"/>
        <v>1</v>
      </c>
      <c r="P105" s="12"/>
      <c r="Q105" s="12"/>
      <c r="R105" s="13" t="s">
        <v>138</v>
      </c>
      <c r="S105" s="13" t="s">
        <v>460</v>
      </c>
      <c r="T105" s="13" t="s">
        <v>461</v>
      </c>
      <c r="U105" s="16" t="s">
        <v>462</v>
      </c>
      <c r="V105" s="11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</row>
    <row r="106" spans="1:42" ht="22.5" customHeight="1">
      <c r="A106" s="8"/>
      <c r="B106" s="9" t="s">
        <v>31</v>
      </c>
      <c r="C106" s="10">
        <v>1</v>
      </c>
      <c r="D106" s="10"/>
      <c r="E106" s="10">
        <v>1</v>
      </c>
      <c r="F106" s="10"/>
      <c r="G106" s="10">
        <f t="shared" si="0"/>
        <v>0</v>
      </c>
      <c r="H106" s="9"/>
      <c r="I106" s="10">
        <v>1</v>
      </c>
      <c r="J106" s="10">
        <f t="shared" si="6"/>
        <v>0</v>
      </c>
      <c r="K106" s="9">
        <f t="shared" si="2"/>
        <v>0</v>
      </c>
      <c r="L106" s="11" t="s">
        <v>138</v>
      </c>
      <c r="M106" s="11" t="s">
        <v>464</v>
      </c>
      <c r="N106" s="12" t="str">
        <f t="shared" si="3"/>
        <v>Illumination|Thorlabs|SM2AP1</v>
      </c>
      <c r="O106" s="12">
        <f t="shared" si="4"/>
        <v>1</v>
      </c>
      <c r="P106" s="12" t="s">
        <v>38</v>
      </c>
      <c r="Q106" s="12"/>
      <c r="R106" s="13" t="s">
        <v>138</v>
      </c>
      <c r="S106" s="13" t="s">
        <v>464</v>
      </c>
      <c r="T106" s="13" t="s">
        <v>465</v>
      </c>
      <c r="U106" s="11" t="s">
        <v>26</v>
      </c>
      <c r="V106" s="11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</row>
    <row r="107" spans="1:42" ht="22.5" customHeight="1">
      <c r="A107" s="8"/>
      <c r="B107" s="9" t="s">
        <v>31</v>
      </c>
      <c r="C107" s="10">
        <v>2</v>
      </c>
      <c r="D107" s="10"/>
      <c r="E107" s="10">
        <v>3</v>
      </c>
      <c r="F107" s="10"/>
      <c r="G107" s="10">
        <f t="shared" si="0"/>
        <v>0</v>
      </c>
      <c r="H107" s="9"/>
      <c r="I107" s="10">
        <v>1</v>
      </c>
      <c r="J107" s="10">
        <f t="shared" si="6"/>
        <v>0</v>
      </c>
      <c r="K107" s="9">
        <f t="shared" si="2"/>
        <v>0</v>
      </c>
      <c r="L107" s="11" t="s">
        <v>138</v>
      </c>
      <c r="M107" s="11" t="s">
        <v>479</v>
      </c>
      <c r="N107" s="12" t="str">
        <f t="shared" si="3"/>
        <v>Illumination|Thorlabs|SPT1C</v>
      </c>
      <c r="O107" s="12">
        <f t="shared" si="4"/>
        <v>1</v>
      </c>
      <c r="P107" s="12" t="s">
        <v>38</v>
      </c>
      <c r="Q107" s="12"/>
      <c r="R107" s="13" t="s">
        <v>138</v>
      </c>
      <c r="S107" s="13" t="s">
        <v>479</v>
      </c>
      <c r="T107" s="13" t="s">
        <v>480</v>
      </c>
      <c r="U107" s="11" t="s">
        <v>26</v>
      </c>
      <c r="V107" s="11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</row>
    <row r="108" spans="1:42" ht="22.5" customHeight="1">
      <c r="A108" s="8"/>
      <c r="B108" s="9" t="s">
        <v>31</v>
      </c>
      <c r="C108" s="10">
        <v>1</v>
      </c>
      <c r="D108" s="10"/>
      <c r="E108" s="10">
        <v>1</v>
      </c>
      <c r="F108" s="10"/>
      <c r="G108" s="10">
        <f t="shared" si="0"/>
        <v>0</v>
      </c>
      <c r="H108" s="9"/>
      <c r="I108" s="10">
        <v>1</v>
      </c>
      <c r="J108" s="10">
        <f t="shared" si="6"/>
        <v>0</v>
      </c>
      <c r="K108" s="9">
        <f t="shared" si="2"/>
        <v>0</v>
      </c>
      <c r="L108" s="11" t="s">
        <v>138</v>
      </c>
      <c r="M108" s="11" t="s">
        <v>484</v>
      </c>
      <c r="N108" s="12" t="str">
        <f t="shared" si="3"/>
        <v>Illumination|Thorlabs|ST1XY-A</v>
      </c>
      <c r="O108" s="12">
        <f t="shared" si="4"/>
        <v>1</v>
      </c>
      <c r="P108" s="12" t="s">
        <v>38</v>
      </c>
      <c r="Q108" s="12"/>
      <c r="R108" s="13" t="s">
        <v>138</v>
      </c>
      <c r="S108" s="13" t="s">
        <v>484</v>
      </c>
      <c r="T108" s="13" t="s">
        <v>485</v>
      </c>
      <c r="U108" s="11" t="s">
        <v>26</v>
      </c>
      <c r="V108" s="11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</row>
    <row r="109" spans="1:42" ht="22.5" customHeight="1">
      <c r="A109" s="8"/>
      <c r="B109" s="9" t="s">
        <v>31</v>
      </c>
      <c r="C109" s="10">
        <v>1</v>
      </c>
      <c r="D109" s="10"/>
      <c r="E109" s="10">
        <v>1</v>
      </c>
      <c r="F109" s="10"/>
      <c r="G109" s="10">
        <f t="shared" si="0"/>
        <v>0</v>
      </c>
      <c r="H109" s="9"/>
      <c r="I109" s="10">
        <v>1</v>
      </c>
      <c r="J109" s="10">
        <f t="shared" si="6"/>
        <v>0</v>
      </c>
      <c r="K109" s="9">
        <f t="shared" si="2"/>
        <v>0</v>
      </c>
      <c r="L109" s="11" t="s">
        <v>138</v>
      </c>
      <c r="M109" s="11" t="s">
        <v>486</v>
      </c>
      <c r="N109" s="12" t="str">
        <f t="shared" si="3"/>
        <v>Illumination|Thorlabs|ST1XY-D</v>
      </c>
      <c r="O109" s="12">
        <f t="shared" si="4"/>
        <v>1</v>
      </c>
      <c r="P109" s="12" t="s">
        <v>38</v>
      </c>
      <c r="Q109" s="12"/>
      <c r="R109" s="13" t="s">
        <v>138</v>
      </c>
      <c r="S109" s="13" t="s">
        <v>486</v>
      </c>
      <c r="T109" s="13" t="s">
        <v>487</v>
      </c>
      <c r="U109" s="11" t="s">
        <v>26</v>
      </c>
      <c r="V109" s="11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</row>
    <row r="110" spans="1:42" ht="22.5" customHeight="1">
      <c r="A110" s="8"/>
      <c r="B110" s="9" t="s">
        <v>31</v>
      </c>
      <c r="C110" s="10">
        <v>2</v>
      </c>
      <c r="D110" s="10"/>
      <c r="E110" s="10">
        <v>2</v>
      </c>
      <c r="F110" s="10"/>
      <c r="G110" s="10">
        <f t="shared" si="0"/>
        <v>0</v>
      </c>
      <c r="H110" s="9"/>
      <c r="I110" s="10">
        <v>1</v>
      </c>
      <c r="J110" s="10">
        <f t="shared" si="6"/>
        <v>0</v>
      </c>
      <c r="K110" s="9">
        <f t="shared" si="2"/>
        <v>0</v>
      </c>
      <c r="L110" s="11" t="s">
        <v>138</v>
      </c>
      <c r="M110" s="11" t="s">
        <v>496</v>
      </c>
      <c r="N110" s="12" t="str">
        <f t="shared" si="3"/>
        <v>Illumination|Thorlabs|TR075</v>
      </c>
      <c r="O110" s="12">
        <f t="shared" si="4"/>
        <v>1</v>
      </c>
      <c r="P110" s="12" t="s">
        <v>38</v>
      </c>
      <c r="Q110" s="12"/>
      <c r="R110" s="13" t="s">
        <v>138</v>
      </c>
      <c r="S110" s="13" t="s">
        <v>496</v>
      </c>
      <c r="T110" s="13" t="s">
        <v>497</v>
      </c>
      <c r="U110" s="11" t="s">
        <v>26</v>
      </c>
      <c r="V110" s="11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</row>
    <row r="111" spans="1:42" ht="22.5" customHeight="1">
      <c r="A111" s="8"/>
      <c r="B111" s="9" t="s">
        <v>31</v>
      </c>
      <c r="C111" s="10">
        <v>1</v>
      </c>
      <c r="D111" s="10"/>
      <c r="E111" s="10">
        <v>1</v>
      </c>
      <c r="F111" s="10"/>
      <c r="G111" s="10">
        <f t="shared" si="0"/>
        <v>0</v>
      </c>
      <c r="H111" s="9"/>
      <c r="I111" s="10">
        <v>1</v>
      </c>
      <c r="J111" s="10">
        <f t="shared" si="6"/>
        <v>0</v>
      </c>
      <c r="K111" s="9">
        <f t="shared" si="2"/>
        <v>0</v>
      </c>
      <c r="L111" s="11" t="s">
        <v>138</v>
      </c>
      <c r="M111" s="11" t="s">
        <v>498</v>
      </c>
      <c r="N111" s="12" t="str">
        <f t="shared" si="3"/>
        <v>Illumination|Thorlabs|TR1</v>
      </c>
      <c r="O111" s="12">
        <f t="shared" si="4"/>
        <v>1</v>
      </c>
      <c r="P111" s="12" t="s">
        <v>38</v>
      </c>
      <c r="Q111" s="12"/>
      <c r="R111" s="13" t="s">
        <v>138</v>
      </c>
      <c r="S111" s="13" t="s">
        <v>498</v>
      </c>
      <c r="T111" s="13" t="s">
        <v>499</v>
      </c>
      <c r="U111" s="15" t="s">
        <v>500</v>
      </c>
      <c r="V111" s="11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</row>
    <row r="112" spans="1:42" ht="22.5" customHeight="1">
      <c r="A112" s="8"/>
      <c r="B112" s="9" t="s">
        <v>31</v>
      </c>
      <c r="C112" s="10">
        <v>2</v>
      </c>
      <c r="D112" s="10"/>
      <c r="E112" s="10">
        <v>2</v>
      </c>
      <c r="F112" s="10"/>
      <c r="G112" s="10">
        <f t="shared" si="0"/>
        <v>0</v>
      </c>
      <c r="H112" s="9"/>
      <c r="I112" s="10">
        <v>1</v>
      </c>
      <c r="J112" s="10">
        <f t="shared" si="6"/>
        <v>0</v>
      </c>
      <c r="K112" s="9">
        <f t="shared" si="2"/>
        <v>0</v>
      </c>
      <c r="L112" s="11" t="s">
        <v>138</v>
      </c>
      <c r="M112" s="11" t="s">
        <v>502</v>
      </c>
      <c r="N112" s="12" t="str">
        <f t="shared" si="3"/>
        <v>Illumination|Thorlabs|TR2</v>
      </c>
      <c r="O112" s="12">
        <f t="shared" si="4"/>
        <v>1</v>
      </c>
      <c r="P112" s="12" t="s">
        <v>38</v>
      </c>
      <c r="Q112" s="12"/>
      <c r="R112" s="13" t="s">
        <v>138</v>
      </c>
      <c r="S112" s="13" t="s">
        <v>502</v>
      </c>
      <c r="T112" s="13" t="s">
        <v>503</v>
      </c>
      <c r="U112" s="15" t="s">
        <v>504</v>
      </c>
      <c r="V112" s="11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</row>
    <row r="113" spans="1:42" ht="22.5" customHeight="1">
      <c r="A113" s="8"/>
      <c r="B113" s="9" t="s">
        <v>31</v>
      </c>
      <c r="C113" s="10">
        <v>5</v>
      </c>
      <c r="D113" s="10"/>
      <c r="E113" s="10">
        <v>5</v>
      </c>
      <c r="F113" s="10"/>
      <c r="G113" s="10">
        <f t="shared" si="0"/>
        <v>0</v>
      </c>
      <c r="H113" s="9"/>
      <c r="I113" s="10">
        <v>1</v>
      </c>
      <c r="J113" s="10">
        <f t="shared" si="6"/>
        <v>0</v>
      </c>
      <c r="K113" s="9">
        <f t="shared" si="2"/>
        <v>0</v>
      </c>
      <c r="L113" s="11" t="s">
        <v>138</v>
      </c>
      <c r="M113" s="11" t="s">
        <v>505</v>
      </c>
      <c r="N113" s="12" t="str">
        <f t="shared" si="3"/>
        <v>Illumination|Thorlabs|TR3</v>
      </c>
      <c r="O113" s="12">
        <f t="shared" si="4"/>
        <v>1</v>
      </c>
      <c r="P113" s="12" t="s">
        <v>38</v>
      </c>
      <c r="Q113" s="12"/>
      <c r="R113" s="13" t="s">
        <v>138</v>
      </c>
      <c r="S113" s="13" t="s">
        <v>505</v>
      </c>
      <c r="T113" s="13" t="s">
        <v>506</v>
      </c>
      <c r="U113" s="11" t="s">
        <v>26</v>
      </c>
      <c r="V113" s="11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</row>
    <row r="114" spans="1:42" ht="22.5" customHeight="1">
      <c r="A114" s="8"/>
      <c r="B114" s="9" t="s">
        <v>31</v>
      </c>
      <c r="C114" s="10">
        <v>1</v>
      </c>
      <c r="D114" s="10"/>
      <c r="E114" s="10">
        <v>1</v>
      </c>
      <c r="F114" s="10"/>
      <c r="G114" s="10">
        <f t="shared" si="0"/>
        <v>0</v>
      </c>
      <c r="H114" s="9"/>
      <c r="I114" s="10">
        <v>1</v>
      </c>
      <c r="J114" s="10">
        <f t="shared" si="6"/>
        <v>0</v>
      </c>
      <c r="K114" s="9">
        <f t="shared" si="2"/>
        <v>0</v>
      </c>
      <c r="L114" s="11" t="s">
        <v>138</v>
      </c>
      <c r="M114" s="11" t="s">
        <v>507</v>
      </c>
      <c r="N114" s="12" t="str">
        <f t="shared" si="3"/>
        <v>Illumination|Thorlabs|TR4</v>
      </c>
      <c r="O114" s="12">
        <f t="shared" si="4"/>
        <v>1</v>
      </c>
      <c r="P114" s="12" t="s">
        <v>38</v>
      </c>
      <c r="Q114" s="12"/>
      <c r="R114" s="13" t="s">
        <v>138</v>
      </c>
      <c r="S114" s="13" t="s">
        <v>507</v>
      </c>
      <c r="T114" s="13" t="s">
        <v>508</v>
      </c>
      <c r="U114" s="11" t="s">
        <v>26</v>
      </c>
      <c r="V114" s="11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</row>
    <row r="115" spans="1:42" ht="22.5" customHeight="1">
      <c r="A115" s="8"/>
      <c r="B115" s="9" t="s">
        <v>31</v>
      </c>
      <c r="C115" s="10">
        <v>2</v>
      </c>
      <c r="D115" s="10"/>
      <c r="E115" s="10">
        <v>2</v>
      </c>
      <c r="F115" s="10"/>
      <c r="G115" s="10">
        <f t="shared" si="0"/>
        <v>0</v>
      </c>
      <c r="H115" s="9"/>
      <c r="I115" s="10">
        <v>1</v>
      </c>
      <c r="J115" s="10">
        <f t="shared" si="6"/>
        <v>0</v>
      </c>
      <c r="K115" s="9">
        <f t="shared" si="2"/>
        <v>0</v>
      </c>
      <c r="L115" s="11" t="s">
        <v>138</v>
      </c>
      <c r="M115" s="11" t="s">
        <v>510</v>
      </c>
      <c r="N115" s="12" t="str">
        <f t="shared" si="3"/>
        <v>Illumination|Thorlabs|TR6</v>
      </c>
      <c r="O115" s="12">
        <f t="shared" si="4"/>
        <v>1</v>
      </c>
      <c r="P115" s="12" t="s">
        <v>38</v>
      </c>
      <c r="Q115" s="12"/>
      <c r="R115" s="13" t="s">
        <v>138</v>
      </c>
      <c r="S115" s="13" t="s">
        <v>510</v>
      </c>
      <c r="T115" s="13" t="s">
        <v>511</v>
      </c>
      <c r="U115" s="11" t="s">
        <v>26</v>
      </c>
      <c r="V115" s="11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</row>
    <row r="116" spans="1:42" ht="22.5" customHeight="1">
      <c r="A116" s="8"/>
      <c r="B116" s="9" t="s">
        <v>31</v>
      </c>
      <c r="C116" s="10">
        <v>2</v>
      </c>
      <c r="D116" s="10"/>
      <c r="E116" s="10">
        <v>2</v>
      </c>
      <c r="F116" s="10"/>
      <c r="G116" s="10">
        <f t="shared" si="0"/>
        <v>0</v>
      </c>
      <c r="H116" s="9"/>
      <c r="I116" s="10">
        <v>1</v>
      </c>
      <c r="J116" s="10">
        <f t="shared" si="6"/>
        <v>0</v>
      </c>
      <c r="K116" s="9">
        <f t="shared" si="2"/>
        <v>0</v>
      </c>
      <c r="L116" s="11" t="s">
        <v>138</v>
      </c>
      <c r="M116" s="11" t="s">
        <v>512</v>
      </c>
      <c r="N116" s="12" t="str">
        <f t="shared" si="3"/>
        <v>Illumination|Thorlabs|TR8</v>
      </c>
      <c r="O116" s="12">
        <f t="shared" si="4"/>
        <v>1</v>
      </c>
      <c r="P116" s="12" t="s">
        <v>38</v>
      </c>
      <c r="Q116" s="12"/>
      <c r="R116" s="13" t="s">
        <v>138</v>
      </c>
      <c r="S116" s="13" t="s">
        <v>512</v>
      </c>
      <c r="T116" s="13" t="s">
        <v>513</v>
      </c>
      <c r="U116" s="11" t="s">
        <v>26</v>
      </c>
      <c r="V116" s="11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</row>
    <row r="117" spans="1:42" ht="22.5" customHeight="1">
      <c r="A117" s="8"/>
      <c r="B117" s="9" t="s">
        <v>31</v>
      </c>
      <c r="C117" s="10">
        <v>1</v>
      </c>
      <c r="D117" s="10"/>
      <c r="E117" s="10">
        <v>1</v>
      </c>
      <c r="F117" s="10"/>
      <c r="G117" s="10">
        <f t="shared" si="0"/>
        <v>0</v>
      </c>
      <c r="H117" s="9"/>
      <c r="I117" s="10">
        <v>1</v>
      </c>
      <c r="J117" s="10">
        <f t="shared" si="6"/>
        <v>0</v>
      </c>
      <c r="K117" s="9">
        <f t="shared" si="2"/>
        <v>0</v>
      </c>
      <c r="L117" s="11" t="s">
        <v>138</v>
      </c>
      <c r="M117" s="11" t="s">
        <v>530</v>
      </c>
      <c r="N117" s="12" t="str">
        <f t="shared" si="3"/>
        <v>Illumination|Thorlabs|VRC3CPT</v>
      </c>
      <c r="O117" s="12">
        <f t="shared" si="4"/>
        <v>1</v>
      </c>
      <c r="P117" s="12" t="s">
        <v>38</v>
      </c>
      <c r="Q117" s="12"/>
      <c r="R117" s="13" t="s">
        <v>138</v>
      </c>
      <c r="S117" s="13" t="s">
        <v>530</v>
      </c>
      <c r="T117" s="13" t="s">
        <v>531</v>
      </c>
      <c r="U117" s="11" t="s">
        <v>26</v>
      </c>
      <c r="V117" s="11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</row>
    <row r="118" spans="1:42" ht="22.5" customHeight="1">
      <c r="A118" s="8"/>
      <c r="B118" s="9" t="s">
        <v>27</v>
      </c>
      <c r="C118" s="10">
        <v>1</v>
      </c>
      <c r="D118" s="10"/>
      <c r="E118" s="10">
        <v>1</v>
      </c>
      <c r="F118" s="10"/>
      <c r="G118" s="10">
        <f t="shared" si="0"/>
        <v>0</v>
      </c>
      <c r="H118" s="9"/>
      <c r="I118" s="10">
        <v>1</v>
      </c>
      <c r="J118" s="10">
        <f t="shared" si="6"/>
        <v>0</v>
      </c>
      <c r="K118" s="9">
        <f t="shared" si="2"/>
        <v>0</v>
      </c>
      <c r="L118" s="11" t="s">
        <v>28</v>
      </c>
      <c r="M118" s="11" t="s">
        <v>29</v>
      </c>
      <c r="N118" s="12" t="str">
        <f t="shared" si="3"/>
        <v>Imaging|Chroma|Remote Mirror (2x2x1 mm3)</v>
      </c>
      <c r="O118" s="12">
        <f t="shared" si="4"/>
        <v>1</v>
      </c>
      <c r="P118" s="12"/>
      <c r="Q118" s="12"/>
      <c r="R118" s="13"/>
      <c r="S118" s="13"/>
      <c r="T118" s="13" t="s">
        <v>30</v>
      </c>
      <c r="U118" s="11"/>
      <c r="V118" s="11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</row>
    <row r="119" spans="1:42" ht="22.5" customHeight="1">
      <c r="A119" s="8"/>
      <c r="B119" s="9" t="s">
        <v>27</v>
      </c>
      <c r="C119" s="10">
        <v>1</v>
      </c>
      <c r="D119" s="10"/>
      <c r="E119" s="10"/>
      <c r="F119" s="10">
        <v>1</v>
      </c>
      <c r="G119" s="10">
        <f t="shared" si="0"/>
        <v>0</v>
      </c>
      <c r="H119" s="9"/>
      <c r="I119" s="10">
        <v>1</v>
      </c>
      <c r="J119" s="10">
        <f t="shared" si="6"/>
        <v>0</v>
      </c>
      <c r="K119" s="9">
        <f t="shared" si="2"/>
        <v>0</v>
      </c>
      <c r="L119" s="11" t="s">
        <v>32</v>
      </c>
      <c r="M119" s="11" t="s">
        <v>42</v>
      </c>
      <c r="N119" s="12" t="str">
        <f t="shared" si="3"/>
        <v>Imaging|CUSTOM|cnc-piezo-mount-001</v>
      </c>
      <c r="O119" s="12">
        <f t="shared" si="4"/>
        <v>1</v>
      </c>
      <c r="P119" s="12"/>
      <c r="Q119" s="12"/>
      <c r="R119" s="13"/>
      <c r="S119" s="13"/>
      <c r="T119" s="13"/>
      <c r="U119" s="11" t="s">
        <v>43</v>
      </c>
      <c r="V119" s="11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</row>
    <row r="120" spans="1:42" ht="22.5" customHeight="1">
      <c r="A120" s="8"/>
      <c r="B120" s="9" t="s">
        <v>27</v>
      </c>
      <c r="C120" s="10">
        <v>1</v>
      </c>
      <c r="D120" s="10"/>
      <c r="E120" s="10">
        <v>1</v>
      </c>
      <c r="F120" s="10"/>
      <c r="G120" s="10">
        <f t="shared" si="0"/>
        <v>0</v>
      </c>
      <c r="H120" s="9"/>
      <c r="I120" s="10">
        <v>1</v>
      </c>
      <c r="J120" s="10">
        <f t="shared" si="6"/>
        <v>0</v>
      </c>
      <c r="K120" s="9">
        <f t="shared" si="2"/>
        <v>0</v>
      </c>
      <c r="L120" s="11" t="s">
        <v>74</v>
      </c>
      <c r="M120" s="11" t="s">
        <v>80</v>
      </c>
      <c r="N120" s="12" t="str">
        <f t="shared" si="3"/>
        <v>Imaging|Edmund Optics|39-032</v>
      </c>
      <c r="O120" s="12">
        <f t="shared" si="4"/>
        <v>1</v>
      </c>
      <c r="P120" s="12" t="s">
        <v>38</v>
      </c>
      <c r="Q120" s="12" t="s">
        <v>81</v>
      </c>
      <c r="R120" s="13" t="s">
        <v>74</v>
      </c>
      <c r="S120" s="13" t="s">
        <v>80</v>
      </c>
      <c r="T120" s="13" t="s">
        <v>82</v>
      </c>
      <c r="U120" s="11" t="s">
        <v>43</v>
      </c>
      <c r="V120" s="11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</row>
    <row r="121" spans="1:42" ht="22.5" customHeight="1">
      <c r="A121" s="8"/>
      <c r="B121" s="9" t="s">
        <v>27</v>
      </c>
      <c r="C121" s="10">
        <v>1</v>
      </c>
      <c r="D121" s="10"/>
      <c r="E121" s="10">
        <v>1</v>
      </c>
      <c r="F121" s="10"/>
      <c r="G121" s="10">
        <f t="shared" si="0"/>
        <v>0</v>
      </c>
      <c r="H121" s="9"/>
      <c r="I121" s="10">
        <v>1</v>
      </c>
      <c r="J121" s="10">
        <f t="shared" si="6"/>
        <v>0</v>
      </c>
      <c r="K121" s="9">
        <f t="shared" si="2"/>
        <v>0</v>
      </c>
      <c r="L121" s="11" t="s">
        <v>97</v>
      </c>
      <c r="M121" s="11" t="s">
        <v>98</v>
      </c>
      <c r="N121" s="12" t="str">
        <f t="shared" si="3"/>
        <v>Imaging|Idex|FL-004389</v>
      </c>
      <c r="O121" s="12">
        <f t="shared" si="4"/>
        <v>1</v>
      </c>
      <c r="P121" s="12"/>
      <c r="Q121" s="12"/>
      <c r="R121" s="13" t="s">
        <v>99</v>
      </c>
      <c r="S121" s="13" t="s">
        <v>100</v>
      </c>
      <c r="T121" s="13" t="s">
        <v>101</v>
      </c>
      <c r="U121" s="11"/>
      <c r="V121" s="11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</row>
    <row r="122" spans="1:42" ht="22.5" customHeight="1">
      <c r="A122" s="8"/>
      <c r="B122" s="9" t="s">
        <v>27</v>
      </c>
      <c r="C122" s="10">
        <v>2</v>
      </c>
      <c r="D122" s="10"/>
      <c r="E122" s="10"/>
      <c r="F122" s="10"/>
      <c r="G122" s="10">
        <f t="shared" si="0"/>
        <v>100</v>
      </c>
      <c r="H122" s="9"/>
      <c r="I122" s="10">
        <v>100</v>
      </c>
      <c r="J122" s="10">
        <f t="shared" si="6"/>
        <v>1</v>
      </c>
      <c r="K122" s="9">
        <f t="shared" si="2"/>
        <v>0</v>
      </c>
      <c r="L122" s="11" t="s">
        <v>106</v>
      </c>
      <c r="M122" s="11" t="s">
        <v>107</v>
      </c>
      <c r="N122" s="12" t="str">
        <f t="shared" si="3"/>
        <v>Imaging|McMaster-Carr|91292A108</v>
      </c>
      <c r="O122" s="12">
        <f t="shared" si="4"/>
        <v>1</v>
      </c>
      <c r="P122" s="12"/>
      <c r="Q122" s="12"/>
      <c r="R122" s="13"/>
      <c r="S122" s="13"/>
      <c r="T122" s="13" t="s">
        <v>108</v>
      </c>
      <c r="U122" s="11" t="s">
        <v>43</v>
      </c>
      <c r="V122" s="11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</row>
    <row r="123" spans="1:42" ht="22.5" customHeight="1">
      <c r="A123" s="8"/>
      <c r="B123" s="9" t="s">
        <v>27</v>
      </c>
      <c r="C123" s="10">
        <v>8</v>
      </c>
      <c r="D123" s="10"/>
      <c r="E123" s="10"/>
      <c r="F123" s="10"/>
      <c r="G123" s="10">
        <f t="shared" si="0"/>
        <v>100</v>
      </c>
      <c r="H123" s="9"/>
      <c r="I123" s="10">
        <v>100</v>
      </c>
      <c r="J123" s="10">
        <f t="shared" si="6"/>
        <v>1</v>
      </c>
      <c r="K123" s="9">
        <f t="shared" si="2"/>
        <v>0</v>
      </c>
      <c r="L123" s="11" t="s">
        <v>106</v>
      </c>
      <c r="M123" s="11" t="s">
        <v>112</v>
      </c>
      <c r="N123" s="12" t="str">
        <f t="shared" si="3"/>
        <v>Imaging|McMaster-Carr|92196A144</v>
      </c>
      <c r="O123" s="12">
        <f t="shared" si="4"/>
        <v>1</v>
      </c>
      <c r="P123" s="12"/>
      <c r="Q123" s="12"/>
      <c r="R123" s="13"/>
      <c r="S123" s="13"/>
      <c r="T123" s="13" t="s">
        <v>113</v>
      </c>
      <c r="U123" s="11" t="s">
        <v>43</v>
      </c>
      <c r="V123" s="11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</row>
    <row r="124" spans="1:42" ht="22.5" customHeight="1">
      <c r="A124" s="8"/>
      <c r="B124" s="9" t="s">
        <v>27</v>
      </c>
      <c r="C124" s="10"/>
      <c r="D124" s="10"/>
      <c r="E124" s="10">
        <v>2</v>
      </c>
      <c r="F124" s="10"/>
      <c r="G124" s="10">
        <f t="shared" si="0"/>
        <v>0</v>
      </c>
      <c r="H124" s="9"/>
      <c r="I124" s="10">
        <v>1</v>
      </c>
      <c r="J124" s="10">
        <f t="shared" si="6"/>
        <v>0</v>
      </c>
      <c r="K124" s="9">
        <f t="shared" si="2"/>
        <v>0</v>
      </c>
      <c r="L124" s="11" t="s">
        <v>114</v>
      </c>
      <c r="M124" s="11" t="s">
        <v>120</v>
      </c>
      <c r="N124" s="12" t="str">
        <f t="shared" si="3"/>
        <v>Imaging|Microscope Central|MRD00045</v>
      </c>
      <c r="O124" s="12">
        <f t="shared" si="4"/>
        <v>1</v>
      </c>
      <c r="P124" s="12"/>
      <c r="Q124" s="12"/>
      <c r="R124" s="13"/>
      <c r="S124" s="13"/>
      <c r="T124" s="13" t="s">
        <v>121</v>
      </c>
      <c r="U124" s="15" t="s">
        <v>122</v>
      </c>
      <c r="V124" s="11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</row>
    <row r="125" spans="1:42" ht="22.5" customHeight="1">
      <c r="A125" s="8"/>
      <c r="B125" s="9" t="s">
        <v>27</v>
      </c>
      <c r="C125" s="10">
        <v>0</v>
      </c>
      <c r="D125" s="10">
        <v>6</v>
      </c>
      <c r="E125" s="10">
        <v>6</v>
      </c>
      <c r="F125" s="10">
        <v>0</v>
      </c>
      <c r="G125" s="10">
        <f t="shared" si="0"/>
        <v>0</v>
      </c>
      <c r="H125" s="9"/>
      <c r="I125" s="10">
        <v>6</v>
      </c>
      <c r="J125" s="10">
        <f t="shared" si="6"/>
        <v>0</v>
      </c>
      <c r="K125" s="9">
        <f t="shared" si="2"/>
        <v>0</v>
      </c>
      <c r="L125" s="11" t="s">
        <v>123</v>
      </c>
      <c r="M125" s="11" t="s">
        <v>124</v>
      </c>
      <c r="N125" s="12" t="str">
        <f t="shared" si="3"/>
        <v>Imaging|Newport|LT10-SP05-PK</v>
      </c>
      <c r="O125" s="12">
        <f t="shared" si="4"/>
        <v>1</v>
      </c>
      <c r="P125" s="12"/>
      <c r="Q125" s="12"/>
      <c r="R125" s="13"/>
      <c r="S125" s="13"/>
      <c r="T125" s="13"/>
      <c r="U125" s="11"/>
      <c r="V125" s="11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</row>
    <row r="126" spans="1:42" ht="22.5" customHeight="1">
      <c r="A126" s="8"/>
      <c r="B126" s="9" t="s">
        <v>27</v>
      </c>
      <c r="C126" s="10">
        <v>5</v>
      </c>
      <c r="D126" s="10">
        <v>1</v>
      </c>
      <c r="E126" s="10">
        <v>6</v>
      </c>
      <c r="F126" s="10">
        <v>0</v>
      </c>
      <c r="G126" s="10">
        <f t="shared" si="0"/>
        <v>0</v>
      </c>
      <c r="H126" s="9"/>
      <c r="I126" s="10">
        <v>6</v>
      </c>
      <c r="J126" s="10">
        <f t="shared" si="6"/>
        <v>0</v>
      </c>
      <c r="K126" s="9">
        <f t="shared" si="2"/>
        <v>0</v>
      </c>
      <c r="L126" s="9" t="s">
        <v>123</v>
      </c>
      <c r="M126" s="9" t="s">
        <v>125</v>
      </c>
      <c r="N126" s="12" t="str">
        <f t="shared" si="3"/>
        <v>Imaging|Newport|LT20-SP1-PK</v>
      </c>
      <c r="O126" s="12">
        <f t="shared" si="4"/>
        <v>1</v>
      </c>
      <c r="P126" s="12"/>
      <c r="Q126" s="12"/>
      <c r="R126" s="13"/>
      <c r="S126" s="13"/>
      <c r="T126" s="13"/>
      <c r="U126" s="11"/>
      <c r="V126" s="11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</row>
    <row r="127" spans="1:42" ht="22.5" customHeight="1">
      <c r="A127" s="8"/>
      <c r="B127" s="9" t="s">
        <v>27</v>
      </c>
      <c r="C127" s="10">
        <v>2</v>
      </c>
      <c r="D127" s="10">
        <v>4</v>
      </c>
      <c r="E127" s="10">
        <v>6</v>
      </c>
      <c r="F127" s="10">
        <v>0</v>
      </c>
      <c r="G127" s="10">
        <f t="shared" si="0"/>
        <v>0</v>
      </c>
      <c r="H127" s="9"/>
      <c r="I127" s="10">
        <v>6</v>
      </c>
      <c r="J127" s="10">
        <f t="shared" si="6"/>
        <v>0</v>
      </c>
      <c r="K127" s="9">
        <f t="shared" si="2"/>
        <v>0</v>
      </c>
      <c r="L127" s="9" t="s">
        <v>123</v>
      </c>
      <c r="M127" s="9" t="s">
        <v>126</v>
      </c>
      <c r="N127" s="12" t="str">
        <f t="shared" si="3"/>
        <v>Imaging|Newport|LT20-SP10-PK</v>
      </c>
      <c r="O127" s="12">
        <f t="shared" si="4"/>
        <v>1</v>
      </c>
      <c r="P127" s="12"/>
      <c r="Q127" s="12"/>
      <c r="R127" s="13"/>
      <c r="S127" s="13"/>
      <c r="T127" s="13"/>
      <c r="U127" s="11"/>
      <c r="V127" s="11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</row>
    <row r="128" spans="1:42" ht="22.5" customHeight="1">
      <c r="A128" s="8"/>
      <c r="B128" s="9" t="s">
        <v>27</v>
      </c>
      <c r="C128" s="10">
        <v>5</v>
      </c>
      <c r="D128" s="10">
        <v>1</v>
      </c>
      <c r="E128" s="10">
        <v>6</v>
      </c>
      <c r="F128" s="10">
        <v>0</v>
      </c>
      <c r="G128" s="10">
        <f t="shared" si="0"/>
        <v>0</v>
      </c>
      <c r="H128" s="9"/>
      <c r="I128" s="10">
        <v>6</v>
      </c>
      <c r="J128" s="10">
        <f t="shared" si="6"/>
        <v>0</v>
      </c>
      <c r="K128" s="9">
        <f t="shared" si="2"/>
        <v>0</v>
      </c>
      <c r="L128" s="9" t="s">
        <v>123</v>
      </c>
      <c r="M128" s="9" t="s">
        <v>127</v>
      </c>
      <c r="N128" s="12" t="str">
        <f t="shared" si="3"/>
        <v>Imaging|Newport|LT20-SP2-PK</v>
      </c>
      <c r="O128" s="12">
        <f t="shared" si="4"/>
        <v>1</v>
      </c>
      <c r="P128" s="12"/>
      <c r="Q128" s="12"/>
      <c r="R128" s="13"/>
      <c r="S128" s="13"/>
      <c r="T128" s="13"/>
      <c r="U128" s="11"/>
      <c r="V128" s="11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</row>
    <row r="129" spans="1:42" ht="22.5" customHeight="1">
      <c r="A129" s="8"/>
      <c r="B129" s="9" t="s">
        <v>27</v>
      </c>
      <c r="C129" s="10">
        <v>0</v>
      </c>
      <c r="D129" s="10">
        <v>6</v>
      </c>
      <c r="E129" s="10">
        <v>6</v>
      </c>
      <c r="F129" s="10">
        <v>0</v>
      </c>
      <c r="G129" s="10">
        <f t="shared" si="0"/>
        <v>0</v>
      </c>
      <c r="H129" s="9"/>
      <c r="I129" s="10">
        <v>6</v>
      </c>
      <c r="J129" s="10">
        <f t="shared" si="6"/>
        <v>0</v>
      </c>
      <c r="K129" s="9">
        <f t="shared" si="2"/>
        <v>0</v>
      </c>
      <c r="L129" s="11" t="s">
        <v>123</v>
      </c>
      <c r="M129" s="11" t="s">
        <v>128</v>
      </c>
      <c r="N129" s="12" t="str">
        <f t="shared" si="3"/>
        <v>Imaging|Newport|LT20-SP4-PK</v>
      </c>
      <c r="O129" s="12">
        <f t="shared" si="4"/>
        <v>1</v>
      </c>
      <c r="P129" s="12"/>
      <c r="Q129" s="12"/>
      <c r="R129" s="13"/>
      <c r="S129" s="13"/>
      <c r="T129" s="13"/>
      <c r="U129" s="11"/>
      <c r="V129" s="11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</row>
    <row r="130" spans="1:42" ht="22.5" customHeight="1">
      <c r="A130" s="8"/>
      <c r="B130" s="9" t="s">
        <v>27</v>
      </c>
      <c r="C130" s="10">
        <v>1</v>
      </c>
      <c r="D130" s="10"/>
      <c r="E130" s="10"/>
      <c r="F130" s="10">
        <v>1</v>
      </c>
      <c r="G130" s="10">
        <f t="shared" si="0"/>
        <v>0</v>
      </c>
      <c r="H130" s="9"/>
      <c r="I130" s="10">
        <v>1</v>
      </c>
      <c r="J130" s="10">
        <f t="shared" si="6"/>
        <v>0</v>
      </c>
      <c r="K130" s="9">
        <f t="shared" si="2"/>
        <v>0</v>
      </c>
      <c r="L130" s="11" t="s">
        <v>123</v>
      </c>
      <c r="M130" s="11" t="s">
        <v>129</v>
      </c>
      <c r="N130" s="12" t="str">
        <f t="shared" si="3"/>
        <v>Imaging|Newport|UGP-1</v>
      </c>
      <c r="O130" s="12">
        <f t="shared" si="4"/>
        <v>1</v>
      </c>
      <c r="P130" s="12"/>
      <c r="Q130" s="12"/>
      <c r="R130" s="13"/>
      <c r="S130" s="13"/>
      <c r="T130" s="13"/>
      <c r="U130" s="11" t="s">
        <v>43</v>
      </c>
      <c r="V130" s="11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</row>
    <row r="131" spans="1:42" ht="22.5" customHeight="1">
      <c r="A131" s="8"/>
      <c r="B131" s="9" t="s">
        <v>27</v>
      </c>
      <c r="C131" s="10"/>
      <c r="D131" s="10"/>
      <c r="E131" s="10">
        <v>1</v>
      </c>
      <c r="F131" s="10"/>
      <c r="G131" s="10">
        <f t="shared" si="0"/>
        <v>0</v>
      </c>
      <c r="H131" s="9"/>
      <c r="I131" s="10">
        <v>1</v>
      </c>
      <c r="J131" s="10">
        <f t="shared" si="6"/>
        <v>0</v>
      </c>
      <c r="K131" s="9">
        <f t="shared" si="2"/>
        <v>0</v>
      </c>
      <c r="L131" s="17" t="s">
        <v>130</v>
      </c>
      <c r="M131" s="11" t="s">
        <v>131</v>
      </c>
      <c r="N131" s="12" t="str">
        <f t="shared" si="3"/>
        <v>Imaging|Spach Optics|UPLANXAPO20X</v>
      </c>
      <c r="O131" s="12">
        <f t="shared" si="4"/>
        <v>1</v>
      </c>
      <c r="P131" s="12" t="s">
        <v>38</v>
      </c>
      <c r="Q131" s="12"/>
      <c r="R131" s="13" t="s">
        <v>132</v>
      </c>
      <c r="S131" s="13"/>
      <c r="T131" s="13" t="s">
        <v>133</v>
      </c>
      <c r="U131" s="16" t="s">
        <v>134</v>
      </c>
      <c r="V131" s="11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</row>
    <row r="132" spans="1:42" ht="22.5" customHeight="1">
      <c r="A132" s="8"/>
      <c r="B132" s="9" t="s">
        <v>27</v>
      </c>
      <c r="C132" s="10"/>
      <c r="D132" s="10"/>
      <c r="E132" s="10"/>
      <c r="F132" s="10"/>
      <c r="G132" s="10">
        <f t="shared" si="0"/>
        <v>0</v>
      </c>
      <c r="H132" s="9"/>
      <c r="I132" s="10">
        <v>1</v>
      </c>
      <c r="J132" s="10">
        <f t="shared" si="6"/>
        <v>0</v>
      </c>
      <c r="K132" s="9">
        <f t="shared" si="2"/>
        <v>0</v>
      </c>
      <c r="L132" s="11" t="s">
        <v>130</v>
      </c>
      <c r="M132" s="11" t="s">
        <v>135</v>
      </c>
      <c r="N132" s="12" t="str">
        <f t="shared" si="3"/>
        <v>Imaging|Spach Optics|XLUMPLANFL20X</v>
      </c>
      <c r="O132" s="12">
        <f t="shared" si="4"/>
        <v>1</v>
      </c>
      <c r="P132" s="12"/>
      <c r="Q132" s="12"/>
      <c r="R132" s="13"/>
      <c r="S132" s="13"/>
      <c r="T132" s="13" t="s">
        <v>136</v>
      </c>
      <c r="U132" s="15" t="s">
        <v>137</v>
      </c>
      <c r="V132" s="11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</row>
    <row r="133" spans="1:42" ht="22.5" customHeight="1">
      <c r="A133" s="8"/>
      <c r="B133" s="9" t="s">
        <v>27</v>
      </c>
      <c r="C133" s="10">
        <v>1</v>
      </c>
      <c r="D133" s="10"/>
      <c r="E133" s="10">
        <v>1</v>
      </c>
      <c r="F133" s="10"/>
      <c r="G133" s="10">
        <f t="shared" si="0"/>
        <v>0</v>
      </c>
      <c r="H133" s="9"/>
      <c r="I133" s="10">
        <v>1</v>
      </c>
      <c r="J133" s="10">
        <f t="shared" si="6"/>
        <v>0</v>
      </c>
      <c r="K133" s="9">
        <f t="shared" si="2"/>
        <v>0</v>
      </c>
      <c r="L133" s="11" t="s">
        <v>138</v>
      </c>
      <c r="M133" s="11" t="s">
        <v>148</v>
      </c>
      <c r="N133" s="12" t="str">
        <f t="shared" si="3"/>
        <v>Imaging|Thorlabs|ACL2520U-A</v>
      </c>
      <c r="O133" s="12">
        <f t="shared" si="4"/>
        <v>1</v>
      </c>
      <c r="P133" s="12"/>
      <c r="Q133" s="12"/>
      <c r="R133" s="13"/>
      <c r="S133" s="13"/>
      <c r="T133" s="13"/>
      <c r="U133" s="11" t="s">
        <v>151</v>
      </c>
      <c r="V133" s="11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</row>
    <row r="134" spans="1:42" ht="22.5" customHeight="1">
      <c r="A134" s="8"/>
      <c r="B134" s="9" t="s">
        <v>27</v>
      </c>
      <c r="C134" s="10">
        <v>3</v>
      </c>
      <c r="D134" s="10"/>
      <c r="E134" s="10">
        <v>3</v>
      </c>
      <c r="F134" s="10">
        <v>0</v>
      </c>
      <c r="G134" s="10">
        <f t="shared" si="0"/>
        <v>0</v>
      </c>
      <c r="H134" s="9"/>
      <c r="I134" s="10">
        <v>1</v>
      </c>
      <c r="J134" s="10">
        <f t="shared" si="6"/>
        <v>0</v>
      </c>
      <c r="K134" s="9">
        <f t="shared" si="2"/>
        <v>0</v>
      </c>
      <c r="L134" s="11" t="s">
        <v>138</v>
      </c>
      <c r="M134" s="11" t="s">
        <v>152</v>
      </c>
      <c r="N134" s="12" t="str">
        <f t="shared" si="3"/>
        <v>Imaging|Thorlabs|ACT508-1000-A / ACT508-1000-A-ML</v>
      </c>
      <c r="O134" s="12">
        <f t="shared" si="4"/>
        <v>1</v>
      </c>
      <c r="P134" s="12" t="s">
        <v>38</v>
      </c>
      <c r="Q134" s="12"/>
      <c r="R134" s="13" t="s">
        <v>138</v>
      </c>
      <c r="S134" s="13" t="s">
        <v>152</v>
      </c>
      <c r="T134" s="13" t="s">
        <v>153</v>
      </c>
      <c r="U134" s="15" t="s">
        <v>600</v>
      </c>
      <c r="V134" s="11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</row>
    <row r="135" spans="1:42" ht="22.5" customHeight="1">
      <c r="A135" s="8"/>
      <c r="B135" s="9" t="s">
        <v>27</v>
      </c>
      <c r="C135" s="10">
        <v>8</v>
      </c>
      <c r="D135" s="10"/>
      <c r="E135" s="10">
        <v>8</v>
      </c>
      <c r="F135" s="10">
        <v>0</v>
      </c>
      <c r="G135" s="10">
        <f t="shared" si="0"/>
        <v>0</v>
      </c>
      <c r="H135" s="9"/>
      <c r="I135" s="10">
        <v>1</v>
      </c>
      <c r="J135" s="10">
        <f t="shared" si="6"/>
        <v>0</v>
      </c>
      <c r="K135" s="9">
        <f t="shared" si="2"/>
        <v>0</v>
      </c>
      <c r="L135" s="9" t="s">
        <v>138</v>
      </c>
      <c r="M135" s="9" t="s">
        <v>155</v>
      </c>
      <c r="N135" s="12" t="str">
        <f t="shared" si="3"/>
        <v>Imaging|Thorlabs|ACT508-750-A / ACT508-750-A-ML</v>
      </c>
      <c r="O135" s="12">
        <f t="shared" si="4"/>
        <v>1</v>
      </c>
      <c r="P135" s="12" t="s">
        <v>38</v>
      </c>
      <c r="Q135" s="12"/>
      <c r="R135" s="12" t="s">
        <v>138</v>
      </c>
      <c r="S135" s="12" t="s">
        <v>155</v>
      </c>
      <c r="T135" s="13" t="s">
        <v>156</v>
      </c>
      <c r="U135" s="18" t="s">
        <v>157</v>
      </c>
      <c r="V135" s="11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</row>
    <row r="136" spans="1:42" ht="22.5" customHeight="1">
      <c r="A136" s="8"/>
      <c r="B136" s="9" t="s">
        <v>27</v>
      </c>
      <c r="C136" s="10">
        <v>1</v>
      </c>
      <c r="D136" s="10"/>
      <c r="E136" s="10">
        <v>0</v>
      </c>
      <c r="F136" s="10"/>
      <c r="G136" s="10">
        <f t="shared" si="0"/>
        <v>1</v>
      </c>
      <c r="H136" s="9"/>
      <c r="I136" s="10">
        <v>1</v>
      </c>
      <c r="J136" s="10">
        <f t="shared" si="6"/>
        <v>1</v>
      </c>
      <c r="K136" s="9">
        <f t="shared" si="2"/>
        <v>0</v>
      </c>
      <c r="L136" s="11" t="s">
        <v>138</v>
      </c>
      <c r="M136" s="11" t="s">
        <v>158</v>
      </c>
      <c r="N136" s="12" t="str">
        <f t="shared" si="3"/>
        <v>Imaging|Thorlabs|AD11F</v>
      </c>
      <c r="O136" s="12">
        <f t="shared" si="4"/>
        <v>1</v>
      </c>
      <c r="P136" s="12"/>
      <c r="Q136" s="12"/>
      <c r="R136" s="13"/>
      <c r="S136" s="13"/>
      <c r="T136" s="13"/>
      <c r="U136" s="11" t="s">
        <v>43</v>
      </c>
      <c r="V136" s="11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</row>
    <row r="137" spans="1:42" ht="22.5" customHeight="1">
      <c r="A137" s="8"/>
      <c r="B137" s="9" t="s">
        <v>27</v>
      </c>
      <c r="C137" s="10">
        <v>1</v>
      </c>
      <c r="D137" s="10"/>
      <c r="E137" s="10">
        <v>1</v>
      </c>
      <c r="F137" s="10"/>
      <c r="G137" s="10">
        <f t="shared" si="0"/>
        <v>0</v>
      </c>
      <c r="H137" s="9"/>
      <c r="I137" s="10">
        <v>1</v>
      </c>
      <c r="J137" s="10">
        <f t="shared" si="6"/>
        <v>0</v>
      </c>
      <c r="K137" s="9">
        <f t="shared" si="2"/>
        <v>0</v>
      </c>
      <c r="L137" s="11" t="s">
        <v>138</v>
      </c>
      <c r="M137" s="11" t="s">
        <v>159</v>
      </c>
      <c r="N137" s="12" t="str">
        <f t="shared" si="3"/>
        <v>Imaging|Thorlabs|AQWP10M-580</v>
      </c>
      <c r="O137" s="12">
        <f t="shared" si="4"/>
        <v>1</v>
      </c>
      <c r="P137" s="12" t="s">
        <v>38</v>
      </c>
      <c r="Q137" s="12"/>
      <c r="R137" s="13" t="s">
        <v>138</v>
      </c>
      <c r="S137" s="13" t="s">
        <v>159</v>
      </c>
      <c r="T137" s="13"/>
      <c r="U137" s="11"/>
      <c r="V137" s="11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</row>
    <row r="138" spans="1:42" ht="22.5" customHeight="1">
      <c r="A138" s="8"/>
      <c r="B138" s="9" t="s">
        <v>27</v>
      </c>
      <c r="C138" s="10">
        <v>1</v>
      </c>
      <c r="D138" s="10"/>
      <c r="E138" s="10">
        <v>0</v>
      </c>
      <c r="F138" s="10"/>
      <c r="G138" s="10">
        <f t="shared" si="0"/>
        <v>1</v>
      </c>
      <c r="H138" s="9"/>
      <c r="I138" s="10">
        <v>1</v>
      </c>
      <c r="J138" s="10">
        <f t="shared" si="6"/>
        <v>1</v>
      </c>
      <c r="K138" s="9">
        <f t="shared" si="2"/>
        <v>0</v>
      </c>
      <c r="L138" s="11" t="s">
        <v>138</v>
      </c>
      <c r="M138" s="11" t="s">
        <v>160</v>
      </c>
      <c r="N138" s="12" t="str">
        <f t="shared" si="3"/>
        <v>Imaging|Thorlabs|B1C</v>
      </c>
      <c r="O138" s="12">
        <f t="shared" si="4"/>
        <v>1</v>
      </c>
      <c r="P138" s="12"/>
      <c r="Q138" s="12"/>
      <c r="R138" s="13"/>
      <c r="S138" s="13"/>
      <c r="T138" s="13"/>
      <c r="U138" s="11" t="s">
        <v>43</v>
      </c>
      <c r="V138" s="11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</row>
    <row r="139" spans="1:42" ht="22.5" customHeight="1">
      <c r="A139" s="8"/>
      <c r="B139" s="9" t="s">
        <v>27</v>
      </c>
      <c r="C139" s="10">
        <v>1</v>
      </c>
      <c r="D139" s="10"/>
      <c r="E139" s="10">
        <v>0</v>
      </c>
      <c r="F139" s="10"/>
      <c r="G139" s="10">
        <f t="shared" si="0"/>
        <v>1</v>
      </c>
      <c r="H139" s="9"/>
      <c r="I139" s="10">
        <v>1</v>
      </c>
      <c r="J139" s="10">
        <f t="shared" si="6"/>
        <v>1</v>
      </c>
      <c r="K139" s="9">
        <f t="shared" si="2"/>
        <v>0</v>
      </c>
      <c r="L139" s="11" t="s">
        <v>138</v>
      </c>
      <c r="M139" s="11" t="s">
        <v>163</v>
      </c>
      <c r="N139" s="12" t="str">
        <f t="shared" si="3"/>
        <v>Imaging|Thorlabs|BA1</v>
      </c>
      <c r="O139" s="12">
        <f t="shared" si="4"/>
        <v>1</v>
      </c>
      <c r="P139" s="12"/>
      <c r="Q139" s="12"/>
      <c r="R139" s="13"/>
      <c r="S139" s="13"/>
      <c r="T139" s="13"/>
      <c r="U139" s="11" t="s">
        <v>43</v>
      </c>
      <c r="V139" s="11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</row>
    <row r="140" spans="1:42" ht="22.5" customHeight="1">
      <c r="A140" s="8"/>
      <c r="B140" s="9" t="s">
        <v>27</v>
      </c>
      <c r="C140" s="10">
        <v>1</v>
      </c>
      <c r="D140" s="10"/>
      <c r="E140" s="10">
        <v>1</v>
      </c>
      <c r="F140" s="10"/>
      <c r="G140" s="10">
        <f t="shared" si="0"/>
        <v>0</v>
      </c>
      <c r="H140" s="9"/>
      <c r="I140" s="10">
        <v>1</v>
      </c>
      <c r="J140" s="10">
        <f t="shared" si="6"/>
        <v>0</v>
      </c>
      <c r="K140" s="9">
        <f t="shared" si="2"/>
        <v>0</v>
      </c>
      <c r="L140" s="11" t="s">
        <v>138</v>
      </c>
      <c r="M140" s="11" t="s">
        <v>168</v>
      </c>
      <c r="N140" s="12" t="str">
        <f t="shared" si="3"/>
        <v>Imaging|Thorlabs|BA1S</v>
      </c>
      <c r="O140" s="12">
        <f t="shared" si="4"/>
        <v>1</v>
      </c>
      <c r="P140" s="12"/>
      <c r="Q140" s="12"/>
      <c r="R140" s="13"/>
      <c r="S140" s="13"/>
      <c r="T140" s="13"/>
      <c r="U140" s="11" t="s">
        <v>43</v>
      </c>
      <c r="V140" s="11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</row>
    <row r="141" spans="1:42" ht="22.5" customHeight="1">
      <c r="A141" s="8"/>
      <c r="B141" s="9" t="s">
        <v>27</v>
      </c>
      <c r="C141" s="10">
        <v>10</v>
      </c>
      <c r="D141" s="10"/>
      <c r="E141" s="10">
        <v>0</v>
      </c>
      <c r="F141" s="10"/>
      <c r="G141" s="10">
        <f t="shared" si="0"/>
        <v>10</v>
      </c>
      <c r="H141" s="9"/>
      <c r="I141" s="10">
        <v>1</v>
      </c>
      <c r="J141" s="10">
        <f t="shared" si="6"/>
        <v>10</v>
      </c>
      <c r="K141" s="9">
        <f t="shared" si="2"/>
        <v>0</v>
      </c>
      <c r="L141" s="11" t="s">
        <v>138</v>
      </c>
      <c r="M141" s="11" t="s">
        <v>170</v>
      </c>
      <c r="N141" s="12" t="str">
        <f t="shared" si="3"/>
        <v>Imaging|Thorlabs|BA2</v>
      </c>
      <c r="O141" s="12">
        <f t="shared" si="4"/>
        <v>1</v>
      </c>
      <c r="P141" s="12"/>
      <c r="Q141" s="12"/>
      <c r="R141" s="13"/>
      <c r="S141" s="13"/>
      <c r="T141" s="13"/>
      <c r="U141" s="11" t="s">
        <v>43</v>
      </c>
      <c r="V141" s="11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</row>
    <row r="142" spans="1:42" ht="22.5" customHeight="1">
      <c r="A142" s="8"/>
      <c r="B142" s="9" t="s">
        <v>27</v>
      </c>
      <c r="C142" s="10">
        <v>2</v>
      </c>
      <c r="D142" s="10"/>
      <c r="E142" s="10">
        <v>0</v>
      </c>
      <c r="F142" s="10"/>
      <c r="G142" s="10">
        <f t="shared" si="0"/>
        <v>2</v>
      </c>
      <c r="H142" s="9"/>
      <c r="I142" s="10">
        <v>1</v>
      </c>
      <c r="J142" s="10">
        <f t="shared" si="6"/>
        <v>2</v>
      </c>
      <c r="K142" s="9">
        <f t="shared" si="2"/>
        <v>0</v>
      </c>
      <c r="L142" s="11" t="s">
        <v>138</v>
      </c>
      <c r="M142" s="11" t="s">
        <v>172</v>
      </c>
      <c r="N142" s="12" t="str">
        <f t="shared" si="3"/>
        <v>Imaging|Thorlabs|BA2F</v>
      </c>
      <c r="O142" s="12">
        <f t="shared" si="4"/>
        <v>1</v>
      </c>
      <c r="P142" s="12"/>
      <c r="Q142" s="12"/>
      <c r="R142" s="13"/>
      <c r="S142" s="13"/>
      <c r="T142" s="13"/>
      <c r="U142" s="11" t="s">
        <v>43</v>
      </c>
      <c r="V142" s="11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</row>
    <row r="143" spans="1:42" ht="22.5" customHeight="1">
      <c r="A143" s="8"/>
      <c r="B143" s="9" t="s">
        <v>27</v>
      </c>
      <c r="C143" s="10">
        <v>2</v>
      </c>
      <c r="D143" s="10"/>
      <c r="E143" s="10">
        <v>1</v>
      </c>
      <c r="F143" s="10"/>
      <c r="G143" s="10">
        <f t="shared" si="0"/>
        <v>1</v>
      </c>
      <c r="H143" s="9"/>
      <c r="I143" s="10">
        <v>1</v>
      </c>
      <c r="J143" s="10">
        <f t="shared" si="6"/>
        <v>1</v>
      </c>
      <c r="K143" s="9">
        <f t="shared" si="2"/>
        <v>0</v>
      </c>
      <c r="L143" s="11" t="s">
        <v>138</v>
      </c>
      <c r="M143" s="11" t="s">
        <v>182</v>
      </c>
      <c r="N143" s="12" t="str">
        <f t="shared" si="3"/>
        <v>Imaging|Thorlabs|BBE2-E02</v>
      </c>
      <c r="O143" s="12">
        <f t="shared" si="4"/>
        <v>1</v>
      </c>
      <c r="P143" s="12"/>
      <c r="Q143" s="12"/>
      <c r="R143" s="13"/>
      <c r="S143" s="13"/>
      <c r="T143" s="13"/>
      <c r="U143" s="11" t="s">
        <v>43</v>
      </c>
      <c r="V143" s="11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</row>
    <row r="144" spans="1:42" ht="22.5" customHeight="1">
      <c r="A144" s="8"/>
      <c r="B144" s="9" t="s">
        <v>27</v>
      </c>
      <c r="C144" s="10">
        <v>1</v>
      </c>
      <c r="D144" s="10"/>
      <c r="E144" s="10">
        <v>1</v>
      </c>
      <c r="F144" s="10"/>
      <c r="G144" s="10">
        <f t="shared" si="0"/>
        <v>0</v>
      </c>
      <c r="H144" s="9"/>
      <c r="I144" s="10">
        <v>1</v>
      </c>
      <c r="J144" s="10">
        <f t="shared" si="6"/>
        <v>0</v>
      </c>
      <c r="K144" s="9">
        <f t="shared" si="2"/>
        <v>0</v>
      </c>
      <c r="L144" s="11" t="s">
        <v>138</v>
      </c>
      <c r="M144" s="11" t="s">
        <v>187</v>
      </c>
      <c r="N144" s="12" t="str">
        <f t="shared" si="3"/>
        <v>Imaging|Thorlabs|C4W</v>
      </c>
      <c r="O144" s="12">
        <f t="shared" si="4"/>
        <v>1</v>
      </c>
      <c r="P144" s="12" t="s">
        <v>38</v>
      </c>
      <c r="Q144" s="12"/>
      <c r="R144" s="13" t="s">
        <v>138</v>
      </c>
      <c r="S144" s="13" t="s">
        <v>187</v>
      </c>
      <c r="T144" s="12" t="s">
        <v>188</v>
      </c>
      <c r="U144" s="18" t="s">
        <v>189</v>
      </c>
      <c r="V144" s="11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</row>
    <row r="145" spans="1:42" ht="22.5" customHeight="1">
      <c r="A145" s="8"/>
      <c r="B145" s="9" t="s">
        <v>27</v>
      </c>
      <c r="C145" s="10">
        <v>1</v>
      </c>
      <c r="D145" s="10"/>
      <c r="E145" s="10">
        <v>1</v>
      </c>
      <c r="F145" s="10"/>
      <c r="G145" s="10">
        <f t="shared" si="0"/>
        <v>0</v>
      </c>
      <c r="H145" s="9"/>
      <c r="I145" s="10">
        <v>1</v>
      </c>
      <c r="J145" s="10">
        <f t="shared" si="6"/>
        <v>0</v>
      </c>
      <c r="K145" s="9">
        <f t="shared" si="2"/>
        <v>0</v>
      </c>
      <c r="L145" s="11" t="s">
        <v>138</v>
      </c>
      <c r="M145" s="11" t="s">
        <v>192</v>
      </c>
      <c r="N145" s="12" t="str">
        <f t="shared" si="3"/>
        <v>Imaging|Thorlabs|CCM1-PBS251</v>
      </c>
      <c r="O145" s="12">
        <f t="shared" si="4"/>
        <v>1</v>
      </c>
      <c r="P145" s="12"/>
      <c r="Q145" s="12"/>
      <c r="R145" s="13" t="s">
        <v>138</v>
      </c>
      <c r="S145" s="13" t="s">
        <v>192</v>
      </c>
      <c r="T145" s="13" t="s">
        <v>193</v>
      </c>
      <c r="U145" s="16" t="s">
        <v>194</v>
      </c>
      <c r="V145" s="11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</row>
    <row r="146" spans="1:42" ht="22.5" customHeight="1">
      <c r="A146" s="8"/>
      <c r="B146" s="9" t="s">
        <v>27</v>
      </c>
      <c r="C146" s="10">
        <v>2</v>
      </c>
      <c r="D146" s="10"/>
      <c r="E146" s="10">
        <v>0</v>
      </c>
      <c r="F146" s="10"/>
      <c r="G146" s="10">
        <f t="shared" si="0"/>
        <v>2</v>
      </c>
      <c r="H146" s="9"/>
      <c r="I146" s="10">
        <v>1</v>
      </c>
      <c r="J146" s="10">
        <f t="shared" si="6"/>
        <v>2</v>
      </c>
      <c r="K146" s="9">
        <f t="shared" si="2"/>
        <v>0</v>
      </c>
      <c r="L146" s="11" t="s">
        <v>138</v>
      </c>
      <c r="M146" s="11" t="s">
        <v>195</v>
      </c>
      <c r="N146" s="12" t="str">
        <f t="shared" si="3"/>
        <v>Imaging|Thorlabs|CF125</v>
      </c>
      <c r="O146" s="12">
        <f t="shared" si="4"/>
        <v>1</v>
      </c>
      <c r="P146" s="12"/>
      <c r="Q146" s="12"/>
      <c r="R146" s="13"/>
      <c r="S146" s="13"/>
      <c r="T146" s="13"/>
      <c r="U146" s="11" t="s">
        <v>43</v>
      </c>
      <c r="V146" s="11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</row>
    <row r="147" spans="1:42" ht="22.5" customHeight="1">
      <c r="A147" s="8"/>
      <c r="B147" s="9" t="s">
        <v>27</v>
      </c>
      <c r="C147" s="10">
        <v>4</v>
      </c>
      <c r="D147" s="10"/>
      <c r="E147" s="10">
        <v>0</v>
      </c>
      <c r="F147" s="10"/>
      <c r="G147" s="10">
        <f t="shared" si="0"/>
        <v>4</v>
      </c>
      <c r="H147" s="9"/>
      <c r="I147" s="10">
        <v>4</v>
      </c>
      <c r="J147" s="10">
        <f t="shared" si="6"/>
        <v>1</v>
      </c>
      <c r="K147" s="9">
        <f t="shared" si="2"/>
        <v>0</v>
      </c>
      <c r="L147" s="11" t="s">
        <v>138</v>
      </c>
      <c r="M147" s="11" t="s">
        <v>226</v>
      </c>
      <c r="N147" s="12" t="str">
        <f t="shared" si="3"/>
        <v>Imaging|Thorlabs|ER05-P4</v>
      </c>
      <c r="O147" s="12">
        <f t="shared" si="4"/>
        <v>1</v>
      </c>
      <c r="P147" s="12"/>
      <c r="Q147" s="12"/>
      <c r="R147" s="13"/>
      <c r="S147" s="13"/>
      <c r="T147" s="13"/>
      <c r="U147" s="11" t="s">
        <v>43</v>
      </c>
      <c r="V147" s="11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</row>
    <row r="148" spans="1:42" ht="22.5" customHeight="1">
      <c r="A148" s="8"/>
      <c r="B148" s="9" t="s">
        <v>27</v>
      </c>
      <c r="C148" s="10">
        <v>1</v>
      </c>
      <c r="D148" s="10"/>
      <c r="E148" s="10">
        <v>0</v>
      </c>
      <c r="F148" s="10"/>
      <c r="G148" s="10">
        <f t="shared" si="0"/>
        <v>1</v>
      </c>
      <c r="H148" s="9"/>
      <c r="I148" s="10">
        <v>1</v>
      </c>
      <c r="J148" s="10">
        <f t="shared" si="6"/>
        <v>1</v>
      </c>
      <c r="K148" s="9">
        <f t="shared" si="2"/>
        <v>0</v>
      </c>
      <c r="L148" s="11" t="s">
        <v>138</v>
      </c>
      <c r="M148" s="11" t="s">
        <v>231</v>
      </c>
      <c r="N148" s="12" t="str">
        <f t="shared" si="3"/>
        <v>Imaging|Thorlabs|ER1.5</v>
      </c>
      <c r="O148" s="12">
        <f t="shared" si="4"/>
        <v>1</v>
      </c>
      <c r="P148" s="12"/>
      <c r="Q148" s="12"/>
      <c r="R148" s="13"/>
      <c r="S148" s="13"/>
      <c r="T148" s="13"/>
      <c r="U148" s="11" t="s">
        <v>43</v>
      </c>
      <c r="V148" s="11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</row>
    <row r="149" spans="1:42" ht="22.5" customHeight="1">
      <c r="A149" s="8"/>
      <c r="B149" s="9" t="s">
        <v>27</v>
      </c>
      <c r="C149" s="10">
        <v>4</v>
      </c>
      <c r="D149" s="10"/>
      <c r="E149" s="10">
        <v>0</v>
      </c>
      <c r="F149" s="10"/>
      <c r="G149" s="10">
        <f t="shared" si="0"/>
        <v>4</v>
      </c>
      <c r="H149" s="9"/>
      <c r="I149" s="10">
        <v>1</v>
      </c>
      <c r="J149" s="10">
        <f t="shared" si="6"/>
        <v>4</v>
      </c>
      <c r="K149" s="9">
        <f t="shared" si="2"/>
        <v>0</v>
      </c>
      <c r="L149" s="11" t="s">
        <v>138</v>
      </c>
      <c r="M149" s="11" t="s">
        <v>234</v>
      </c>
      <c r="N149" s="12" t="str">
        <f t="shared" si="3"/>
        <v>Imaging|Thorlabs|ER10</v>
      </c>
      <c r="O149" s="12">
        <f t="shared" si="4"/>
        <v>1</v>
      </c>
      <c r="P149" s="12"/>
      <c r="Q149" s="12"/>
      <c r="R149" s="13"/>
      <c r="S149" s="13"/>
      <c r="T149" s="13"/>
      <c r="U149" s="11" t="s">
        <v>43</v>
      </c>
      <c r="V149" s="11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</row>
    <row r="150" spans="1:42" ht="22.5" customHeight="1">
      <c r="A150" s="8"/>
      <c r="B150" s="9" t="s">
        <v>27</v>
      </c>
      <c r="C150" s="10">
        <v>4</v>
      </c>
      <c r="D150" s="10"/>
      <c r="E150" s="10">
        <v>0</v>
      </c>
      <c r="F150" s="10"/>
      <c r="G150" s="10">
        <f t="shared" si="0"/>
        <v>4</v>
      </c>
      <c r="H150" s="9"/>
      <c r="I150" s="10">
        <v>1</v>
      </c>
      <c r="J150" s="10">
        <f t="shared" si="6"/>
        <v>4</v>
      </c>
      <c r="K150" s="9">
        <f t="shared" si="2"/>
        <v>0</v>
      </c>
      <c r="L150" s="11" t="s">
        <v>138</v>
      </c>
      <c r="M150" s="11" t="s">
        <v>237</v>
      </c>
      <c r="N150" s="12" t="str">
        <f t="shared" si="3"/>
        <v>Imaging|Thorlabs|ER2</v>
      </c>
      <c r="O150" s="12">
        <f t="shared" si="4"/>
        <v>1</v>
      </c>
      <c r="P150" s="12"/>
      <c r="Q150" s="12"/>
      <c r="R150" s="13"/>
      <c r="S150" s="13"/>
      <c r="T150" s="13"/>
      <c r="U150" s="11" t="s">
        <v>43</v>
      </c>
      <c r="V150" s="11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</row>
    <row r="151" spans="1:42" ht="22.5" customHeight="1">
      <c r="A151" s="8"/>
      <c r="B151" s="9" t="s">
        <v>27</v>
      </c>
      <c r="C151" s="10">
        <v>4</v>
      </c>
      <c r="D151" s="10"/>
      <c r="E151" s="10">
        <v>0</v>
      </c>
      <c r="F151" s="10"/>
      <c r="G151" s="10">
        <f t="shared" si="0"/>
        <v>4</v>
      </c>
      <c r="H151" s="9"/>
      <c r="I151" s="10">
        <v>1</v>
      </c>
      <c r="J151" s="10">
        <f t="shared" si="6"/>
        <v>4</v>
      </c>
      <c r="K151" s="9">
        <f t="shared" si="2"/>
        <v>0</v>
      </c>
      <c r="L151" s="11" t="s">
        <v>138</v>
      </c>
      <c r="M151" s="11" t="s">
        <v>240</v>
      </c>
      <c r="N151" s="12" t="str">
        <f t="shared" si="3"/>
        <v>Imaging|Thorlabs|ER24</v>
      </c>
      <c r="O151" s="12">
        <f t="shared" si="4"/>
        <v>1</v>
      </c>
      <c r="P151" s="12"/>
      <c r="Q151" s="12"/>
      <c r="R151" s="13"/>
      <c r="S151" s="13"/>
      <c r="T151" s="13"/>
      <c r="U151" s="11" t="s">
        <v>43</v>
      </c>
      <c r="V151" s="11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</row>
    <row r="152" spans="1:42" ht="22.5" customHeight="1">
      <c r="A152" s="8"/>
      <c r="B152" s="9" t="s">
        <v>27</v>
      </c>
      <c r="C152" s="10">
        <v>12</v>
      </c>
      <c r="D152" s="10"/>
      <c r="E152" s="10">
        <v>0</v>
      </c>
      <c r="F152" s="10"/>
      <c r="G152" s="10">
        <f t="shared" si="0"/>
        <v>12</v>
      </c>
      <c r="H152" s="9"/>
      <c r="I152" s="10">
        <v>4</v>
      </c>
      <c r="J152" s="10">
        <f t="shared" si="6"/>
        <v>3</v>
      </c>
      <c r="K152" s="9">
        <f t="shared" si="2"/>
        <v>0</v>
      </c>
      <c r="L152" s="11" t="s">
        <v>138</v>
      </c>
      <c r="M152" s="11" t="s">
        <v>241</v>
      </c>
      <c r="N152" s="12" t="str">
        <f t="shared" si="3"/>
        <v>Imaging|Thorlabs|ER3-P4</v>
      </c>
      <c r="O152" s="12">
        <f t="shared" si="4"/>
        <v>1</v>
      </c>
      <c r="P152" s="12"/>
      <c r="Q152" s="12"/>
      <c r="R152" s="13"/>
      <c r="S152" s="13"/>
      <c r="T152" s="13"/>
      <c r="U152" s="11" t="s">
        <v>43</v>
      </c>
      <c r="V152" s="11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</row>
    <row r="153" spans="1:42" ht="22.5" customHeight="1">
      <c r="A153" s="8"/>
      <c r="B153" s="9" t="s">
        <v>27</v>
      </c>
      <c r="C153" s="10">
        <v>3</v>
      </c>
      <c r="D153" s="10"/>
      <c r="E153" s="10">
        <v>4</v>
      </c>
      <c r="F153" s="10"/>
      <c r="G153" s="10">
        <f t="shared" si="0"/>
        <v>0</v>
      </c>
      <c r="H153" s="9"/>
      <c r="I153" s="10">
        <v>4</v>
      </c>
      <c r="J153" s="10">
        <f t="shared" si="6"/>
        <v>0</v>
      </c>
      <c r="K153" s="9">
        <f t="shared" si="2"/>
        <v>0</v>
      </c>
      <c r="L153" s="11" t="s">
        <v>138</v>
      </c>
      <c r="M153" s="11" t="s">
        <v>246</v>
      </c>
      <c r="N153" s="12" t="str">
        <f t="shared" si="3"/>
        <v>Imaging|Thorlabs|ER6-P4</v>
      </c>
      <c r="O153" s="12">
        <f t="shared" si="4"/>
        <v>1</v>
      </c>
      <c r="P153" s="12" t="s">
        <v>38</v>
      </c>
      <c r="Q153" s="12"/>
      <c r="R153" s="13" t="s">
        <v>138</v>
      </c>
      <c r="S153" s="13" t="s">
        <v>246</v>
      </c>
      <c r="T153" s="13" t="s">
        <v>247</v>
      </c>
      <c r="U153" s="15" t="s">
        <v>601</v>
      </c>
      <c r="V153" s="11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</row>
    <row r="154" spans="1:42" ht="22.5" customHeight="1">
      <c r="A154" s="8"/>
      <c r="B154" s="9" t="s">
        <v>27</v>
      </c>
      <c r="C154" s="10">
        <v>8</v>
      </c>
      <c r="D154" s="10"/>
      <c r="E154" s="10">
        <v>0</v>
      </c>
      <c r="F154" s="10"/>
      <c r="G154" s="10">
        <f t="shared" si="0"/>
        <v>8</v>
      </c>
      <c r="H154" s="9"/>
      <c r="I154" s="10">
        <v>4</v>
      </c>
      <c r="J154" s="10">
        <f t="shared" si="6"/>
        <v>2</v>
      </c>
      <c r="K154" s="9">
        <f t="shared" si="2"/>
        <v>0</v>
      </c>
      <c r="L154" s="11" t="s">
        <v>138</v>
      </c>
      <c r="M154" s="11" t="s">
        <v>249</v>
      </c>
      <c r="N154" s="12" t="str">
        <f t="shared" si="3"/>
        <v>Imaging|Thorlabs|ER8-P4</v>
      </c>
      <c r="O154" s="12">
        <f t="shared" si="4"/>
        <v>1</v>
      </c>
      <c r="P154" s="12"/>
      <c r="Q154" s="12"/>
      <c r="R154" s="13"/>
      <c r="S154" s="13"/>
      <c r="T154" s="13"/>
      <c r="U154" s="11" t="s">
        <v>43</v>
      </c>
      <c r="V154" s="11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</row>
    <row r="155" spans="1:42" ht="22.5" customHeight="1">
      <c r="A155" s="8"/>
      <c r="B155" s="9" t="s">
        <v>27</v>
      </c>
      <c r="C155" s="10">
        <v>1</v>
      </c>
      <c r="D155" s="10"/>
      <c r="E155" s="10">
        <v>0</v>
      </c>
      <c r="F155" s="10"/>
      <c r="G155" s="10">
        <f t="shared" si="0"/>
        <v>1</v>
      </c>
      <c r="H155" s="9"/>
      <c r="I155" s="10">
        <v>1</v>
      </c>
      <c r="J155" s="10">
        <f t="shared" si="6"/>
        <v>1</v>
      </c>
      <c r="K155" s="9">
        <f t="shared" si="2"/>
        <v>0</v>
      </c>
      <c r="L155" s="11" t="s">
        <v>138</v>
      </c>
      <c r="M155" s="11" t="s">
        <v>250</v>
      </c>
      <c r="N155" s="12" t="str">
        <f t="shared" si="3"/>
        <v>Imaging|Thorlabs|GN2</v>
      </c>
      <c r="O155" s="12">
        <f t="shared" si="4"/>
        <v>1</v>
      </c>
      <c r="P155" s="12"/>
      <c r="Q155" s="12"/>
      <c r="R155" s="13"/>
      <c r="S155" s="13"/>
      <c r="T155" s="13"/>
      <c r="U155" s="11" t="s">
        <v>43</v>
      </c>
      <c r="V155" s="11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</row>
    <row r="156" spans="1:42" ht="22.5" customHeight="1">
      <c r="A156" s="8"/>
      <c r="B156" s="9" t="s">
        <v>27</v>
      </c>
      <c r="C156" s="10">
        <v>1</v>
      </c>
      <c r="D156" s="10"/>
      <c r="E156" s="10">
        <v>0</v>
      </c>
      <c r="F156" s="10"/>
      <c r="G156" s="10">
        <f t="shared" si="0"/>
        <v>1</v>
      </c>
      <c r="H156" s="9"/>
      <c r="I156" s="10">
        <v>1</v>
      </c>
      <c r="J156" s="10">
        <f t="shared" si="6"/>
        <v>1</v>
      </c>
      <c r="K156" s="9">
        <f t="shared" si="2"/>
        <v>0</v>
      </c>
      <c r="L156" s="11" t="s">
        <v>138</v>
      </c>
      <c r="M156" s="11" t="s">
        <v>263</v>
      </c>
      <c r="N156" s="12" t="str">
        <f t="shared" si="3"/>
        <v>Imaging|Thorlabs|K6XS</v>
      </c>
      <c r="O156" s="12">
        <f t="shared" si="4"/>
        <v>1</v>
      </c>
      <c r="P156" s="12"/>
      <c r="Q156" s="12"/>
      <c r="R156" s="13"/>
      <c r="S156" s="13"/>
      <c r="T156" s="13"/>
      <c r="U156" s="11" t="s">
        <v>43</v>
      </c>
      <c r="V156" s="11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</row>
    <row r="157" spans="1:42" ht="22.5" customHeight="1">
      <c r="A157" s="8"/>
      <c r="B157" s="9" t="s">
        <v>27</v>
      </c>
      <c r="C157" s="10">
        <v>1</v>
      </c>
      <c r="D157" s="10"/>
      <c r="E157" s="10">
        <v>1</v>
      </c>
      <c r="F157" s="10"/>
      <c r="G157" s="10">
        <f t="shared" si="0"/>
        <v>0</v>
      </c>
      <c r="H157" s="9"/>
      <c r="I157" s="10">
        <v>1</v>
      </c>
      <c r="J157" s="10">
        <f t="shared" si="6"/>
        <v>0</v>
      </c>
      <c r="K157" s="9">
        <f t="shared" si="2"/>
        <v>0</v>
      </c>
      <c r="L157" s="11" t="s">
        <v>138</v>
      </c>
      <c r="M157" s="11" t="s">
        <v>275</v>
      </c>
      <c r="N157" s="12" t="str">
        <f t="shared" si="3"/>
        <v>Imaging|Thorlabs|KCB2</v>
      </c>
      <c r="O157" s="12">
        <f t="shared" si="4"/>
        <v>1</v>
      </c>
      <c r="P157" s="12" t="s">
        <v>38</v>
      </c>
      <c r="Q157" s="12"/>
      <c r="R157" s="13" t="s">
        <v>138</v>
      </c>
      <c r="S157" s="13" t="s">
        <v>275</v>
      </c>
      <c r="T157" s="13" t="s">
        <v>276</v>
      </c>
      <c r="U157" s="15" t="s">
        <v>277</v>
      </c>
      <c r="V157" s="11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</row>
    <row r="158" spans="1:42" ht="22.5" customHeight="1">
      <c r="A158" s="8"/>
      <c r="B158" s="9" t="s">
        <v>27</v>
      </c>
      <c r="C158" s="10">
        <v>2</v>
      </c>
      <c r="D158" s="10"/>
      <c r="E158" s="10">
        <v>1</v>
      </c>
      <c r="F158" s="10"/>
      <c r="G158" s="10">
        <f t="shared" si="0"/>
        <v>1</v>
      </c>
      <c r="H158" s="9"/>
      <c r="I158" s="10">
        <v>1</v>
      </c>
      <c r="J158" s="10">
        <f t="shared" si="6"/>
        <v>1</v>
      </c>
      <c r="K158" s="9">
        <f t="shared" si="2"/>
        <v>0</v>
      </c>
      <c r="L158" s="11" t="s">
        <v>138</v>
      </c>
      <c r="M158" s="11" t="s">
        <v>280</v>
      </c>
      <c r="N158" s="12" t="str">
        <f t="shared" si="3"/>
        <v>Imaging|Thorlabs|KCB2EC</v>
      </c>
      <c r="O158" s="12">
        <f t="shared" si="4"/>
        <v>1</v>
      </c>
      <c r="P158" s="12"/>
      <c r="Q158" s="12"/>
      <c r="R158" s="13"/>
      <c r="S158" s="13"/>
      <c r="T158" s="13"/>
      <c r="U158" s="11" t="s">
        <v>43</v>
      </c>
      <c r="V158" s="11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</row>
    <row r="159" spans="1:42" ht="22.5" customHeight="1">
      <c r="A159" s="8"/>
      <c r="B159" s="9" t="s">
        <v>27</v>
      </c>
      <c r="C159" s="10">
        <v>8</v>
      </c>
      <c r="D159" s="10"/>
      <c r="E159" s="10">
        <v>0</v>
      </c>
      <c r="F159" s="10"/>
      <c r="G159" s="10">
        <f t="shared" si="0"/>
        <v>8</v>
      </c>
      <c r="H159" s="9"/>
      <c r="I159" s="10">
        <v>1</v>
      </c>
      <c r="J159" s="10">
        <f t="shared" si="6"/>
        <v>8</v>
      </c>
      <c r="K159" s="9">
        <f t="shared" si="2"/>
        <v>0</v>
      </c>
      <c r="L159" s="11" t="s">
        <v>138</v>
      </c>
      <c r="M159" s="11" t="s">
        <v>295</v>
      </c>
      <c r="N159" s="12" t="str">
        <f t="shared" si="3"/>
        <v>Imaging|Thorlabs|LCP08</v>
      </c>
      <c r="O159" s="12">
        <f t="shared" si="4"/>
        <v>1</v>
      </c>
      <c r="P159" s="12"/>
      <c r="Q159" s="12"/>
      <c r="R159" s="13"/>
      <c r="S159" s="13"/>
      <c r="T159" s="13"/>
      <c r="U159" s="11" t="s">
        <v>43</v>
      </c>
      <c r="V159" s="11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</row>
    <row r="160" spans="1:42" ht="22.5" customHeight="1">
      <c r="A160" s="8"/>
      <c r="B160" s="9" t="s">
        <v>27</v>
      </c>
      <c r="C160" s="10">
        <v>1</v>
      </c>
      <c r="D160" s="10"/>
      <c r="E160" s="10">
        <v>0</v>
      </c>
      <c r="F160" s="10"/>
      <c r="G160" s="10">
        <f t="shared" si="0"/>
        <v>1</v>
      </c>
      <c r="H160" s="9"/>
      <c r="I160" s="10">
        <v>1</v>
      </c>
      <c r="J160" s="10">
        <f t="shared" si="6"/>
        <v>1</v>
      </c>
      <c r="K160" s="9">
        <f t="shared" si="2"/>
        <v>0</v>
      </c>
      <c r="L160" s="11" t="s">
        <v>138</v>
      </c>
      <c r="M160" s="11" t="s">
        <v>297</v>
      </c>
      <c r="N160" s="12" t="str">
        <f t="shared" si="3"/>
        <v>Imaging|Thorlabs|LCP30</v>
      </c>
      <c r="O160" s="12">
        <f t="shared" si="4"/>
        <v>1</v>
      </c>
      <c r="P160" s="12"/>
      <c r="Q160" s="12"/>
      <c r="R160" s="13"/>
      <c r="S160" s="13"/>
      <c r="T160" s="13"/>
      <c r="U160" s="11" t="s">
        <v>43</v>
      </c>
      <c r="V160" s="11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</row>
    <row r="161" spans="1:42" ht="22.5" customHeight="1">
      <c r="A161" s="8"/>
      <c r="B161" s="9" t="s">
        <v>27</v>
      </c>
      <c r="C161" s="10">
        <v>2</v>
      </c>
      <c r="D161" s="10"/>
      <c r="E161" s="10">
        <v>0</v>
      </c>
      <c r="F161" s="10"/>
      <c r="G161" s="10">
        <f t="shared" si="0"/>
        <v>2</v>
      </c>
      <c r="H161" s="9"/>
      <c r="I161" s="10">
        <v>1</v>
      </c>
      <c r="J161" s="10">
        <f t="shared" si="6"/>
        <v>2</v>
      </c>
      <c r="K161" s="9">
        <f t="shared" si="2"/>
        <v>0</v>
      </c>
      <c r="L161" s="11" t="s">
        <v>138</v>
      </c>
      <c r="M161" s="11" t="s">
        <v>298</v>
      </c>
      <c r="N161" s="12" t="str">
        <f t="shared" si="3"/>
        <v>Imaging|Thorlabs|LCP33</v>
      </c>
      <c r="O161" s="12">
        <f t="shared" si="4"/>
        <v>1</v>
      </c>
      <c r="P161" s="12"/>
      <c r="Q161" s="12"/>
      <c r="R161" s="13"/>
      <c r="S161" s="13"/>
      <c r="T161" s="13"/>
      <c r="U161" s="11" t="s">
        <v>43</v>
      </c>
      <c r="V161" s="11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</row>
    <row r="162" spans="1:42" ht="22.5" customHeight="1">
      <c r="A162" s="8"/>
      <c r="B162" s="9" t="s">
        <v>27</v>
      </c>
      <c r="C162" s="10">
        <v>1</v>
      </c>
      <c r="D162" s="10"/>
      <c r="E162" s="10">
        <v>0</v>
      </c>
      <c r="F162" s="10"/>
      <c r="G162" s="10">
        <f t="shared" si="0"/>
        <v>1</v>
      </c>
      <c r="H162" s="9"/>
      <c r="I162" s="10">
        <v>1</v>
      </c>
      <c r="J162" s="10">
        <f t="shared" si="6"/>
        <v>1</v>
      </c>
      <c r="K162" s="9">
        <f t="shared" si="2"/>
        <v>0</v>
      </c>
      <c r="L162" s="11" t="s">
        <v>138</v>
      </c>
      <c r="M162" s="11" t="s">
        <v>301</v>
      </c>
      <c r="N162" s="12" t="str">
        <f t="shared" si="3"/>
        <v>Imaging|Thorlabs|LCP34T</v>
      </c>
      <c r="O162" s="12">
        <f t="shared" si="4"/>
        <v>1</v>
      </c>
      <c r="P162" s="12"/>
      <c r="Q162" s="12"/>
      <c r="R162" s="13"/>
      <c r="S162" s="13"/>
      <c r="T162" s="13"/>
      <c r="U162" s="11" t="s">
        <v>43</v>
      </c>
      <c r="V162" s="11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</row>
    <row r="163" spans="1:42" ht="22.5" customHeight="1">
      <c r="A163" s="8"/>
      <c r="B163" s="9" t="s">
        <v>27</v>
      </c>
      <c r="C163" s="10">
        <v>4</v>
      </c>
      <c r="D163" s="10"/>
      <c r="E163" s="10">
        <v>0</v>
      </c>
      <c r="F163" s="10"/>
      <c r="G163" s="10">
        <f t="shared" si="0"/>
        <v>4</v>
      </c>
      <c r="H163" s="9"/>
      <c r="I163" s="10">
        <v>1</v>
      </c>
      <c r="J163" s="10">
        <f t="shared" si="6"/>
        <v>4</v>
      </c>
      <c r="K163" s="9">
        <f t="shared" si="2"/>
        <v>0</v>
      </c>
      <c r="L163" s="11" t="s">
        <v>138</v>
      </c>
      <c r="M163" s="11" t="s">
        <v>302</v>
      </c>
      <c r="N163" s="12" t="str">
        <f t="shared" si="3"/>
        <v>Imaging|Thorlabs|LCP36</v>
      </c>
      <c r="O163" s="12">
        <f t="shared" si="4"/>
        <v>1</v>
      </c>
      <c r="P163" s="12"/>
      <c r="Q163" s="12"/>
      <c r="R163" s="13"/>
      <c r="S163" s="13"/>
      <c r="T163" s="13"/>
      <c r="U163" s="11" t="s">
        <v>43</v>
      </c>
      <c r="V163" s="11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</row>
    <row r="164" spans="1:42" ht="22.5" customHeight="1">
      <c r="A164" s="8"/>
      <c r="B164" s="9" t="s">
        <v>27</v>
      </c>
      <c r="C164" s="10">
        <v>2</v>
      </c>
      <c r="D164" s="10"/>
      <c r="E164" s="10">
        <v>0</v>
      </c>
      <c r="F164" s="10"/>
      <c r="G164" s="10">
        <f t="shared" si="0"/>
        <v>2</v>
      </c>
      <c r="H164" s="9"/>
      <c r="I164" s="10">
        <v>1</v>
      </c>
      <c r="J164" s="10">
        <f t="shared" si="6"/>
        <v>2</v>
      </c>
      <c r="K164" s="9">
        <f t="shared" si="2"/>
        <v>0</v>
      </c>
      <c r="L164" s="11" t="s">
        <v>138</v>
      </c>
      <c r="M164" s="11" t="s">
        <v>303</v>
      </c>
      <c r="N164" s="12" t="str">
        <f t="shared" si="3"/>
        <v>Imaging|Thorlabs|LCP60</v>
      </c>
      <c r="O164" s="12">
        <f t="shared" si="4"/>
        <v>1</v>
      </c>
      <c r="P164" s="12"/>
      <c r="Q164" s="12"/>
      <c r="R164" s="13"/>
      <c r="S164" s="13"/>
      <c r="T164" s="13"/>
      <c r="U164" s="11" t="s">
        <v>43</v>
      </c>
      <c r="V164" s="11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</row>
    <row r="165" spans="1:42" ht="22.5" customHeight="1">
      <c r="A165" s="8"/>
      <c r="B165" s="9" t="s">
        <v>27</v>
      </c>
      <c r="C165" s="10">
        <v>2</v>
      </c>
      <c r="D165" s="10"/>
      <c r="E165" s="10">
        <v>0</v>
      </c>
      <c r="F165" s="10"/>
      <c r="G165" s="10">
        <f t="shared" si="0"/>
        <v>2</v>
      </c>
      <c r="H165" s="9"/>
      <c r="I165" s="10">
        <v>1</v>
      </c>
      <c r="J165" s="10">
        <f t="shared" si="6"/>
        <v>2</v>
      </c>
      <c r="K165" s="9">
        <f t="shared" si="2"/>
        <v>0</v>
      </c>
      <c r="L165" s="11" t="s">
        <v>138</v>
      </c>
      <c r="M165" s="11" t="s">
        <v>320</v>
      </c>
      <c r="N165" s="12" t="str">
        <f t="shared" si="3"/>
        <v>Imaging|Thorlabs|LRM1</v>
      </c>
      <c r="O165" s="12">
        <f t="shared" si="4"/>
        <v>1</v>
      </c>
      <c r="P165" s="12"/>
      <c r="Q165" s="12"/>
      <c r="R165" s="13"/>
      <c r="S165" s="13"/>
      <c r="T165" s="13"/>
      <c r="U165" s="11" t="s">
        <v>43</v>
      </c>
      <c r="V165" s="11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</row>
    <row r="166" spans="1:42" ht="22.5" customHeight="1">
      <c r="A166" s="8"/>
      <c r="B166" s="9" t="s">
        <v>27</v>
      </c>
      <c r="C166" s="10">
        <v>1</v>
      </c>
      <c r="D166" s="10"/>
      <c r="E166" s="10">
        <v>0</v>
      </c>
      <c r="F166" s="10"/>
      <c r="G166" s="10">
        <f t="shared" si="0"/>
        <v>1</v>
      </c>
      <c r="H166" s="9"/>
      <c r="I166" s="10">
        <v>1</v>
      </c>
      <c r="J166" s="10">
        <f t="shared" si="6"/>
        <v>1</v>
      </c>
      <c r="K166" s="9">
        <f t="shared" si="2"/>
        <v>0</v>
      </c>
      <c r="L166" s="11" t="s">
        <v>138</v>
      </c>
      <c r="M166" s="11" t="s">
        <v>321</v>
      </c>
      <c r="N166" s="12" t="str">
        <f t="shared" si="3"/>
        <v>Imaging|Thorlabs|M1M25S</v>
      </c>
      <c r="O166" s="12">
        <f t="shared" si="4"/>
        <v>1</v>
      </c>
      <c r="P166" s="12"/>
      <c r="Q166" s="12"/>
      <c r="R166" s="13"/>
      <c r="S166" s="13"/>
      <c r="T166" s="13"/>
      <c r="U166" s="11" t="s">
        <v>43</v>
      </c>
      <c r="V166" s="11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</row>
    <row r="167" spans="1:42" ht="22.5" customHeight="1">
      <c r="A167" s="8"/>
      <c r="B167" s="9" t="s">
        <v>27</v>
      </c>
      <c r="C167" s="10">
        <v>1</v>
      </c>
      <c r="D167" s="10"/>
      <c r="E167" s="10">
        <v>0</v>
      </c>
      <c r="F167" s="10"/>
      <c r="G167" s="10">
        <f t="shared" si="0"/>
        <v>1</v>
      </c>
      <c r="H167" s="9"/>
      <c r="I167" s="10">
        <v>1</v>
      </c>
      <c r="J167" s="10">
        <f t="shared" si="6"/>
        <v>1</v>
      </c>
      <c r="K167" s="9">
        <f t="shared" si="2"/>
        <v>0</v>
      </c>
      <c r="L167" s="11" t="s">
        <v>138</v>
      </c>
      <c r="M167" s="11" t="s">
        <v>328</v>
      </c>
      <c r="N167" s="12" t="str">
        <f t="shared" si="3"/>
        <v>Imaging|Thorlabs|M595L4</v>
      </c>
      <c r="O167" s="12">
        <f t="shared" si="4"/>
        <v>1</v>
      </c>
      <c r="P167" s="12"/>
      <c r="Q167" s="12"/>
      <c r="R167" s="13"/>
      <c r="S167" s="13"/>
      <c r="T167" s="13"/>
      <c r="U167" s="11" t="s">
        <v>43</v>
      </c>
      <c r="V167" s="11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</row>
    <row r="168" spans="1:42" ht="22.5" customHeight="1">
      <c r="A168" s="8"/>
      <c r="B168" s="9" t="s">
        <v>27</v>
      </c>
      <c r="C168" s="10">
        <v>1</v>
      </c>
      <c r="D168" s="10"/>
      <c r="E168" s="10">
        <v>0</v>
      </c>
      <c r="F168" s="10"/>
      <c r="G168" s="10">
        <f t="shared" si="0"/>
        <v>1</v>
      </c>
      <c r="H168" s="9"/>
      <c r="I168" s="10">
        <v>1</v>
      </c>
      <c r="J168" s="10">
        <f t="shared" si="6"/>
        <v>1</v>
      </c>
      <c r="K168" s="9">
        <f t="shared" si="2"/>
        <v>0</v>
      </c>
      <c r="L168" s="11" t="s">
        <v>138</v>
      </c>
      <c r="M168" s="11" t="s">
        <v>329</v>
      </c>
      <c r="N168" s="12" t="str">
        <f t="shared" si="3"/>
        <v>Imaging|Thorlabs|MB1012</v>
      </c>
      <c r="O168" s="12">
        <f t="shared" si="4"/>
        <v>1</v>
      </c>
      <c r="P168" s="12"/>
      <c r="Q168" s="12"/>
      <c r="R168" s="13"/>
      <c r="S168" s="13"/>
      <c r="T168" s="13"/>
      <c r="U168" s="11" t="s">
        <v>43</v>
      </c>
      <c r="V168" s="11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4"/>
      <c r="AP168" s="14"/>
    </row>
    <row r="169" spans="1:42" ht="22.5" customHeight="1">
      <c r="A169" s="8"/>
      <c r="B169" s="9" t="s">
        <v>27</v>
      </c>
      <c r="C169" s="10">
        <v>1</v>
      </c>
      <c r="D169" s="10"/>
      <c r="E169" s="10">
        <v>0</v>
      </c>
      <c r="F169" s="10"/>
      <c r="G169" s="10">
        <f t="shared" si="0"/>
        <v>1</v>
      </c>
      <c r="H169" s="9"/>
      <c r="I169" s="10">
        <v>1</v>
      </c>
      <c r="J169" s="10">
        <f t="shared" si="6"/>
        <v>1</v>
      </c>
      <c r="K169" s="9">
        <f t="shared" si="2"/>
        <v>0</v>
      </c>
      <c r="L169" s="11" t="s">
        <v>138</v>
      </c>
      <c r="M169" s="11" t="s">
        <v>335</v>
      </c>
      <c r="N169" s="12" t="str">
        <f t="shared" si="3"/>
        <v>Imaging|Thorlabs|MB618</v>
      </c>
      <c r="O169" s="12">
        <f t="shared" si="4"/>
        <v>1</v>
      </c>
      <c r="P169" s="12"/>
      <c r="Q169" s="12"/>
      <c r="R169" s="13"/>
      <c r="S169" s="13"/>
      <c r="T169" s="13"/>
      <c r="U169" s="11" t="s">
        <v>43</v>
      </c>
      <c r="V169" s="11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</row>
    <row r="170" spans="1:42" ht="22.5" customHeight="1">
      <c r="A170" s="8"/>
      <c r="B170" s="9" t="s">
        <v>27</v>
      </c>
      <c r="C170" s="10">
        <v>1</v>
      </c>
      <c r="D170" s="10"/>
      <c r="E170" s="10">
        <v>1</v>
      </c>
      <c r="F170" s="10"/>
      <c r="G170" s="10">
        <f t="shared" si="0"/>
        <v>0</v>
      </c>
      <c r="H170" s="9"/>
      <c r="I170" s="10">
        <v>1</v>
      </c>
      <c r="J170" s="10">
        <f t="shared" si="6"/>
        <v>0</v>
      </c>
      <c r="K170" s="9">
        <f t="shared" si="2"/>
        <v>0</v>
      </c>
      <c r="L170" s="11" t="s">
        <v>138</v>
      </c>
      <c r="M170" s="11" t="s">
        <v>339</v>
      </c>
      <c r="N170" s="12" t="str">
        <f t="shared" si="3"/>
        <v>Imaging|Thorlabs|MRAK25-P01</v>
      </c>
      <c r="O170" s="12">
        <f t="shared" si="4"/>
        <v>1</v>
      </c>
      <c r="P170" s="12"/>
      <c r="Q170" s="12"/>
      <c r="R170" s="13" t="s">
        <v>138</v>
      </c>
      <c r="S170" s="13" t="s">
        <v>339</v>
      </c>
      <c r="T170" s="13" t="s">
        <v>340</v>
      </c>
      <c r="U170" s="18" t="s">
        <v>341</v>
      </c>
      <c r="V170" s="11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</row>
    <row r="171" spans="1:42" ht="22.5" customHeight="1">
      <c r="A171" s="8"/>
      <c r="B171" s="9" t="s">
        <v>27</v>
      </c>
      <c r="C171" s="10">
        <v>1</v>
      </c>
      <c r="D171" s="10"/>
      <c r="E171" s="10">
        <v>0</v>
      </c>
      <c r="F171" s="10"/>
      <c r="G171" s="10">
        <f t="shared" si="0"/>
        <v>1</v>
      </c>
      <c r="H171" s="9"/>
      <c r="I171" s="10">
        <v>1</v>
      </c>
      <c r="J171" s="10">
        <f t="shared" si="6"/>
        <v>1</v>
      </c>
      <c r="K171" s="9">
        <f t="shared" si="2"/>
        <v>0</v>
      </c>
      <c r="L171" s="11" t="s">
        <v>138</v>
      </c>
      <c r="M171" s="11" t="s">
        <v>342</v>
      </c>
      <c r="N171" s="12" t="str">
        <f t="shared" si="3"/>
        <v>Imaging|Thorlabs|MS1</v>
      </c>
      <c r="O171" s="12">
        <f t="shared" si="4"/>
        <v>1</v>
      </c>
      <c r="P171" s="12"/>
      <c r="Q171" s="12"/>
      <c r="R171" s="13"/>
      <c r="S171" s="13"/>
      <c r="T171" s="13"/>
      <c r="U171" s="11" t="s">
        <v>43</v>
      </c>
      <c r="V171" s="11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</row>
    <row r="172" spans="1:42" ht="22.5" customHeight="1">
      <c r="A172" s="8"/>
      <c r="B172" s="9" t="s">
        <v>27</v>
      </c>
      <c r="C172" s="10">
        <v>4</v>
      </c>
      <c r="D172" s="10"/>
      <c r="E172" s="10">
        <v>0</v>
      </c>
      <c r="F172" s="10"/>
      <c r="G172" s="10">
        <f t="shared" si="0"/>
        <v>4</v>
      </c>
      <c r="H172" s="9"/>
      <c r="I172" s="10">
        <v>1</v>
      </c>
      <c r="J172" s="10">
        <f t="shared" si="6"/>
        <v>4</v>
      </c>
      <c r="K172" s="9">
        <f t="shared" si="2"/>
        <v>0</v>
      </c>
      <c r="L172" s="11" t="s">
        <v>138</v>
      </c>
      <c r="M172" s="11" t="s">
        <v>343</v>
      </c>
      <c r="N172" s="12" t="str">
        <f t="shared" si="3"/>
        <v>Imaging|Thorlabs|MSA25</v>
      </c>
      <c r="O172" s="12">
        <f t="shared" si="4"/>
        <v>1</v>
      </c>
      <c r="P172" s="12"/>
      <c r="Q172" s="12"/>
      <c r="R172" s="13"/>
      <c r="S172" s="13"/>
      <c r="T172" s="13"/>
      <c r="U172" s="11" t="s">
        <v>43</v>
      </c>
      <c r="V172" s="11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</row>
    <row r="173" spans="1:42" ht="22.5" customHeight="1">
      <c r="A173" s="8"/>
      <c r="B173" s="9" t="s">
        <v>27</v>
      </c>
      <c r="C173" s="10">
        <v>1</v>
      </c>
      <c r="D173" s="10"/>
      <c r="E173" s="10">
        <v>1</v>
      </c>
      <c r="F173" s="10"/>
      <c r="G173" s="10">
        <f t="shared" si="0"/>
        <v>0</v>
      </c>
      <c r="H173" s="9"/>
      <c r="I173" s="10">
        <v>1</v>
      </c>
      <c r="J173" s="10">
        <f t="shared" si="6"/>
        <v>0</v>
      </c>
      <c r="K173" s="9">
        <f t="shared" si="2"/>
        <v>0</v>
      </c>
      <c r="L173" s="11" t="s">
        <v>138</v>
      </c>
      <c r="M173" s="11" t="s">
        <v>369</v>
      </c>
      <c r="N173" s="12" t="str">
        <f t="shared" si="3"/>
        <v>Imaging|Thorlabs|PB4VB2S</v>
      </c>
      <c r="O173" s="12">
        <f t="shared" si="4"/>
        <v>1</v>
      </c>
      <c r="P173" s="12"/>
      <c r="Q173" s="12"/>
      <c r="R173" s="13" t="s">
        <v>138</v>
      </c>
      <c r="S173" s="13" t="s">
        <v>369</v>
      </c>
      <c r="T173" s="13" t="s">
        <v>370</v>
      </c>
      <c r="U173" s="16" t="s">
        <v>371</v>
      </c>
      <c r="V173" s="11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</row>
    <row r="174" spans="1:42" ht="22.5" customHeight="1">
      <c r="A174" s="8"/>
      <c r="B174" s="9" t="s">
        <v>27</v>
      </c>
      <c r="C174" s="10">
        <v>1</v>
      </c>
      <c r="D174" s="10"/>
      <c r="E174" s="10">
        <v>1</v>
      </c>
      <c r="F174" s="10"/>
      <c r="G174" s="10">
        <f t="shared" si="0"/>
        <v>0</v>
      </c>
      <c r="H174" s="9"/>
      <c r="I174" s="10">
        <v>1</v>
      </c>
      <c r="J174" s="10">
        <f t="shared" si="6"/>
        <v>0</v>
      </c>
      <c r="K174" s="9">
        <f t="shared" si="2"/>
        <v>0</v>
      </c>
      <c r="L174" s="11" t="s">
        <v>138</v>
      </c>
      <c r="M174" s="11" t="s">
        <v>373</v>
      </c>
      <c r="N174" s="12" t="str">
        <f t="shared" si="3"/>
        <v>Imaging|Thorlabs|PF20-03-P01</v>
      </c>
      <c r="O174" s="12">
        <f t="shared" si="4"/>
        <v>1</v>
      </c>
      <c r="P174" s="12" t="s">
        <v>38</v>
      </c>
      <c r="Q174" s="12"/>
      <c r="R174" s="13" t="s">
        <v>138</v>
      </c>
      <c r="S174" s="13" t="s">
        <v>373</v>
      </c>
      <c r="T174" s="13" t="s">
        <v>374</v>
      </c>
      <c r="U174" s="15" t="s">
        <v>375</v>
      </c>
      <c r="V174" s="11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</row>
    <row r="175" spans="1:42" ht="22.5" customHeight="1">
      <c r="A175" s="8"/>
      <c r="B175" s="9" t="s">
        <v>27</v>
      </c>
      <c r="C175" s="10">
        <v>5</v>
      </c>
      <c r="D175" s="10"/>
      <c r="E175" s="10">
        <v>5</v>
      </c>
      <c r="F175" s="10"/>
      <c r="G175" s="10">
        <f t="shared" si="0"/>
        <v>0</v>
      </c>
      <c r="H175" s="9"/>
      <c r="I175" s="10">
        <v>1</v>
      </c>
      <c r="J175" s="10">
        <f t="shared" si="6"/>
        <v>0</v>
      </c>
      <c r="K175" s="9">
        <f t="shared" si="2"/>
        <v>0</v>
      </c>
      <c r="L175" s="11" t="s">
        <v>138</v>
      </c>
      <c r="M175" s="11" t="s">
        <v>376</v>
      </c>
      <c r="N175" s="12" t="str">
        <f t="shared" si="3"/>
        <v>Imaging|Thorlabs|PH1</v>
      </c>
      <c r="O175" s="12">
        <f t="shared" si="4"/>
        <v>1</v>
      </c>
      <c r="P175" s="12"/>
      <c r="Q175" s="12"/>
      <c r="R175" s="13"/>
      <c r="S175" s="13"/>
      <c r="T175" s="13"/>
      <c r="U175" s="11" t="s">
        <v>43</v>
      </c>
      <c r="V175" s="11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</row>
    <row r="176" spans="1:42" ht="22.5" customHeight="1">
      <c r="A176" s="8"/>
      <c r="B176" s="9" t="s">
        <v>27</v>
      </c>
      <c r="C176" s="10">
        <v>7</v>
      </c>
      <c r="D176" s="10"/>
      <c r="E176" s="10">
        <v>0</v>
      </c>
      <c r="F176" s="10"/>
      <c r="G176" s="10">
        <f t="shared" si="0"/>
        <v>7</v>
      </c>
      <c r="H176" s="9"/>
      <c r="I176" s="10">
        <v>1</v>
      </c>
      <c r="J176" s="10">
        <f t="shared" si="6"/>
        <v>7</v>
      </c>
      <c r="K176" s="9">
        <f t="shared" si="2"/>
        <v>0</v>
      </c>
      <c r="L176" s="11" t="s">
        <v>138</v>
      </c>
      <c r="M176" s="11" t="s">
        <v>379</v>
      </c>
      <c r="N176" s="12" t="str">
        <f t="shared" si="3"/>
        <v>Imaging|Thorlabs|PH1.5</v>
      </c>
      <c r="O176" s="12">
        <f t="shared" si="4"/>
        <v>1</v>
      </c>
      <c r="P176" s="12"/>
      <c r="Q176" s="12"/>
      <c r="R176" s="13"/>
      <c r="S176" s="13"/>
      <c r="T176" s="13"/>
      <c r="U176" s="11" t="s">
        <v>43</v>
      </c>
      <c r="V176" s="11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4"/>
      <c r="AP176" s="14"/>
    </row>
    <row r="177" spans="1:42" ht="22.5" customHeight="1">
      <c r="A177" s="8"/>
      <c r="B177" s="9" t="s">
        <v>27</v>
      </c>
      <c r="C177" s="10">
        <v>1</v>
      </c>
      <c r="D177" s="10"/>
      <c r="E177" s="10">
        <v>0</v>
      </c>
      <c r="F177" s="10"/>
      <c r="G177" s="10">
        <f t="shared" si="0"/>
        <v>1</v>
      </c>
      <c r="H177" s="9"/>
      <c r="I177" s="10">
        <v>1</v>
      </c>
      <c r="J177" s="10">
        <f t="shared" si="6"/>
        <v>1</v>
      </c>
      <c r="K177" s="9">
        <f t="shared" si="2"/>
        <v>0</v>
      </c>
      <c r="L177" s="11" t="s">
        <v>138</v>
      </c>
      <c r="M177" s="11" t="s">
        <v>391</v>
      </c>
      <c r="N177" s="12" t="str">
        <f t="shared" si="3"/>
        <v>Imaging|Thorlabs|PL201</v>
      </c>
      <c r="O177" s="12">
        <f t="shared" si="4"/>
        <v>1</v>
      </c>
      <c r="P177" s="12"/>
      <c r="Q177" s="12"/>
      <c r="R177" s="13"/>
      <c r="S177" s="13"/>
      <c r="T177" s="13"/>
      <c r="U177" s="11" t="s">
        <v>43</v>
      </c>
      <c r="V177" s="11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</row>
    <row r="178" spans="1:42" ht="22.5" customHeight="1">
      <c r="A178" s="8"/>
      <c r="B178" s="9" t="s">
        <v>27</v>
      </c>
      <c r="C178" s="10">
        <v>1</v>
      </c>
      <c r="D178" s="10"/>
      <c r="E178" s="10">
        <v>1</v>
      </c>
      <c r="F178" s="10"/>
      <c r="G178" s="10">
        <f t="shared" si="0"/>
        <v>0</v>
      </c>
      <c r="H178" s="9"/>
      <c r="I178" s="10">
        <v>1</v>
      </c>
      <c r="J178" s="10">
        <f t="shared" si="6"/>
        <v>0</v>
      </c>
      <c r="K178" s="9">
        <f t="shared" si="2"/>
        <v>0</v>
      </c>
      <c r="L178" s="11" t="s">
        <v>138</v>
      </c>
      <c r="M178" s="11" t="s">
        <v>395</v>
      </c>
      <c r="N178" s="12" t="str">
        <f t="shared" si="3"/>
        <v>Imaging|Thorlabs|PT1</v>
      </c>
      <c r="O178" s="12">
        <f t="shared" si="4"/>
        <v>1</v>
      </c>
      <c r="P178" s="12"/>
      <c r="Q178" s="12"/>
      <c r="R178" s="13"/>
      <c r="S178" s="13"/>
      <c r="T178" s="13"/>
      <c r="U178" s="11" t="s">
        <v>43</v>
      </c>
      <c r="V178" s="11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14"/>
      <c r="AP178" s="14"/>
    </row>
    <row r="179" spans="1:42" ht="22.5" customHeight="1">
      <c r="A179" s="8"/>
      <c r="B179" s="9" t="s">
        <v>27</v>
      </c>
      <c r="C179" s="10">
        <v>1</v>
      </c>
      <c r="D179" s="10"/>
      <c r="E179" s="10">
        <v>1</v>
      </c>
      <c r="F179" s="10"/>
      <c r="G179" s="10">
        <f t="shared" si="0"/>
        <v>0</v>
      </c>
      <c r="H179" s="9"/>
      <c r="I179" s="10">
        <v>1</v>
      </c>
      <c r="J179" s="10">
        <f t="shared" si="6"/>
        <v>0</v>
      </c>
      <c r="K179" s="9">
        <f t="shared" si="2"/>
        <v>0</v>
      </c>
      <c r="L179" s="11" t="s">
        <v>138</v>
      </c>
      <c r="M179" s="11" t="s">
        <v>398</v>
      </c>
      <c r="N179" s="12" t="str">
        <f t="shared" si="3"/>
        <v>Imaging|Thorlabs|PT101</v>
      </c>
      <c r="O179" s="12">
        <f t="shared" si="4"/>
        <v>1</v>
      </c>
      <c r="P179" s="12"/>
      <c r="Q179" s="12"/>
      <c r="R179" s="13"/>
      <c r="S179" s="13"/>
      <c r="T179" s="13"/>
      <c r="U179" s="11" t="s">
        <v>43</v>
      </c>
      <c r="V179" s="11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</row>
    <row r="180" spans="1:42" ht="22.5" customHeight="1">
      <c r="A180" s="8"/>
      <c r="B180" s="9" t="s">
        <v>27</v>
      </c>
      <c r="C180" s="10">
        <v>1</v>
      </c>
      <c r="D180" s="10"/>
      <c r="E180" s="10">
        <v>1</v>
      </c>
      <c r="F180" s="10"/>
      <c r="G180" s="10">
        <f t="shared" si="0"/>
        <v>0</v>
      </c>
      <c r="H180" s="9"/>
      <c r="I180" s="10">
        <v>1</v>
      </c>
      <c r="J180" s="10">
        <f t="shared" si="6"/>
        <v>0</v>
      </c>
      <c r="K180" s="9">
        <f t="shared" si="2"/>
        <v>0</v>
      </c>
      <c r="L180" s="11" t="s">
        <v>138</v>
      </c>
      <c r="M180" s="11" t="s">
        <v>401</v>
      </c>
      <c r="N180" s="12" t="str">
        <f t="shared" si="3"/>
        <v>Imaging|Thorlabs|PT102</v>
      </c>
      <c r="O180" s="12">
        <f t="shared" si="4"/>
        <v>1</v>
      </c>
      <c r="P180" s="12"/>
      <c r="Q180" s="12"/>
      <c r="R180" s="13"/>
      <c r="S180" s="13"/>
      <c r="T180" s="13"/>
      <c r="U180" s="11" t="s">
        <v>43</v>
      </c>
      <c r="V180" s="11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4"/>
      <c r="AP180" s="14"/>
    </row>
    <row r="181" spans="1:42" ht="22.5" customHeight="1">
      <c r="A181" s="8"/>
      <c r="B181" s="9" t="s">
        <v>27</v>
      </c>
      <c r="C181" s="10">
        <v>2</v>
      </c>
      <c r="D181" s="10"/>
      <c r="E181" s="10">
        <v>1</v>
      </c>
      <c r="F181" s="10"/>
      <c r="G181" s="10">
        <f t="shared" si="0"/>
        <v>1</v>
      </c>
      <c r="H181" s="9"/>
      <c r="I181" s="10">
        <v>1</v>
      </c>
      <c r="J181" s="10">
        <f t="shared" si="6"/>
        <v>1</v>
      </c>
      <c r="K181" s="9">
        <f t="shared" si="2"/>
        <v>0</v>
      </c>
      <c r="L181" s="11" t="s">
        <v>138</v>
      </c>
      <c r="M181" s="11" t="s">
        <v>404</v>
      </c>
      <c r="N181" s="12" t="str">
        <f t="shared" si="3"/>
        <v>Imaging|Thorlabs|PT1B</v>
      </c>
      <c r="O181" s="12">
        <f t="shared" si="4"/>
        <v>1</v>
      </c>
      <c r="P181" s="12"/>
      <c r="Q181" s="12"/>
      <c r="R181" s="13"/>
      <c r="S181" s="13"/>
      <c r="T181" s="13"/>
      <c r="U181" s="11" t="s">
        <v>43</v>
      </c>
      <c r="V181" s="11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</row>
    <row r="182" spans="1:42" ht="22.5" customHeight="1">
      <c r="A182" s="8"/>
      <c r="B182" s="9" t="s">
        <v>27</v>
      </c>
      <c r="C182" s="10">
        <v>1</v>
      </c>
      <c r="D182" s="10"/>
      <c r="E182" s="10">
        <v>0</v>
      </c>
      <c r="F182" s="10"/>
      <c r="G182" s="10">
        <f t="shared" si="0"/>
        <v>1</v>
      </c>
      <c r="H182" s="9"/>
      <c r="I182" s="10">
        <v>1</v>
      </c>
      <c r="J182" s="10">
        <f t="shared" si="6"/>
        <v>1</v>
      </c>
      <c r="K182" s="9">
        <f t="shared" si="2"/>
        <v>0</v>
      </c>
      <c r="L182" s="11" t="s">
        <v>138</v>
      </c>
      <c r="M182" s="11" t="s">
        <v>405</v>
      </c>
      <c r="N182" s="12" t="str">
        <f t="shared" si="3"/>
        <v>Imaging|Thorlabs|QRC2A</v>
      </c>
      <c r="O182" s="12">
        <f t="shared" si="4"/>
        <v>1</v>
      </c>
      <c r="P182" s="12"/>
      <c r="Q182" s="12"/>
      <c r="R182" s="13"/>
      <c r="S182" s="13"/>
      <c r="T182" s="13"/>
      <c r="U182" s="11" t="s">
        <v>43</v>
      </c>
      <c r="V182" s="11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4"/>
      <c r="AP182" s="14"/>
    </row>
    <row r="183" spans="1:42" ht="22.5" customHeight="1">
      <c r="A183" s="8"/>
      <c r="B183" s="9" t="s">
        <v>27</v>
      </c>
      <c r="C183" s="10">
        <v>1</v>
      </c>
      <c r="D183" s="10"/>
      <c r="E183" s="10">
        <v>0</v>
      </c>
      <c r="F183" s="10"/>
      <c r="G183" s="10">
        <f t="shared" si="0"/>
        <v>1</v>
      </c>
      <c r="H183" s="9"/>
      <c r="I183" s="10">
        <v>1</v>
      </c>
      <c r="J183" s="10">
        <f t="shared" si="6"/>
        <v>1</v>
      </c>
      <c r="K183" s="9">
        <f t="shared" si="2"/>
        <v>0</v>
      </c>
      <c r="L183" s="11" t="s">
        <v>138</v>
      </c>
      <c r="M183" s="11" t="s">
        <v>406</v>
      </c>
      <c r="N183" s="12" t="str">
        <f t="shared" si="3"/>
        <v>Imaging|Thorlabs|RS2P8</v>
      </c>
      <c r="O183" s="12">
        <f t="shared" si="4"/>
        <v>1</v>
      </c>
      <c r="P183" s="12"/>
      <c r="Q183" s="12"/>
      <c r="R183" s="13"/>
      <c r="S183" s="13"/>
      <c r="T183" s="13"/>
      <c r="U183" s="11" t="s">
        <v>43</v>
      </c>
      <c r="V183" s="11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</row>
    <row r="184" spans="1:42" ht="22.5" customHeight="1">
      <c r="A184" s="8"/>
      <c r="B184" s="9" t="s">
        <v>27</v>
      </c>
      <c r="C184" s="10">
        <v>1</v>
      </c>
      <c r="D184" s="10"/>
      <c r="E184" s="10">
        <v>1</v>
      </c>
      <c r="F184" s="10"/>
      <c r="G184" s="10">
        <f t="shared" si="0"/>
        <v>0</v>
      </c>
      <c r="H184" s="9"/>
      <c r="I184" s="10">
        <v>1</v>
      </c>
      <c r="J184" s="10">
        <f t="shared" si="6"/>
        <v>0</v>
      </c>
      <c r="K184" s="9">
        <f t="shared" si="2"/>
        <v>0</v>
      </c>
      <c r="L184" s="11" t="s">
        <v>138</v>
      </c>
      <c r="M184" s="11" t="s">
        <v>407</v>
      </c>
      <c r="N184" s="12" t="str">
        <f t="shared" si="3"/>
        <v>Imaging|Thorlabs|RA180</v>
      </c>
      <c r="O184" s="12">
        <f t="shared" si="4"/>
        <v>1</v>
      </c>
      <c r="P184" s="12"/>
      <c r="Q184" s="12"/>
      <c r="R184" s="13"/>
      <c r="S184" s="13"/>
      <c r="T184" s="13"/>
      <c r="U184" s="11" t="s">
        <v>43</v>
      </c>
      <c r="V184" s="11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14"/>
      <c r="AP184" s="14"/>
    </row>
    <row r="185" spans="1:42" ht="22.5" customHeight="1">
      <c r="A185" s="8"/>
      <c r="B185" s="9" t="s">
        <v>27</v>
      </c>
      <c r="C185" s="10">
        <v>2</v>
      </c>
      <c r="D185" s="10"/>
      <c r="E185" s="10">
        <v>0</v>
      </c>
      <c r="F185" s="10"/>
      <c r="G185" s="10">
        <f t="shared" si="0"/>
        <v>2</v>
      </c>
      <c r="H185" s="9"/>
      <c r="I185" s="10">
        <v>1</v>
      </c>
      <c r="J185" s="10">
        <f t="shared" si="6"/>
        <v>2</v>
      </c>
      <c r="K185" s="9">
        <f t="shared" si="2"/>
        <v>0</v>
      </c>
      <c r="L185" s="11" t="s">
        <v>138</v>
      </c>
      <c r="M185" s="11" t="s">
        <v>411</v>
      </c>
      <c r="N185" s="12" t="str">
        <f t="shared" si="3"/>
        <v>Imaging|Thorlabs|RBP2</v>
      </c>
      <c r="O185" s="12">
        <f t="shared" si="4"/>
        <v>1</v>
      </c>
      <c r="P185" s="12"/>
      <c r="Q185" s="12"/>
      <c r="R185" s="13"/>
      <c r="S185" s="13"/>
      <c r="T185" s="13"/>
      <c r="U185" s="11" t="s">
        <v>43</v>
      </c>
      <c r="V185" s="11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</row>
    <row r="186" spans="1:42" ht="22.5" customHeight="1">
      <c r="A186" s="8"/>
      <c r="B186" s="9" t="s">
        <v>27</v>
      </c>
      <c r="C186" s="10">
        <v>2</v>
      </c>
      <c r="D186" s="10"/>
      <c r="E186" s="10">
        <v>0</v>
      </c>
      <c r="F186" s="10"/>
      <c r="G186" s="10">
        <f t="shared" si="0"/>
        <v>2</v>
      </c>
      <c r="H186" s="9"/>
      <c r="I186" s="10">
        <v>1</v>
      </c>
      <c r="J186" s="10">
        <f t="shared" si="6"/>
        <v>2</v>
      </c>
      <c r="K186" s="9">
        <f t="shared" si="2"/>
        <v>0</v>
      </c>
      <c r="L186" s="11" t="s">
        <v>138</v>
      </c>
      <c r="M186" s="11" t="s">
        <v>412</v>
      </c>
      <c r="N186" s="12" t="str">
        <f t="shared" si="3"/>
        <v>Imaging|Thorlabs|RM1B</v>
      </c>
      <c r="O186" s="12">
        <f t="shared" si="4"/>
        <v>1</v>
      </c>
      <c r="P186" s="12"/>
      <c r="Q186" s="12"/>
      <c r="R186" s="13"/>
      <c r="S186" s="13"/>
      <c r="T186" s="13"/>
      <c r="U186" s="11" t="s">
        <v>43</v>
      </c>
      <c r="V186" s="11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  <c r="AO186" s="14"/>
      <c r="AP186" s="14"/>
    </row>
    <row r="187" spans="1:42" ht="22.5" customHeight="1">
      <c r="A187" s="8"/>
      <c r="B187" s="9" t="s">
        <v>27</v>
      </c>
      <c r="C187" s="10">
        <v>2</v>
      </c>
      <c r="D187" s="10"/>
      <c r="E187" s="10">
        <v>0</v>
      </c>
      <c r="F187" s="10"/>
      <c r="G187" s="10">
        <f t="shared" si="0"/>
        <v>2</v>
      </c>
      <c r="H187" s="9"/>
      <c r="I187" s="10">
        <v>1</v>
      </c>
      <c r="J187" s="10">
        <f t="shared" si="6"/>
        <v>2</v>
      </c>
      <c r="K187" s="9">
        <f t="shared" si="2"/>
        <v>0</v>
      </c>
      <c r="L187" s="11" t="s">
        <v>138</v>
      </c>
      <c r="M187" s="11" t="s">
        <v>413</v>
      </c>
      <c r="N187" s="12" t="str">
        <f t="shared" si="3"/>
        <v>Imaging|Thorlabs|RM1G</v>
      </c>
      <c r="O187" s="12">
        <f t="shared" si="4"/>
        <v>1</v>
      </c>
      <c r="P187" s="12"/>
      <c r="Q187" s="12"/>
      <c r="R187" s="13"/>
      <c r="S187" s="13"/>
      <c r="T187" s="13"/>
      <c r="U187" s="11" t="s">
        <v>43</v>
      </c>
      <c r="V187" s="11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</row>
    <row r="188" spans="1:42" ht="22.5" customHeight="1">
      <c r="A188" s="8"/>
      <c r="B188" s="9" t="s">
        <v>27</v>
      </c>
      <c r="C188" s="10">
        <v>2</v>
      </c>
      <c r="D188" s="10"/>
      <c r="E188" s="10">
        <v>0</v>
      </c>
      <c r="F188" s="10"/>
      <c r="G188" s="10">
        <f t="shared" si="0"/>
        <v>2</v>
      </c>
      <c r="H188" s="9"/>
      <c r="I188" s="10">
        <v>1</v>
      </c>
      <c r="J188" s="10">
        <f t="shared" si="6"/>
        <v>2</v>
      </c>
      <c r="K188" s="9">
        <f t="shared" si="2"/>
        <v>0</v>
      </c>
      <c r="L188" s="11" t="s">
        <v>138</v>
      </c>
      <c r="M188" s="11" t="s">
        <v>414</v>
      </c>
      <c r="N188" s="12" t="str">
        <f t="shared" si="3"/>
        <v>Imaging|Thorlabs|RS05</v>
      </c>
      <c r="O188" s="12">
        <f t="shared" si="4"/>
        <v>1</v>
      </c>
      <c r="P188" s="12"/>
      <c r="Q188" s="12"/>
      <c r="R188" s="13"/>
      <c r="S188" s="13"/>
      <c r="T188" s="13"/>
      <c r="U188" s="11" t="s">
        <v>43</v>
      </c>
      <c r="V188" s="11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14"/>
      <c r="AP188" s="14"/>
    </row>
    <row r="189" spans="1:42" ht="22.5" customHeight="1">
      <c r="A189" s="8"/>
      <c r="B189" s="9" t="s">
        <v>27</v>
      </c>
      <c r="C189" s="10">
        <v>1</v>
      </c>
      <c r="D189" s="10"/>
      <c r="E189" s="10">
        <v>0</v>
      </c>
      <c r="F189" s="10"/>
      <c r="G189" s="10">
        <f t="shared" si="0"/>
        <v>1</v>
      </c>
      <c r="H189" s="9"/>
      <c r="I189" s="10">
        <v>1</v>
      </c>
      <c r="J189" s="10">
        <f t="shared" si="6"/>
        <v>1</v>
      </c>
      <c r="K189" s="9">
        <f t="shared" si="2"/>
        <v>0</v>
      </c>
      <c r="L189" s="11" t="s">
        <v>138</v>
      </c>
      <c r="M189" s="11" t="s">
        <v>417</v>
      </c>
      <c r="N189" s="12" t="str">
        <f t="shared" si="3"/>
        <v>Imaging|Thorlabs|RS05P8</v>
      </c>
      <c r="O189" s="12">
        <f t="shared" si="4"/>
        <v>1</v>
      </c>
      <c r="P189" s="12"/>
      <c r="Q189" s="12"/>
      <c r="R189" s="13"/>
      <c r="S189" s="13"/>
      <c r="T189" s="13"/>
      <c r="U189" s="11" t="s">
        <v>43</v>
      </c>
      <c r="V189" s="11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</row>
    <row r="190" spans="1:42" ht="22.5" customHeight="1">
      <c r="A190" s="8"/>
      <c r="B190" s="9" t="s">
        <v>27</v>
      </c>
      <c r="C190" s="10">
        <v>1</v>
      </c>
      <c r="D190" s="10"/>
      <c r="E190" s="10">
        <v>0</v>
      </c>
      <c r="F190" s="10"/>
      <c r="G190" s="10">
        <f t="shared" si="0"/>
        <v>1</v>
      </c>
      <c r="H190" s="9"/>
      <c r="I190" s="10">
        <v>1</v>
      </c>
      <c r="J190" s="10">
        <f t="shared" si="6"/>
        <v>1</v>
      </c>
      <c r="K190" s="9">
        <f t="shared" si="2"/>
        <v>0</v>
      </c>
      <c r="L190" s="11" t="s">
        <v>138</v>
      </c>
      <c r="M190" s="11" t="s">
        <v>418</v>
      </c>
      <c r="N190" s="12" t="str">
        <f t="shared" si="3"/>
        <v>Imaging|Thorlabs|RS075P8</v>
      </c>
      <c r="O190" s="12">
        <f t="shared" si="4"/>
        <v>1</v>
      </c>
      <c r="P190" s="12"/>
      <c r="Q190" s="12"/>
      <c r="R190" s="13"/>
      <c r="S190" s="13"/>
      <c r="T190" s="13"/>
      <c r="U190" s="11" t="s">
        <v>43</v>
      </c>
      <c r="V190" s="11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14"/>
      <c r="AP190" s="14"/>
    </row>
    <row r="191" spans="1:42" ht="22.5" customHeight="1">
      <c r="A191" s="8"/>
      <c r="B191" s="9" t="s">
        <v>27</v>
      </c>
      <c r="C191" s="10">
        <v>2</v>
      </c>
      <c r="D191" s="10"/>
      <c r="E191" s="10">
        <v>0</v>
      </c>
      <c r="F191" s="10"/>
      <c r="G191" s="10">
        <f t="shared" si="0"/>
        <v>2</v>
      </c>
      <c r="H191" s="9"/>
      <c r="I191" s="10">
        <v>1</v>
      </c>
      <c r="J191" s="10">
        <f t="shared" si="6"/>
        <v>2</v>
      </c>
      <c r="K191" s="9">
        <f t="shared" si="2"/>
        <v>0</v>
      </c>
      <c r="L191" s="11" t="s">
        <v>138</v>
      </c>
      <c r="M191" s="11" t="s">
        <v>419</v>
      </c>
      <c r="N191" s="12" t="str">
        <f t="shared" si="3"/>
        <v>Imaging|Thorlabs|RS1</v>
      </c>
      <c r="O191" s="12">
        <f t="shared" si="4"/>
        <v>1</v>
      </c>
      <c r="P191" s="12"/>
      <c r="Q191" s="12"/>
      <c r="R191" s="13"/>
      <c r="S191" s="13"/>
      <c r="T191" s="13"/>
      <c r="U191" s="11" t="s">
        <v>43</v>
      </c>
      <c r="V191" s="11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</row>
    <row r="192" spans="1:42" ht="22.5" customHeight="1">
      <c r="A192" s="8"/>
      <c r="B192" s="9" t="s">
        <v>27</v>
      </c>
      <c r="C192" s="10">
        <v>1</v>
      </c>
      <c r="D192" s="10"/>
      <c r="E192" s="10">
        <v>0</v>
      </c>
      <c r="F192" s="10"/>
      <c r="G192" s="10">
        <f t="shared" si="0"/>
        <v>1</v>
      </c>
      <c r="H192" s="9"/>
      <c r="I192" s="10">
        <v>1</v>
      </c>
      <c r="J192" s="10">
        <f t="shared" si="6"/>
        <v>1</v>
      </c>
      <c r="K192" s="9">
        <f t="shared" si="2"/>
        <v>0</v>
      </c>
      <c r="L192" s="11" t="s">
        <v>138</v>
      </c>
      <c r="M192" s="11" t="s">
        <v>423</v>
      </c>
      <c r="N192" s="12" t="str">
        <f t="shared" si="3"/>
        <v>Imaging|Thorlabs|RS1M</v>
      </c>
      <c r="O192" s="12">
        <f t="shared" si="4"/>
        <v>1</v>
      </c>
      <c r="P192" s="12"/>
      <c r="Q192" s="12"/>
      <c r="R192" s="13"/>
      <c r="S192" s="13"/>
      <c r="T192" s="13"/>
      <c r="U192" s="11" t="s">
        <v>43</v>
      </c>
      <c r="V192" s="11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4"/>
      <c r="AP192" s="14"/>
    </row>
    <row r="193" spans="1:42" ht="22.5" customHeight="1">
      <c r="A193" s="8"/>
      <c r="B193" s="9" t="s">
        <v>27</v>
      </c>
      <c r="C193" s="10">
        <v>1</v>
      </c>
      <c r="D193" s="10"/>
      <c r="E193" s="10">
        <v>0</v>
      </c>
      <c r="F193" s="10"/>
      <c r="G193" s="10">
        <f t="shared" si="0"/>
        <v>1</v>
      </c>
      <c r="H193" s="9"/>
      <c r="I193" s="10">
        <v>1</v>
      </c>
      <c r="J193" s="10">
        <f t="shared" si="6"/>
        <v>1</v>
      </c>
      <c r="K193" s="9">
        <f t="shared" si="2"/>
        <v>0</v>
      </c>
      <c r="L193" s="11" t="s">
        <v>138</v>
      </c>
      <c r="M193" s="11" t="s">
        <v>429</v>
      </c>
      <c r="N193" s="12" t="str">
        <f t="shared" si="3"/>
        <v>Imaging|Thorlabs|RS4</v>
      </c>
      <c r="O193" s="12">
        <f t="shared" si="4"/>
        <v>1</v>
      </c>
      <c r="P193" s="12"/>
      <c r="Q193" s="12"/>
      <c r="R193" s="13"/>
      <c r="S193" s="13"/>
      <c r="T193" s="13"/>
      <c r="U193" s="11" t="s">
        <v>43</v>
      </c>
      <c r="V193" s="11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</row>
    <row r="194" spans="1:42" ht="22.5" customHeight="1">
      <c r="A194" s="8"/>
      <c r="B194" s="9" t="s">
        <v>27</v>
      </c>
      <c r="C194" s="10">
        <v>2</v>
      </c>
      <c r="D194" s="10"/>
      <c r="E194" s="10">
        <v>0</v>
      </c>
      <c r="F194" s="10"/>
      <c r="G194" s="10">
        <f t="shared" si="0"/>
        <v>2</v>
      </c>
      <c r="H194" s="9"/>
      <c r="I194" s="10">
        <v>1</v>
      </c>
      <c r="J194" s="10">
        <f t="shared" si="6"/>
        <v>2</v>
      </c>
      <c r="K194" s="9">
        <f t="shared" si="2"/>
        <v>0</v>
      </c>
      <c r="L194" s="11" t="s">
        <v>138</v>
      </c>
      <c r="M194" s="11" t="s">
        <v>432</v>
      </c>
      <c r="N194" s="12" t="str">
        <f t="shared" si="3"/>
        <v>Imaging|Thorlabs|RS6P</v>
      </c>
      <c r="O194" s="12">
        <f t="shared" si="4"/>
        <v>1</v>
      </c>
      <c r="P194" s="12"/>
      <c r="Q194" s="12"/>
      <c r="R194" s="13"/>
      <c r="S194" s="13"/>
      <c r="T194" s="13"/>
      <c r="U194" s="11" t="s">
        <v>43</v>
      </c>
      <c r="V194" s="11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14"/>
      <c r="AP194" s="14"/>
    </row>
    <row r="195" spans="1:42" ht="22.5" customHeight="1">
      <c r="A195" s="8"/>
      <c r="B195" s="9" t="s">
        <v>27</v>
      </c>
      <c r="C195" s="10">
        <v>2</v>
      </c>
      <c r="D195" s="10"/>
      <c r="E195" s="10">
        <v>0</v>
      </c>
      <c r="F195" s="10"/>
      <c r="G195" s="10">
        <f t="shared" si="0"/>
        <v>2</v>
      </c>
      <c r="H195" s="9"/>
      <c r="I195" s="10">
        <v>1</v>
      </c>
      <c r="J195" s="10">
        <f t="shared" si="6"/>
        <v>2</v>
      </c>
      <c r="K195" s="9">
        <f t="shared" si="2"/>
        <v>0</v>
      </c>
      <c r="L195" s="11" t="s">
        <v>138</v>
      </c>
      <c r="M195" s="11" t="s">
        <v>434</v>
      </c>
      <c r="N195" s="12" t="str">
        <f t="shared" si="3"/>
        <v>Imaging|Thorlabs|RS8M</v>
      </c>
      <c r="O195" s="12">
        <f t="shared" si="4"/>
        <v>1</v>
      </c>
      <c r="P195" s="12"/>
      <c r="Q195" s="12"/>
      <c r="R195" s="13"/>
      <c r="S195" s="13"/>
      <c r="T195" s="13"/>
      <c r="U195" s="11" t="s">
        <v>43</v>
      </c>
      <c r="V195" s="11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</row>
    <row r="196" spans="1:42" ht="22.5" customHeight="1">
      <c r="A196" s="8"/>
      <c r="B196" s="9" t="s">
        <v>27</v>
      </c>
      <c r="C196" s="10">
        <v>1</v>
      </c>
      <c r="D196" s="10"/>
      <c r="E196" s="10">
        <v>0</v>
      </c>
      <c r="F196" s="10"/>
      <c r="G196" s="10">
        <f t="shared" si="0"/>
        <v>1</v>
      </c>
      <c r="H196" s="9"/>
      <c r="I196" s="10">
        <v>1</v>
      </c>
      <c r="J196" s="10">
        <f t="shared" si="6"/>
        <v>1</v>
      </c>
      <c r="K196" s="9">
        <f t="shared" si="2"/>
        <v>0</v>
      </c>
      <c r="L196" s="11" t="s">
        <v>138</v>
      </c>
      <c r="M196" s="11" t="s">
        <v>437</v>
      </c>
      <c r="N196" s="12" t="str">
        <f t="shared" si="3"/>
        <v>Imaging|Thorlabs|SM1A3</v>
      </c>
      <c r="O196" s="12">
        <f t="shared" si="4"/>
        <v>1</v>
      </c>
      <c r="P196" s="12"/>
      <c r="Q196" s="12"/>
      <c r="R196" s="13"/>
      <c r="S196" s="13"/>
      <c r="T196" s="13"/>
      <c r="U196" s="11" t="s">
        <v>43</v>
      </c>
      <c r="V196" s="11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4"/>
      <c r="AP196" s="14"/>
    </row>
    <row r="197" spans="1:42" ht="22.5" customHeight="1">
      <c r="A197" s="8"/>
      <c r="B197" s="9" t="s">
        <v>27</v>
      </c>
      <c r="C197" s="10">
        <v>1</v>
      </c>
      <c r="D197" s="10"/>
      <c r="E197" s="10">
        <v>0</v>
      </c>
      <c r="F197" s="10"/>
      <c r="G197" s="10">
        <f t="shared" si="0"/>
        <v>1</v>
      </c>
      <c r="H197" s="9"/>
      <c r="I197" s="10">
        <v>1</v>
      </c>
      <c r="J197" s="10">
        <f t="shared" si="6"/>
        <v>1</v>
      </c>
      <c r="K197" s="9">
        <f t="shared" si="2"/>
        <v>0</v>
      </c>
      <c r="L197" s="11" t="s">
        <v>138</v>
      </c>
      <c r="M197" s="11" t="s">
        <v>441</v>
      </c>
      <c r="N197" s="12" t="str">
        <f t="shared" si="3"/>
        <v>Imaging|Thorlabs|SM1A64</v>
      </c>
      <c r="O197" s="12">
        <f t="shared" si="4"/>
        <v>1</v>
      </c>
      <c r="P197" s="12"/>
      <c r="Q197" s="12"/>
      <c r="R197" s="13"/>
      <c r="S197" s="13"/>
      <c r="T197" s="13"/>
      <c r="U197" s="11" t="s">
        <v>43</v>
      </c>
      <c r="V197" s="11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</row>
    <row r="198" spans="1:42" ht="22.5" customHeight="1">
      <c r="A198" s="8"/>
      <c r="B198" s="9" t="s">
        <v>27</v>
      </c>
      <c r="C198" s="10">
        <v>2</v>
      </c>
      <c r="D198" s="10"/>
      <c r="E198" s="10">
        <v>0</v>
      </c>
      <c r="F198" s="10"/>
      <c r="G198" s="10">
        <f t="shared" si="0"/>
        <v>2</v>
      </c>
      <c r="H198" s="9"/>
      <c r="I198" s="10">
        <v>1</v>
      </c>
      <c r="J198" s="10">
        <f t="shared" si="6"/>
        <v>2</v>
      </c>
      <c r="K198" s="9">
        <f t="shared" si="2"/>
        <v>0</v>
      </c>
      <c r="L198" s="11" t="s">
        <v>138</v>
      </c>
      <c r="M198" s="11" t="s">
        <v>444</v>
      </c>
      <c r="N198" s="12" t="str">
        <f t="shared" si="3"/>
        <v>Imaging|Thorlabs|SM1CP2</v>
      </c>
      <c r="O198" s="12">
        <f t="shared" si="4"/>
        <v>1</v>
      </c>
      <c r="P198" s="12"/>
      <c r="Q198" s="12"/>
      <c r="R198" s="13"/>
      <c r="S198" s="13"/>
      <c r="T198" s="13"/>
      <c r="U198" s="11" t="s">
        <v>43</v>
      </c>
      <c r="V198" s="11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14"/>
      <c r="AP198" s="14"/>
    </row>
    <row r="199" spans="1:42" ht="22.5" customHeight="1">
      <c r="A199" s="8"/>
      <c r="B199" s="9" t="s">
        <v>27</v>
      </c>
      <c r="C199" s="10">
        <v>2</v>
      </c>
      <c r="D199" s="10"/>
      <c r="E199" s="10">
        <v>3</v>
      </c>
      <c r="F199" s="10"/>
      <c r="G199" s="10">
        <f t="shared" si="0"/>
        <v>0</v>
      </c>
      <c r="H199" s="9"/>
      <c r="I199" s="10">
        <v>1</v>
      </c>
      <c r="J199" s="10">
        <f t="shared" si="6"/>
        <v>0</v>
      </c>
      <c r="K199" s="9">
        <f t="shared" si="2"/>
        <v>0</v>
      </c>
      <c r="L199" s="11" t="s">
        <v>138</v>
      </c>
      <c r="M199" s="11" t="s">
        <v>447</v>
      </c>
      <c r="N199" s="12" t="str">
        <f t="shared" si="3"/>
        <v>Imaging|Thorlabs|SM1L03</v>
      </c>
      <c r="O199" s="12">
        <f t="shared" si="4"/>
        <v>1</v>
      </c>
      <c r="P199" s="12"/>
      <c r="Q199" s="12"/>
      <c r="R199" s="13"/>
      <c r="S199" s="13"/>
      <c r="T199" s="13"/>
      <c r="U199" s="11" t="s">
        <v>43</v>
      </c>
      <c r="V199" s="11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</row>
    <row r="200" spans="1:42" ht="22.5" customHeight="1">
      <c r="A200" s="8"/>
      <c r="B200" s="9" t="s">
        <v>27</v>
      </c>
      <c r="C200" s="10">
        <v>1</v>
      </c>
      <c r="D200" s="10"/>
      <c r="E200" s="10">
        <v>0</v>
      </c>
      <c r="F200" s="10"/>
      <c r="G200" s="10">
        <f t="shared" si="0"/>
        <v>1</v>
      </c>
      <c r="H200" s="9"/>
      <c r="I200" s="10">
        <v>1</v>
      </c>
      <c r="J200" s="10">
        <f t="shared" si="6"/>
        <v>1</v>
      </c>
      <c r="K200" s="9">
        <f t="shared" si="2"/>
        <v>0</v>
      </c>
      <c r="L200" s="11" t="s">
        <v>138</v>
      </c>
      <c r="M200" s="11" t="s">
        <v>448</v>
      </c>
      <c r="N200" s="12" t="str">
        <f t="shared" si="3"/>
        <v>Imaging|Thorlabs|SM1L05</v>
      </c>
      <c r="O200" s="12">
        <f t="shared" si="4"/>
        <v>1</v>
      </c>
      <c r="P200" s="12"/>
      <c r="Q200" s="12"/>
      <c r="R200" s="13"/>
      <c r="S200" s="13"/>
      <c r="T200" s="13"/>
      <c r="U200" s="11" t="s">
        <v>43</v>
      </c>
      <c r="V200" s="11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4"/>
      <c r="AP200" s="14"/>
    </row>
    <row r="201" spans="1:42" ht="22.5" customHeight="1">
      <c r="A201" s="8"/>
      <c r="B201" s="9" t="s">
        <v>27</v>
      </c>
      <c r="C201" s="10">
        <v>1</v>
      </c>
      <c r="D201" s="10"/>
      <c r="E201" s="10">
        <v>10</v>
      </c>
      <c r="F201" s="10"/>
      <c r="G201" s="10">
        <f t="shared" si="0"/>
        <v>0</v>
      </c>
      <c r="H201" s="9"/>
      <c r="I201" s="10">
        <v>1</v>
      </c>
      <c r="J201" s="10">
        <f t="shared" si="6"/>
        <v>0</v>
      </c>
      <c r="K201" s="9">
        <f t="shared" si="2"/>
        <v>0</v>
      </c>
      <c r="L201" s="11" t="s">
        <v>138</v>
      </c>
      <c r="M201" s="11" t="s">
        <v>449</v>
      </c>
      <c r="N201" s="12" t="str">
        <f t="shared" si="3"/>
        <v>Imaging|Thorlabs|SM1RR</v>
      </c>
      <c r="O201" s="12">
        <f t="shared" si="4"/>
        <v>1</v>
      </c>
      <c r="P201" s="12"/>
      <c r="Q201" s="12"/>
      <c r="R201" s="13"/>
      <c r="S201" s="13"/>
      <c r="T201" s="13"/>
      <c r="U201" s="11" t="s">
        <v>43</v>
      </c>
      <c r="V201" s="11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</row>
    <row r="202" spans="1:42" ht="22.5" customHeight="1">
      <c r="A202" s="8"/>
      <c r="B202" s="9" t="s">
        <v>27</v>
      </c>
      <c r="C202" s="10">
        <v>1</v>
      </c>
      <c r="D202" s="10"/>
      <c r="E202" s="10">
        <v>1</v>
      </c>
      <c r="F202" s="10"/>
      <c r="G202" s="10">
        <f t="shared" si="0"/>
        <v>0</v>
      </c>
      <c r="H202" s="9"/>
      <c r="I202" s="10">
        <v>1</v>
      </c>
      <c r="J202" s="10">
        <f t="shared" si="6"/>
        <v>0</v>
      </c>
      <c r="K202" s="9">
        <f t="shared" si="2"/>
        <v>0</v>
      </c>
      <c r="L202" s="11" t="s">
        <v>138</v>
      </c>
      <c r="M202" s="11" t="s">
        <v>450</v>
      </c>
      <c r="N202" s="12" t="str">
        <f t="shared" si="3"/>
        <v>Imaging|Thorlabs|SM1RRC</v>
      </c>
      <c r="O202" s="12">
        <f t="shared" si="4"/>
        <v>1</v>
      </c>
      <c r="P202" s="12"/>
      <c r="Q202" s="12"/>
      <c r="R202" s="13"/>
      <c r="S202" s="13"/>
      <c r="T202" s="13"/>
      <c r="U202" s="11" t="s">
        <v>451</v>
      </c>
      <c r="V202" s="11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14"/>
      <c r="AP202" s="14"/>
    </row>
    <row r="203" spans="1:42" ht="22.5" customHeight="1">
      <c r="A203" s="8"/>
      <c r="B203" s="9" t="s">
        <v>27</v>
      </c>
      <c r="C203" s="10">
        <v>2</v>
      </c>
      <c r="D203" s="10"/>
      <c r="E203" s="10">
        <v>2</v>
      </c>
      <c r="F203" s="10"/>
      <c r="G203" s="10">
        <f t="shared" si="0"/>
        <v>0</v>
      </c>
      <c r="H203" s="9"/>
      <c r="I203" s="10">
        <v>1</v>
      </c>
      <c r="J203" s="10">
        <f t="shared" si="6"/>
        <v>0</v>
      </c>
      <c r="K203" s="9">
        <f t="shared" si="2"/>
        <v>0</v>
      </c>
      <c r="L203" s="11" t="s">
        <v>138</v>
      </c>
      <c r="M203" s="11" t="s">
        <v>452</v>
      </c>
      <c r="N203" s="12" t="str">
        <f t="shared" si="3"/>
        <v>Imaging|Thorlabs|SM1S1M</v>
      </c>
      <c r="O203" s="12">
        <f t="shared" si="4"/>
        <v>1</v>
      </c>
      <c r="P203" s="12"/>
      <c r="Q203" s="12"/>
      <c r="R203" s="13"/>
      <c r="S203" s="13"/>
      <c r="T203" s="13"/>
      <c r="U203" s="11" t="s">
        <v>43</v>
      </c>
      <c r="V203" s="11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</row>
    <row r="204" spans="1:42" ht="22.5" customHeight="1">
      <c r="A204" s="8"/>
      <c r="B204" s="9" t="s">
        <v>27</v>
      </c>
      <c r="C204" s="10">
        <v>1</v>
      </c>
      <c r="D204" s="10"/>
      <c r="E204" s="10">
        <v>0</v>
      </c>
      <c r="F204" s="10"/>
      <c r="G204" s="10">
        <f t="shared" si="0"/>
        <v>1</v>
      </c>
      <c r="H204" s="9"/>
      <c r="I204" s="10">
        <v>1</v>
      </c>
      <c r="J204" s="10">
        <f t="shared" si="6"/>
        <v>1</v>
      </c>
      <c r="K204" s="9">
        <f t="shared" si="2"/>
        <v>0</v>
      </c>
      <c r="L204" s="11" t="s">
        <v>138</v>
      </c>
      <c r="M204" s="11" t="s">
        <v>455</v>
      </c>
      <c r="N204" s="12" t="str">
        <f t="shared" si="3"/>
        <v>Imaging|Thorlabs|SM1T4</v>
      </c>
      <c r="O204" s="12">
        <f t="shared" si="4"/>
        <v>1</v>
      </c>
      <c r="P204" s="12"/>
      <c r="Q204" s="12"/>
      <c r="R204" s="13"/>
      <c r="S204" s="13"/>
      <c r="T204" s="13"/>
      <c r="U204" s="11" t="s">
        <v>43</v>
      </c>
      <c r="V204" s="11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14"/>
      <c r="AP204" s="14"/>
    </row>
    <row r="205" spans="1:42" ht="22.5" customHeight="1">
      <c r="A205" s="8"/>
      <c r="B205" s="9" t="s">
        <v>27</v>
      </c>
      <c r="C205" s="10">
        <v>1</v>
      </c>
      <c r="D205" s="10"/>
      <c r="E205" s="10">
        <v>1</v>
      </c>
      <c r="F205" s="10"/>
      <c r="G205" s="10">
        <f t="shared" si="0"/>
        <v>0</v>
      </c>
      <c r="H205" s="9"/>
      <c r="I205" s="10">
        <v>1</v>
      </c>
      <c r="J205" s="10">
        <f t="shared" si="6"/>
        <v>0</v>
      </c>
      <c r="K205" s="9">
        <f t="shared" si="2"/>
        <v>0</v>
      </c>
      <c r="L205" s="11" t="s">
        <v>138</v>
      </c>
      <c r="M205" s="11" t="s">
        <v>456</v>
      </c>
      <c r="N205" s="12" t="str">
        <f t="shared" si="3"/>
        <v>Imaging|Thorlabs|SM1TC</v>
      </c>
      <c r="O205" s="12">
        <f t="shared" si="4"/>
        <v>1</v>
      </c>
      <c r="P205" s="12"/>
      <c r="Q205" s="12"/>
      <c r="R205" s="13"/>
      <c r="S205" s="13"/>
      <c r="T205" s="13"/>
      <c r="U205" s="11" t="s">
        <v>43</v>
      </c>
      <c r="V205" s="11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</row>
    <row r="206" spans="1:42" ht="22.5" customHeight="1">
      <c r="A206" s="8"/>
      <c r="B206" s="9" t="s">
        <v>27</v>
      </c>
      <c r="C206" s="10">
        <v>1</v>
      </c>
      <c r="D206" s="10"/>
      <c r="E206" s="10">
        <v>1</v>
      </c>
      <c r="F206" s="10"/>
      <c r="G206" s="10">
        <f t="shared" si="0"/>
        <v>0</v>
      </c>
      <c r="H206" s="9"/>
      <c r="I206" s="10">
        <v>1</v>
      </c>
      <c r="J206" s="10">
        <f t="shared" si="6"/>
        <v>0</v>
      </c>
      <c r="K206" s="9">
        <f t="shared" si="2"/>
        <v>0</v>
      </c>
      <c r="L206" s="11" t="s">
        <v>138</v>
      </c>
      <c r="M206" s="11" t="s">
        <v>457</v>
      </c>
      <c r="N206" s="12" t="str">
        <f t="shared" si="3"/>
        <v>Imaging|Thorlabs|SM1V10</v>
      </c>
      <c r="O206" s="12">
        <f t="shared" si="4"/>
        <v>1</v>
      </c>
      <c r="P206" s="12"/>
      <c r="Q206" s="12"/>
      <c r="R206" s="13"/>
      <c r="S206" s="13"/>
      <c r="T206" s="13"/>
      <c r="U206" s="11" t="s">
        <v>43</v>
      </c>
      <c r="V206" s="11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4"/>
      <c r="AP206" s="14"/>
    </row>
    <row r="207" spans="1:42" ht="22.5" customHeight="1">
      <c r="A207" s="8"/>
      <c r="B207" s="9" t="s">
        <v>27</v>
      </c>
      <c r="C207" s="10">
        <v>2</v>
      </c>
      <c r="D207" s="10"/>
      <c r="E207" s="10">
        <v>0</v>
      </c>
      <c r="F207" s="10"/>
      <c r="G207" s="10">
        <f t="shared" si="0"/>
        <v>2</v>
      </c>
      <c r="H207" s="9"/>
      <c r="I207" s="10">
        <v>1</v>
      </c>
      <c r="J207" s="10">
        <f t="shared" si="6"/>
        <v>2</v>
      </c>
      <c r="K207" s="9">
        <f t="shared" si="2"/>
        <v>0</v>
      </c>
      <c r="L207" s="11" t="s">
        <v>138</v>
      </c>
      <c r="M207" s="11" t="s">
        <v>463</v>
      </c>
      <c r="N207" s="12" t="str">
        <f t="shared" si="3"/>
        <v>Imaging|Thorlabs|SM2A33</v>
      </c>
      <c r="O207" s="12">
        <f t="shared" si="4"/>
        <v>1</v>
      </c>
      <c r="P207" s="12"/>
      <c r="Q207" s="12"/>
      <c r="R207" s="13"/>
      <c r="S207" s="13"/>
      <c r="T207" s="13"/>
      <c r="U207" s="11" t="s">
        <v>43</v>
      </c>
      <c r="V207" s="11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4"/>
      <c r="AP207" s="14"/>
    </row>
    <row r="208" spans="1:42" ht="22.5" customHeight="1">
      <c r="A208" s="8"/>
      <c r="B208" s="9" t="s">
        <v>27</v>
      </c>
      <c r="C208" s="10">
        <v>1</v>
      </c>
      <c r="D208" s="10"/>
      <c r="E208" s="10">
        <v>1</v>
      </c>
      <c r="F208" s="10"/>
      <c r="G208" s="10">
        <f t="shared" si="0"/>
        <v>0</v>
      </c>
      <c r="H208" s="9"/>
      <c r="I208" s="10">
        <v>1</v>
      </c>
      <c r="J208" s="10">
        <f t="shared" si="6"/>
        <v>0</v>
      </c>
      <c r="K208" s="9">
        <f t="shared" si="2"/>
        <v>0</v>
      </c>
      <c r="L208" s="11" t="s">
        <v>138</v>
      </c>
      <c r="M208" s="11" t="s">
        <v>469</v>
      </c>
      <c r="N208" s="12" t="str">
        <f t="shared" si="3"/>
        <v xml:space="preserve">Imaging|Thorlabs|SM2D25D </v>
      </c>
      <c r="O208" s="12">
        <f t="shared" si="4"/>
        <v>1</v>
      </c>
      <c r="P208" s="12"/>
      <c r="Q208" s="12"/>
      <c r="R208" s="13" t="s">
        <v>138</v>
      </c>
      <c r="S208" s="13" t="s">
        <v>469</v>
      </c>
      <c r="T208" s="13" t="s">
        <v>470</v>
      </c>
      <c r="U208" s="16" t="s">
        <v>471</v>
      </c>
      <c r="V208" s="11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  <c r="AO208" s="14"/>
      <c r="AP208" s="14"/>
    </row>
    <row r="209" spans="1:42" ht="22.5" customHeight="1">
      <c r="A209" s="8"/>
      <c r="B209" s="9" t="s">
        <v>27</v>
      </c>
      <c r="C209" s="10">
        <v>3</v>
      </c>
      <c r="D209" s="10"/>
      <c r="E209" s="10">
        <v>4</v>
      </c>
      <c r="F209" s="10"/>
      <c r="G209" s="10">
        <f t="shared" si="0"/>
        <v>0</v>
      </c>
      <c r="H209" s="9"/>
      <c r="I209" s="10">
        <v>1</v>
      </c>
      <c r="J209" s="10">
        <f t="shared" si="6"/>
        <v>0</v>
      </c>
      <c r="K209" s="9">
        <f t="shared" si="2"/>
        <v>0</v>
      </c>
      <c r="L209" s="9" t="s">
        <v>138</v>
      </c>
      <c r="M209" s="9" t="s">
        <v>472</v>
      </c>
      <c r="N209" s="12" t="str">
        <f t="shared" si="3"/>
        <v>Imaging|Thorlabs|SM2L10</v>
      </c>
      <c r="O209" s="12">
        <f t="shared" si="4"/>
        <v>1</v>
      </c>
      <c r="P209" s="12" t="s">
        <v>38</v>
      </c>
      <c r="Q209" s="12"/>
      <c r="R209" s="12" t="s">
        <v>138</v>
      </c>
      <c r="S209" s="12" t="s">
        <v>472</v>
      </c>
      <c r="T209" s="13" t="s">
        <v>473</v>
      </c>
      <c r="U209" s="15" t="s">
        <v>474</v>
      </c>
      <c r="V209" s="11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4"/>
      <c r="AP209" s="14"/>
    </row>
    <row r="210" spans="1:42" ht="22.5" customHeight="1">
      <c r="A210" s="8"/>
      <c r="B210" s="9" t="s">
        <v>27</v>
      </c>
      <c r="C210" s="10">
        <v>4</v>
      </c>
      <c r="D210" s="10"/>
      <c r="E210" s="10">
        <v>4</v>
      </c>
      <c r="F210" s="10">
        <v>0</v>
      </c>
      <c r="G210" s="10">
        <f t="shared" si="0"/>
        <v>0</v>
      </c>
      <c r="H210" s="9"/>
      <c r="I210" s="10">
        <v>1</v>
      </c>
      <c r="J210" s="10">
        <f t="shared" si="6"/>
        <v>0</v>
      </c>
      <c r="K210" s="9">
        <f t="shared" si="2"/>
        <v>0</v>
      </c>
      <c r="L210" s="9" t="s">
        <v>138</v>
      </c>
      <c r="M210" s="9" t="s">
        <v>475</v>
      </c>
      <c r="N210" s="12" t="str">
        <f t="shared" si="3"/>
        <v>Imaging|Thorlabs|SM2L15</v>
      </c>
      <c r="O210" s="12">
        <f t="shared" si="4"/>
        <v>1</v>
      </c>
      <c r="P210" s="12"/>
      <c r="Q210" s="12"/>
      <c r="R210" s="12" t="s">
        <v>138</v>
      </c>
      <c r="S210" s="12" t="s">
        <v>475</v>
      </c>
      <c r="T210" s="13" t="s">
        <v>476</v>
      </c>
      <c r="U210" s="16" t="s">
        <v>477</v>
      </c>
      <c r="V210" s="11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14"/>
      <c r="AP210" s="14"/>
    </row>
    <row r="211" spans="1:42" ht="22.5" customHeight="1">
      <c r="A211" s="8"/>
      <c r="B211" s="9" t="s">
        <v>27</v>
      </c>
      <c r="C211" s="10">
        <v>7</v>
      </c>
      <c r="D211" s="10"/>
      <c r="E211" s="10">
        <v>10</v>
      </c>
      <c r="F211" s="10"/>
      <c r="G211" s="10">
        <f t="shared" si="0"/>
        <v>0</v>
      </c>
      <c r="H211" s="9"/>
      <c r="I211" s="10">
        <v>1</v>
      </c>
      <c r="J211" s="10">
        <f t="shared" si="6"/>
        <v>0</v>
      </c>
      <c r="K211" s="9">
        <f t="shared" si="2"/>
        <v>0</v>
      </c>
      <c r="L211" s="9" t="s">
        <v>138</v>
      </c>
      <c r="M211" s="9" t="s">
        <v>478</v>
      </c>
      <c r="N211" s="12" t="str">
        <f t="shared" si="3"/>
        <v>Imaging|Thorlabs|SM2RR</v>
      </c>
      <c r="O211" s="12">
        <f t="shared" si="4"/>
        <v>1</v>
      </c>
      <c r="P211" s="12"/>
      <c r="Q211" s="12"/>
      <c r="R211" s="12" t="s">
        <v>138</v>
      </c>
      <c r="S211" s="12" t="s">
        <v>478</v>
      </c>
      <c r="T211" s="13"/>
      <c r="U211" s="11"/>
      <c r="V211" s="11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</row>
    <row r="212" spans="1:42" ht="22.5" customHeight="1">
      <c r="A212" s="8"/>
      <c r="B212" s="9" t="s">
        <v>27</v>
      </c>
      <c r="C212" s="10">
        <v>2</v>
      </c>
      <c r="D212" s="10"/>
      <c r="E212" s="10">
        <v>0</v>
      </c>
      <c r="F212" s="10"/>
      <c r="G212" s="10">
        <f t="shared" si="0"/>
        <v>2</v>
      </c>
      <c r="H212" s="9"/>
      <c r="I212" s="10">
        <v>1</v>
      </c>
      <c r="J212" s="10">
        <f t="shared" si="6"/>
        <v>2</v>
      </c>
      <c r="K212" s="9">
        <f t="shared" si="2"/>
        <v>0</v>
      </c>
      <c r="L212" s="11" t="s">
        <v>138</v>
      </c>
      <c r="M212" s="11" t="s">
        <v>483</v>
      </c>
      <c r="N212" s="12" t="str">
        <f t="shared" si="3"/>
        <v>Imaging|Thorlabs|SPT2C</v>
      </c>
      <c r="O212" s="12">
        <f t="shared" si="4"/>
        <v>1</v>
      </c>
      <c r="P212" s="12"/>
      <c r="Q212" s="12"/>
      <c r="R212" s="13"/>
      <c r="S212" s="13"/>
      <c r="T212" s="13"/>
      <c r="U212" s="11" t="s">
        <v>43</v>
      </c>
      <c r="V212" s="11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  <c r="AO212" s="14"/>
      <c r="AP212" s="14"/>
    </row>
    <row r="213" spans="1:42" ht="22.5" customHeight="1">
      <c r="A213" s="8"/>
      <c r="B213" s="9" t="s">
        <v>27</v>
      </c>
      <c r="C213" s="10">
        <v>1</v>
      </c>
      <c r="D213" s="10"/>
      <c r="E213" s="10">
        <v>0</v>
      </c>
      <c r="F213" s="10"/>
      <c r="G213" s="10">
        <f t="shared" si="0"/>
        <v>1</v>
      </c>
      <c r="H213" s="9"/>
      <c r="I213" s="10">
        <v>1</v>
      </c>
      <c r="J213" s="10">
        <f t="shared" si="6"/>
        <v>1</v>
      </c>
      <c r="K213" s="9">
        <f t="shared" si="2"/>
        <v>0</v>
      </c>
      <c r="L213" s="11" t="s">
        <v>138</v>
      </c>
      <c r="M213" s="11" t="s">
        <v>484</v>
      </c>
      <c r="N213" s="12" t="str">
        <f t="shared" si="3"/>
        <v>Imaging|Thorlabs|ST1XY-A</v>
      </c>
      <c r="O213" s="12">
        <f t="shared" si="4"/>
        <v>1</v>
      </c>
      <c r="P213" s="12"/>
      <c r="Q213" s="12"/>
      <c r="R213" s="13"/>
      <c r="S213" s="13"/>
      <c r="T213" s="13"/>
      <c r="U213" s="11" t="s">
        <v>43</v>
      </c>
      <c r="V213" s="11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 s="14"/>
      <c r="AP213" s="14"/>
    </row>
    <row r="214" spans="1:42" ht="22.5" customHeight="1">
      <c r="A214" s="8"/>
      <c r="B214" s="9" t="s">
        <v>27</v>
      </c>
      <c r="C214" s="10">
        <v>5</v>
      </c>
      <c r="D214" s="10">
        <v>3</v>
      </c>
      <c r="E214" s="10">
        <v>0</v>
      </c>
      <c r="F214" s="10"/>
      <c r="G214" s="10">
        <f t="shared" si="0"/>
        <v>8</v>
      </c>
      <c r="H214" s="9"/>
      <c r="I214" s="10">
        <v>1</v>
      </c>
      <c r="J214" s="10">
        <f t="shared" si="6"/>
        <v>8</v>
      </c>
      <c r="K214" s="9">
        <f t="shared" si="2"/>
        <v>0</v>
      </c>
      <c r="L214" s="11" t="s">
        <v>138</v>
      </c>
      <c r="M214" s="11" t="s">
        <v>494</v>
      </c>
      <c r="N214" s="12" t="str">
        <f t="shared" si="3"/>
        <v>Imaging|Thorlabs|TH075</v>
      </c>
      <c r="O214" s="12">
        <f t="shared" si="4"/>
        <v>1</v>
      </c>
      <c r="P214" s="12"/>
      <c r="Q214" s="12"/>
      <c r="R214" s="13"/>
      <c r="S214" s="13"/>
      <c r="T214" s="13"/>
      <c r="U214" s="11" t="s">
        <v>43</v>
      </c>
      <c r="V214" s="11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  <c r="AO214" s="14"/>
      <c r="AP214" s="14"/>
    </row>
    <row r="215" spans="1:42" ht="22.5" customHeight="1">
      <c r="A215" s="8"/>
      <c r="B215" s="9" t="s">
        <v>27</v>
      </c>
      <c r="C215" s="10">
        <v>3</v>
      </c>
      <c r="D215" s="10"/>
      <c r="E215" s="10">
        <v>2</v>
      </c>
      <c r="F215" s="10"/>
      <c r="G215" s="10">
        <f t="shared" si="0"/>
        <v>1</v>
      </c>
      <c r="H215" s="9"/>
      <c r="I215" s="10">
        <v>1</v>
      </c>
      <c r="J215" s="10">
        <f t="shared" si="6"/>
        <v>1</v>
      </c>
      <c r="K215" s="9">
        <f t="shared" si="2"/>
        <v>0</v>
      </c>
      <c r="L215" s="11" t="s">
        <v>138</v>
      </c>
      <c r="M215" s="11" t="s">
        <v>496</v>
      </c>
      <c r="N215" s="12" t="str">
        <f t="shared" si="3"/>
        <v>Imaging|Thorlabs|TR075</v>
      </c>
      <c r="O215" s="12">
        <f t="shared" si="4"/>
        <v>1</v>
      </c>
      <c r="P215" s="12"/>
      <c r="Q215" s="12"/>
      <c r="R215" s="13"/>
      <c r="S215" s="13"/>
      <c r="T215" s="13"/>
      <c r="U215" s="11" t="s">
        <v>43</v>
      </c>
      <c r="V215" s="11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14"/>
      <c r="AP215" s="14"/>
    </row>
    <row r="216" spans="1:42" ht="22.5" customHeight="1">
      <c r="A216" s="8"/>
      <c r="B216" s="9" t="s">
        <v>27</v>
      </c>
      <c r="C216" s="10">
        <v>7</v>
      </c>
      <c r="D216" s="10"/>
      <c r="E216" s="10">
        <v>0</v>
      </c>
      <c r="F216" s="10"/>
      <c r="G216" s="10">
        <f t="shared" si="0"/>
        <v>7</v>
      </c>
      <c r="H216" s="9"/>
      <c r="I216" s="10">
        <v>1</v>
      </c>
      <c r="J216" s="10">
        <f t="shared" si="6"/>
        <v>7</v>
      </c>
      <c r="K216" s="9">
        <f t="shared" si="2"/>
        <v>0</v>
      </c>
      <c r="L216" s="11" t="s">
        <v>138</v>
      </c>
      <c r="M216" s="11" t="s">
        <v>498</v>
      </c>
      <c r="N216" s="12" t="str">
        <f t="shared" si="3"/>
        <v>Imaging|Thorlabs|TR1</v>
      </c>
      <c r="O216" s="12">
        <f t="shared" si="4"/>
        <v>1</v>
      </c>
      <c r="P216" s="12"/>
      <c r="Q216" s="12"/>
      <c r="R216" s="13"/>
      <c r="S216" s="13"/>
      <c r="T216" s="13"/>
      <c r="U216" s="11" t="s">
        <v>43</v>
      </c>
      <c r="V216" s="11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  <c r="AO216" s="14"/>
      <c r="AP216" s="14"/>
    </row>
    <row r="217" spans="1:42" ht="22.5" customHeight="1">
      <c r="A217" s="8"/>
      <c r="B217" s="9" t="s">
        <v>27</v>
      </c>
      <c r="C217" s="10">
        <v>1</v>
      </c>
      <c r="D217" s="10"/>
      <c r="E217" s="10">
        <v>0</v>
      </c>
      <c r="F217" s="10"/>
      <c r="G217" s="10">
        <f t="shared" si="0"/>
        <v>1</v>
      </c>
      <c r="H217" s="9"/>
      <c r="I217" s="10">
        <v>1</v>
      </c>
      <c r="J217" s="10">
        <f t="shared" si="6"/>
        <v>1</v>
      </c>
      <c r="K217" s="9">
        <f t="shared" si="2"/>
        <v>0</v>
      </c>
      <c r="L217" s="11" t="s">
        <v>138</v>
      </c>
      <c r="M217" s="11" t="s">
        <v>501</v>
      </c>
      <c r="N217" s="12" t="str">
        <f t="shared" si="3"/>
        <v>Imaging|Thorlabs|TR1.5</v>
      </c>
      <c r="O217" s="12">
        <f t="shared" si="4"/>
        <v>1</v>
      </c>
      <c r="P217" s="12"/>
      <c r="Q217" s="12"/>
      <c r="R217" s="13"/>
      <c r="S217" s="13"/>
      <c r="T217" s="13"/>
      <c r="U217" s="11" t="s">
        <v>43</v>
      </c>
      <c r="V217" s="11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 s="14"/>
      <c r="AP217" s="14"/>
    </row>
    <row r="218" spans="1:42" ht="22.5" customHeight="1">
      <c r="A218" s="8"/>
      <c r="B218" s="9" t="s">
        <v>27</v>
      </c>
      <c r="C218" s="10">
        <v>1</v>
      </c>
      <c r="D218" s="10"/>
      <c r="E218" s="10">
        <v>0</v>
      </c>
      <c r="F218" s="10"/>
      <c r="G218" s="10">
        <f t="shared" si="0"/>
        <v>1</v>
      </c>
      <c r="H218" s="9"/>
      <c r="I218" s="10">
        <v>1</v>
      </c>
      <c r="J218" s="10">
        <f t="shared" si="6"/>
        <v>1</v>
      </c>
      <c r="K218" s="9">
        <f t="shared" si="2"/>
        <v>0</v>
      </c>
      <c r="L218" s="11" t="s">
        <v>138</v>
      </c>
      <c r="M218" s="11" t="s">
        <v>505</v>
      </c>
      <c r="N218" s="12" t="str">
        <f t="shared" si="3"/>
        <v>Imaging|Thorlabs|TR3</v>
      </c>
      <c r="O218" s="12">
        <f t="shared" si="4"/>
        <v>1</v>
      </c>
      <c r="P218" s="12"/>
      <c r="Q218" s="12"/>
      <c r="R218" s="13"/>
      <c r="S218" s="13"/>
      <c r="T218" s="13"/>
      <c r="U218" s="11" t="s">
        <v>43</v>
      </c>
      <c r="V218" s="11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  <c r="AO218" s="14"/>
      <c r="AP218" s="14"/>
    </row>
    <row r="219" spans="1:42" ht="22.5" customHeight="1">
      <c r="A219" s="8"/>
      <c r="B219" s="9" t="s">
        <v>27</v>
      </c>
      <c r="C219" s="10">
        <v>4</v>
      </c>
      <c r="D219" s="10">
        <v>1</v>
      </c>
      <c r="E219" s="10">
        <v>0</v>
      </c>
      <c r="F219" s="10"/>
      <c r="G219" s="10">
        <f t="shared" si="0"/>
        <v>5</v>
      </c>
      <c r="H219" s="9"/>
      <c r="I219" s="10">
        <v>1</v>
      </c>
      <c r="J219" s="10">
        <f t="shared" si="6"/>
        <v>5</v>
      </c>
      <c r="K219" s="9">
        <f t="shared" si="2"/>
        <v>0</v>
      </c>
      <c r="L219" s="11" t="s">
        <v>138</v>
      </c>
      <c r="M219" s="11" t="s">
        <v>509</v>
      </c>
      <c r="N219" s="12" t="str">
        <f t="shared" si="3"/>
        <v>Imaging|Thorlabs|TR40/M</v>
      </c>
      <c r="O219" s="12">
        <f t="shared" si="4"/>
        <v>1</v>
      </c>
      <c r="P219" s="12"/>
      <c r="Q219" s="12"/>
      <c r="R219" s="13"/>
      <c r="S219" s="13"/>
      <c r="T219" s="13"/>
      <c r="U219" s="11" t="s">
        <v>43</v>
      </c>
      <c r="V219" s="11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4"/>
      <c r="AP219" s="14"/>
    </row>
    <row r="220" spans="1:42" ht="22.5" customHeight="1">
      <c r="A220" s="8"/>
      <c r="B220" s="9" t="s">
        <v>27</v>
      </c>
      <c r="C220" s="10">
        <v>6</v>
      </c>
      <c r="D220" s="10"/>
      <c r="E220" s="10">
        <v>0</v>
      </c>
      <c r="F220" s="10"/>
      <c r="G220" s="10">
        <f t="shared" si="0"/>
        <v>10</v>
      </c>
      <c r="H220" s="9"/>
      <c r="I220" s="10">
        <v>5</v>
      </c>
      <c r="J220" s="10">
        <f t="shared" si="6"/>
        <v>2</v>
      </c>
      <c r="K220" s="9">
        <f t="shared" si="2"/>
        <v>0</v>
      </c>
      <c r="L220" s="11" t="s">
        <v>138</v>
      </c>
      <c r="M220" s="11" t="s">
        <v>514</v>
      </c>
      <c r="N220" s="12" t="str">
        <f t="shared" si="3"/>
        <v>Imaging|Thorlabs|TR3M</v>
      </c>
      <c r="O220" s="12">
        <f t="shared" si="4"/>
        <v>1</v>
      </c>
      <c r="P220" s="12"/>
      <c r="Q220" s="12"/>
      <c r="R220" s="13"/>
      <c r="S220" s="13"/>
      <c r="T220" s="13"/>
      <c r="U220" s="11" t="s">
        <v>43</v>
      </c>
      <c r="V220" s="11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  <c r="AO220" s="14"/>
      <c r="AP220" s="14"/>
    </row>
    <row r="221" spans="1:42" ht="22.5" customHeight="1">
      <c r="A221" s="8"/>
      <c r="B221" s="9" t="s">
        <v>27</v>
      </c>
      <c r="C221" s="10">
        <v>1</v>
      </c>
      <c r="D221" s="10"/>
      <c r="E221" s="10">
        <v>1</v>
      </c>
      <c r="F221" s="10"/>
      <c r="G221" s="10">
        <f t="shared" si="0"/>
        <v>0</v>
      </c>
      <c r="H221" s="9"/>
      <c r="I221" s="10">
        <v>1</v>
      </c>
      <c r="J221" s="10">
        <f t="shared" si="6"/>
        <v>0</v>
      </c>
      <c r="K221" s="9">
        <f t="shared" si="2"/>
        <v>0</v>
      </c>
      <c r="L221" s="11" t="s">
        <v>138</v>
      </c>
      <c r="M221" s="11" t="s">
        <v>515</v>
      </c>
      <c r="N221" s="12" t="str">
        <f t="shared" si="3"/>
        <v>Imaging|Thorlabs|TTL200-A</v>
      </c>
      <c r="O221" s="12">
        <f t="shared" si="4"/>
        <v>1</v>
      </c>
      <c r="P221" s="12"/>
      <c r="Q221" s="12"/>
      <c r="R221" s="13" t="s">
        <v>138</v>
      </c>
      <c r="S221" s="13" t="s">
        <v>515</v>
      </c>
      <c r="T221" s="13" t="s">
        <v>516</v>
      </c>
      <c r="U221" s="18" t="s">
        <v>517</v>
      </c>
      <c r="V221" s="11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  <c r="AO221" s="14"/>
      <c r="AP221" s="14"/>
    </row>
    <row r="222" spans="1:42" ht="22.5" customHeight="1">
      <c r="A222" s="8"/>
      <c r="B222" s="9" t="s">
        <v>27</v>
      </c>
      <c r="C222" s="10">
        <v>1</v>
      </c>
      <c r="D222" s="10"/>
      <c r="E222" s="10">
        <v>1</v>
      </c>
      <c r="F222" s="10"/>
      <c r="G222" s="10">
        <f t="shared" si="0"/>
        <v>0</v>
      </c>
      <c r="H222" s="9"/>
      <c r="I222" s="10">
        <v>1</v>
      </c>
      <c r="J222" s="10">
        <f t="shared" si="6"/>
        <v>0</v>
      </c>
      <c r="K222" s="9">
        <f t="shared" si="2"/>
        <v>0</v>
      </c>
      <c r="L222" s="11" t="s">
        <v>138</v>
      </c>
      <c r="M222" s="11" t="s">
        <v>518</v>
      </c>
      <c r="N222" s="12" t="str">
        <f t="shared" si="3"/>
        <v>Imaging|Thorlabs|TTL200MP</v>
      </c>
      <c r="O222" s="12">
        <f t="shared" si="4"/>
        <v>1</v>
      </c>
      <c r="P222" s="12" t="s">
        <v>38</v>
      </c>
      <c r="Q222" s="12" t="s">
        <v>331</v>
      </c>
      <c r="R222" s="13" t="s">
        <v>138</v>
      </c>
      <c r="S222" s="13" t="s">
        <v>518</v>
      </c>
      <c r="T222" s="13" t="s">
        <v>519</v>
      </c>
      <c r="U222" s="16" t="s">
        <v>520</v>
      </c>
      <c r="V222" s="11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  <c r="AO222" s="14"/>
      <c r="AP222" s="14"/>
    </row>
    <row r="223" spans="1:42" ht="22.5" customHeight="1">
      <c r="A223" s="41"/>
      <c r="B223" s="42" t="s">
        <v>27</v>
      </c>
      <c r="C223" s="43">
        <v>1</v>
      </c>
      <c r="D223" s="44"/>
      <c r="E223" s="43">
        <v>0</v>
      </c>
      <c r="F223" s="44"/>
      <c r="G223" s="45">
        <f t="shared" si="0"/>
        <v>1</v>
      </c>
      <c r="H223" s="44"/>
      <c r="I223" s="43">
        <v>1</v>
      </c>
      <c r="J223" s="43">
        <f t="shared" si="6"/>
        <v>1</v>
      </c>
      <c r="K223" s="46">
        <f t="shared" si="2"/>
        <v>0</v>
      </c>
      <c r="L223" s="47" t="s">
        <v>138</v>
      </c>
      <c r="M223" s="47" t="s">
        <v>521</v>
      </c>
      <c r="N223" s="48" t="str">
        <f t="shared" si="3"/>
        <v>Imaging|Thorlabs|TTL200MP2</v>
      </c>
      <c r="O223" s="49">
        <f t="shared" si="4"/>
        <v>1</v>
      </c>
      <c r="P223" s="50" t="s">
        <v>38</v>
      </c>
      <c r="Q223" s="48" t="s">
        <v>331</v>
      </c>
      <c r="R223" s="51" t="s">
        <v>138</v>
      </c>
      <c r="S223" s="51" t="s">
        <v>518</v>
      </c>
      <c r="T223" s="51" t="s">
        <v>522</v>
      </c>
      <c r="U223" s="52" t="s">
        <v>520</v>
      </c>
      <c r="V223" s="41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14"/>
      <c r="AP223" s="14"/>
    </row>
    <row r="224" spans="1:42" ht="22.5" customHeight="1">
      <c r="A224" s="8"/>
      <c r="B224" s="9" t="s">
        <v>27</v>
      </c>
      <c r="C224" s="10">
        <v>1</v>
      </c>
      <c r="D224" s="10"/>
      <c r="E224" s="10">
        <v>1</v>
      </c>
      <c r="F224" s="10"/>
      <c r="G224" s="10">
        <f t="shared" si="0"/>
        <v>0</v>
      </c>
      <c r="H224" s="9"/>
      <c r="I224" s="10">
        <v>1</v>
      </c>
      <c r="J224" s="10">
        <f t="shared" si="6"/>
        <v>0</v>
      </c>
      <c r="K224" s="9">
        <f t="shared" si="2"/>
        <v>0</v>
      </c>
      <c r="L224" s="11" t="s">
        <v>138</v>
      </c>
      <c r="M224" s="11" t="s">
        <v>523</v>
      </c>
      <c r="N224" s="12" t="str">
        <f t="shared" si="3"/>
        <v>Imaging|Thorlabs|UBP2</v>
      </c>
      <c r="O224" s="12">
        <f t="shared" si="4"/>
        <v>1</v>
      </c>
      <c r="P224" s="12"/>
      <c r="Q224" s="12"/>
      <c r="R224" s="13"/>
      <c r="S224" s="13"/>
      <c r="T224" s="13"/>
      <c r="U224" s="11" t="s">
        <v>43</v>
      </c>
      <c r="V224" s="11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  <c r="AO224" s="14"/>
      <c r="AP224" s="14"/>
    </row>
    <row r="225" spans="1:42" ht="22.5" customHeight="1">
      <c r="A225" s="8"/>
      <c r="B225" s="9" t="s">
        <v>27</v>
      </c>
      <c r="C225" s="10">
        <v>4</v>
      </c>
      <c r="D225" s="10"/>
      <c r="E225" s="10">
        <v>0</v>
      </c>
      <c r="F225" s="10"/>
      <c r="G225" s="10">
        <f t="shared" si="0"/>
        <v>4</v>
      </c>
      <c r="H225" s="9"/>
      <c r="I225" s="10">
        <v>1</v>
      </c>
      <c r="J225" s="10">
        <f t="shared" si="6"/>
        <v>4</v>
      </c>
      <c r="K225" s="9">
        <f t="shared" si="2"/>
        <v>0</v>
      </c>
      <c r="L225" s="11" t="s">
        <v>138</v>
      </c>
      <c r="M225" s="11" t="s">
        <v>526</v>
      </c>
      <c r="N225" s="12" t="str">
        <f t="shared" si="3"/>
        <v>Imaging|Thorlabs|UPH1.5</v>
      </c>
      <c r="O225" s="12">
        <f t="shared" si="4"/>
        <v>1</v>
      </c>
      <c r="P225" s="12"/>
      <c r="Q225" s="12"/>
      <c r="R225" s="13"/>
      <c r="S225" s="13"/>
      <c r="T225" s="13"/>
      <c r="U225" s="11" t="s">
        <v>43</v>
      </c>
      <c r="V225" s="11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14"/>
      <c r="AP225" s="14"/>
    </row>
    <row r="226" spans="1:42" ht="22.5" customHeight="1">
      <c r="A226" s="8"/>
      <c r="B226" s="9" t="s">
        <v>27</v>
      </c>
      <c r="C226" s="10">
        <v>5</v>
      </c>
      <c r="D226" s="10">
        <v>0</v>
      </c>
      <c r="E226" s="10"/>
      <c r="F226" s="10"/>
      <c r="G226" s="10">
        <f t="shared" si="0"/>
        <v>100</v>
      </c>
      <c r="H226" s="9"/>
      <c r="I226" s="10">
        <v>100</v>
      </c>
      <c r="J226" s="10">
        <f t="shared" si="6"/>
        <v>1</v>
      </c>
      <c r="K226" s="9">
        <f t="shared" si="2"/>
        <v>0</v>
      </c>
      <c r="L226" s="9" t="s">
        <v>138</v>
      </c>
      <c r="M226" s="11" t="s">
        <v>555</v>
      </c>
      <c r="N226" s="12" t="str">
        <f t="shared" si="3"/>
        <v>Imaging|Thorlabs|SH25LP38</v>
      </c>
      <c r="O226" s="12">
        <f t="shared" si="4"/>
        <v>1</v>
      </c>
      <c r="P226" s="12"/>
      <c r="Q226" s="12"/>
      <c r="R226" s="13"/>
      <c r="S226" s="13"/>
      <c r="T226" s="13"/>
      <c r="U226" s="11"/>
      <c r="V226" s="11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  <c r="AO226" s="14"/>
      <c r="AP226" s="14"/>
    </row>
    <row r="227" spans="1:42" ht="22.5" customHeight="1">
      <c r="A227" s="8"/>
      <c r="B227" s="9" t="s">
        <v>27</v>
      </c>
      <c r="C227" s="10">
        <v>8</v>
      </c>
      <c r="D227" s="10"/>
      <c r="E227" s="10">
        <v>4</v>
      </c>
      <c r="F227" s="10"/>
      <c r="G227" s="10">
        <f t="shared" si="0"/>
        <v>50</v>
      </c>
      <c r="H227" s="9"/>
      <c r="I227" s="10">
        <v>50</v>
      </c>
      <c r="J227" s="10">
        <f t="shared" si="6"/>
        <v>1</v>
      </c>
      <c r="K227" s="9">
        <f t="shared" si="2"/>
        <v>0</v>
      </c>
      <c r="L227" s="9" t="s">
        <v>106</v>
      </c>
      <c r="M227" s="11" t="s">
        <v>557</v>
      </c>
      <c r="N227" s="12" t="str">
        <f t="shared" si="3"/>
        <v>Imaging|McMaster-Carr|98381A469</v>
      </c>
      <c r="O227" s="12">
        <f t="shared" si="4"/>
        <v>1</v>
      </c>
      <c r="P227" s="12"/>
      <c r="Q227" s="12"/>
      <c r="R227" s="13"/>
      <c r="S227" s="13"/>
      <c r="T227" s="12" t="s">
        <v>558</v>
      </c>
      <c r="U227" s="11"/>
      <c r="V227" s="11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4"/>
      <c r="AP227" s="14"/>
    </row>
    <row r="228" spans="1:42" ht="22.5" customHeight="1">
      <c r="A228" s="8"/>
      <c r="B228" s="9" t="s">
        <v>87</v>
      </c>
      <c r="C228" s="10"/>
      <c r="D228" s="10"/>
      <c r="E228" s="10"/>
      <c r="F228" s="10"/>
      <c r="G228" s="10">
        <f t="shared" si="0"/>
        <v>0</v>
      </c>
      <c r="H228" s="9"/>
      <c r="I228" s="10">
        <v>1</v>
      </c>
      <c r="J228" s="10">
        <f t="shared" si="6"/>
        <v>0</v>
      </c>
      <c r="K228" s="9">
        <f t="shared" si="2"/>
        <v>0</v>
      </c>
      <c r="L228" s="9" t="s">
        <v>74</v>
      </c>
      <c r="M228" s="9" t="s">
        <v>88</v>
      </c>
      <c r="N228" s="12" t="str">
        <f t="shared" si="3"/>
        <v>Inspection Scope|Edmund Optics|58-373</v>
      </c>
      <c r="O228" s="12">
        <f t="shared" si="4"/>
        <v>1</v>
      </c>
      <c r="P228" s="12"/>
      <c r="Q228" s="12"/>
      <c r="R228" s="13"/>
      <c r="S228" s="13"/>
      <c r="T228" s="12" t="s">
        <v>89</v>
      </c>
      <c r="U228" s="11" t="s">
        <v>90</v>
      </c>
      <c r="V228" s="11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 s="14"/>
      <c r="AP228" s="14"/>
    </row>
    <row r="229" spans="1:42" ht="22.5" customHeight="1">
      <c r="A229" s="8"/>
      <c r="B229" s="9" t="s">
        <v>83</v>
      </c>
      <c r="C229" s="10"/>
      <c r="D229" s="10"/>
      <c r="E229" s="10"/>
      <c r="F229" s="10"/>
      <c r="G229" s="10">
        <v>0</v>
      </c>
      <c r="H229" s="9"/>
      <c r="I229" s="10">
        <v>1</v>
      </c>
      <c r="J229" s="10">
        <f t="shared" si="6"/>
        <v>0</v>
      </c>
      <c r="K229" s="9">
        <f t="shared" si="2"/>
        <v>0</v>
      </c>
      <c r="L229" s="11" t="s">
        <v>74</v>
      </c>
      <c r="M229" s="11" t="s">
        <v>84</v>
      </c>
      <c r="N229" s="12" t="str">
        <f t="shared" si="3"/>
        <v>Obselete/None|Edmund Optics|49-272</v>
      </c>
      <c r="O229" s="12">
        <f t="shared" si="4"/>
        <v>1</v>
      </c>
      <c r="P229" s="12"/>
      <c r="Q229" s="12"/>
      <c r="R229" s="13"/>
      <c r="S229" s="13"/>
      <c r="T229" s="13" t="s">
        <v>85</v>
      </c>
      <c r="U229" s="15" t="s">
        <v>602</v>
      </c>
      <c r="V229" s="11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14"/>
      <c r="AP229" s="14"/>
    </row>
    <row r="230" spans="1:42" ht="22.5" customHeight="1">
      <c r="A230" s="8"/>
      <c r="B230" s="9" t="s">
        <v>83</v>
      </c>
      <c r="C230" s="10"/>
      <c r="D230" s="10"/>
      <c r="E230" s="10"/>
      <c r="F230" s="10"/>
      <c r="G230" s="10">
        <f t="shared" ref="G230:G305" si="7">CEILING(MAX(C230-E230+D230-F230, 0)/I230,1)*I230</f>
        <v>0</v>
      </c>
      <c r="H230" s="9"/>
      <c r="I230" s="10">
        <v>1</v>
      </c>
      <c r="J230" s="10">
        <f t="shared" si="6"/>
        <v>0</v>
      </c>
      <c r="K230" s="9">
        <f t="shared" si="2"/>
        <v>0</v>
      </c>
      <c r="L230" s="11" t="s">
        <v>138</v>
      </c>
      <c r="M230" s="11" t="s">
        <v>147</v>
      </c>
      <c r="N230" s="12" t="str">
        <f t="shared" si="3"/>
        <v>Obselete/None|Thorlabs|AC254-200-A-ML</v>
      </c>
      <c r="O230" s="12">
        <f t="shared" si="4"/>
        <v>1</v>
      </c>
      <c r="P230" s="12" t="s">
        <v>38</v>
      </c>
      <c r="Q230" s="12"/>
      <c r="R230" s="13" t="s">
        <v>138</v>
      </c>
      <c r="S230" s="13" t="s">
        <v>147</v>
      </c>
      <c r="T230" s="13"/>
      <c r="U230" s="11"/>
      <c r="V230" s="11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  <c r="AO230" s="14"/>
      <c r="AP230" s="14"/>
    </row>
    <row r="231" spans="1:42" ht="22.5" customHeight="1">
      <c r="A231" s="8"/>
      <c r="B231" s="9" t="s">
        <v>83</v>
      </c>
      <c r="C231" s="10"/>
      <c r="D231" s="10"/>
      <c r="E231" s="10"/>
      <c r="F231" s="10"/>
      <c r="G231" s="10">
        <f t="shared" si="7"/>
        <v>0</v>
      </c>
      <c r="H231" s="9"/>
      <c r="I231" s="10">
        <v>1</v>
      </c>
      <c r="J231" s="10">
        <f t="shared" si="6"/>
        <v>0</v>
      </c>
      <c r="K231" s="9">
        <f t="shared" si="2"/>
        <v>0</v>
      </c>
      <c r="L231" s="11" t="s">
        <v>138</v>
      </c>
      <c r="M231" s="11" t="s">
        <v>148</v>
      </c>
      <c r="N231" s="12" t="str">
        <f t="shared" si="3"/>
        <v>Obselete/None|Thorlabs|ACL2520U-A</v>
      </c>
      <c r="O231" s="12">
        <f t="shared" si="4"/>
        <v>1</v>
      </c>
      <c r="P231" s="12"/>
      <c r="Q231" s="12"/>
      <c r="R231" s="13" t="s">
        <v>138</v>
      </c>
      <c r="S231" s="11" t="s">
        <v>148</v>
      </c>
      <c r="T231" s="13" t="s">
        <v>149</v>
      </c>
      <c r="U231" s="16" t="s">
        <v>150</v>
      </c>
      <c r="V231" s="11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14"/>
      <c r="AP231" s="14"/>
    </row>
    <row r="232" spans="1:42" ht="22.5" customHeight="1">
      <c r="A232" s="8"/>
      <c r="B232" s="9" t="s">
        <v>83</v>
      </c>
      <c r="C232" s="10"/>
      <c r="D232" s="10"/>
      <c r="E232" s="10"/>
      <c r="F232" s="10"/>
      <c r="G232" s="10">
        <f t="shared" si="7"/>
        <v>0</v>
      </c>
      <c r="H232" s="9"/>
      <c r="I232" s="10">
        <v>1</v>
      </c>
      <c r="J232" s="10">
        <f t="shared" si="6"/>
        <v>0</v>
      </c>
      <c r="K232" s="9">
        <f t="shared" si="2"/>
        <v>0</v>
      </c>
      <c r="L232" s="11" t="s">
        <v>138</v>
      </c>
      <c r="M232" s="11" t="s">
        <v>161</v>
      </c>
      <c r="N232" s="12" t="str">
        <f t="shared" si="3"/>
        <v>Obselete/None|Thorlabs|B3036FX</v>
      </c>
      <c r="O232" s="12">
        <f t="shared" si="4"/>
        <v>1</v>
      </c>
      <c r="P232" s="12" t="s">
        <v>38</v>
      </c>
      <c r="Q232" s="12"/>
      <c r="R232" s="13" t="s">
        <v>138</v>
      </c>
      <c r="S232" s="13" t="s">
        <v>161</v>
      </c>
      <c r="T232" s="13"/>
      <c r="U232" s="11"/>
      <c r="V232" s="11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  <c r="AO232" s="14"/>
      <c r="AP232" s="14"/>
    </row>
    <row r="233" spans="1:42" ht="22.5" customHeight="1">
      <c r="A233" s="8"/>
      <c r="B233" s="9" t="s">
        <v>83</v>
      </c>
      <c r="C233" s="10"/>
      <c r="D233" s="10"/>
      <c r="E233" s="10"/>
      <c r="F233" s="10"/>
      <c r="G233" s="10">
        <f t="shared" si="7"/>
        <v>0</v>
      </c>
      <c r="H233" s="9"/>
      <c r="I233" s="10">
        <v>1</v>
      </c>
      <c r="J233" s="10">
        <f t="shared" si="6"/>
        <v>0</v>
      </c>
      <c r="K233" s="9">
        <f t="shared" si="2"/>
        <v>0</v>
      </c>
      <c r="L233" s="11" t="s">
        <v>138</v>
      </c>
      <c r="M233" s="11" t="s">
        <v>162</v>
      </c>
      <c r="N233" s="12" t="str">
        <f t="shared" si="3"/>
        <v>Obselete/None|Thorlabs|B3648G</v>
      </c>
      <c r="O233" s="12">
        <f t="shared" si="4"/>
        <v>1</v>
      </c>
      <c r="P233" s="12" t="s">
        <v>38</v>
      </c>
      <c r="Q233" s="12"/>
      <c r="R233" s="13" t="s">
        <v>138</v>
      </c>
      <c r="S233" s="13" t="s">
        <v>162</v>
      </c>
      <c r="T233" s="13"/>
      <c r="U233" s="11"/>
      <c r="V233" s="11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  <c r="AO233" s="14"/>
      <c r="AP233" s="14"/>
    </row>
    <row r="234" spans="1:42" ht="22.5" customHeight="1">
      <c r="A234" s="8"/>
      <c r="B234" s="9" t="s">
        <v>83</v>
      </c>
      <c r="C234" s="10"/>
      <c r="D234" s="10"/>
      <c r="E234" s="10">
        <v>0</v>
      </c>
      <c r="F234" s="10"/>
      <c r="G234" s="10">
        <f t="shared" si="7"/>
        <v>0</v>
      </c>
      <c r="H234" s="9"/>
      <c r="I234" s="10">
        <v>1</v>
      </c>
      <c r="J234" s="10">
        <f t="shared" si="6"/>
        <v>0</v>
      </c>
      <c r="K234" s="9">
        <f t="shared" si="2"/>
        <v>0</v>
      </c>
      <c r="L234" s="11" t="s">
        <v>138</v>
      </c>
      <c r="M234" s="11" t="s">
        <v>175</v>
      </c>
      <c r="N234" s="12" t="str">
        <f t="shared" si="3"/>
        <v>Obselete/None|Thorlabs|BA4</v>
      </c>
      <c r="O234" s="12">
        <f t="shared" si="4"/>
        <v>1</v>
      </c>
      <c r="P234" s="12" t="s">
        <v>38</v>
      </c>
      <c r="Q234" s="12"/>
      <c r="R234" s="13" t="s">
        <v>138</v>
      </c>
      <c r="S234" s="13" t="s">
        <v>175</v>
      </c>
      <c r="T234" s="13"/>
      <c r="U234" s="11"/>
      <c r="V234" s="11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  <c r="AO234" s="14"/>
      <c r="AP234" s="14"/>
    </row>
    <row r="235" spans="1:42" ht="22.5" customHeight="1">
      <c r="A235" s="8"/>
      <c r="B235" s="9" t="s">
        <v>83</v>
      </c>
      <c r="C235" s="10"/>
      <c r="D235" s="10"/>
      <c r="E235" s="10"/>
      <c r="F235" s="10"/>
      <c r="G235" s="10">
        <f t="shared" si="7"/>
        <v>0</v>
      </c>
      <c r="H235" s="9"/>
      <c r="I235" s="10">
        <v>1</v>
      </c>
      <c r="J235" s="10">
        <f t="shared" si="6"/>
        <v>0</v>
      </c>
      <c r="K235" s="9">
        <f t="shared" si="2"/>
        <v>0</v>
      </c>
      <c r="L235" s="11" t="s">
        <v>138</v>
      </c>
      <c r="M235" s="11" t="s">
        <v>183</v>
      </c>
      <c r="N235" s="12" t="str">
        <f t="shared" si="3"/>
        <v>Obselete/None|Thorlabs|C1519</v>
      </c>
      <c r="O235" s="12">
        <f t="shared" si="4"/>
        <v>1</v>
      </c>
      <c r="P235" s="12" t="s">
        <v>38</v>
      </c>
      <c r="Q235" s="12"/>
      <c r="R235" s="13" t="s">
        <v>138</v>
      </c>
      <c r="S235" s="13" t="s">
        <v>183</v>
      </c>
      <c r="T235" s="13"/>
      <c r="U235" s="11"/>
      <c r="V235" s="11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4"/>
      <c r="AP235" s="14"/>
    </row>
    <row r="236" spans="1:42" ht="22.5" customHeight="1">
      <c r="A236" s="8"/>
      <c r="B236" s="9" t="s">
        <v>83</v>
      </c>
      <c r="C236" s="10">
        <v>0</v>
      </c>
      <c r="D236" s="10"/>
      <c r="E236" s="10">
        <v>0</v>
      </c>
      <c r="F236" s="10"/>
      <c r="G236" s="10">
        <f t="shared" si="7"/>
        <v>0</v>
      </c>
      <c r="H236" s="9"/>
      <c r="I236" s="10">
        <v>1</v>
      </c>
      <c r="J236" s="10">
        <f t="shared" si="6"/>
        <v>0</v>
      </c>
      <c r="K236" s="9">
        <f t="shared" si="2"/>
        <v>0</v>
      </c>
      <c r="L236" s="11" t="s">
        <v>138</v>
      </c>
      <c r="M236" s="11" t="s">
        <v>236</v>
      </c>
      <c r="N236" s="12" t="str">
        <f t="shared" si="3"/>
        <v>Obselete/None|Thorlabs|ER18</v>
      </c>
      <c r="O236" s="12">
        <f t="shared" si="4"/>
        <v>1</v>
      </c>
      <c r="P236" s="12"/>
      <c r="Q236" s="12"/>
      <c r="R236" s="13"/>
      <c r="S236" s="13"/>
      <c r="T236" s="13"/>
      <c r="U236" s="11" t="s">
        <v>43</v>
      </c>
      <c r="V236" s="11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  <c r="AO236" s="14"/>
      <c r="AP236" s="14"/>
    </row>
    <row r="237" spans="1:42" ht="22.5" customHeight="1">
      <c r="A237" s="8"/>
      <c r="B237" s="9" t="s">
        <v>83</v>
      </c>
      <c r="C237" s="10">
        <v>0</v>
      </c>
      <c r="D237" s="10"/>
      <c r="E237" s="10"/>
      <c r="F237" s="10"/>
      <c r="G237" s="10">
        <f t="shared" si="7"/>
        <v>0</v>
      </c>
      <c r="H237" s="9"/>
      <c r="I237" s="10">
        <v>1</v>
      </c>
      <c r="J237" s="10">
        <f t="shared" si="6"/>
        <v>0</v>
      </c>
      <c r="K237" s="9">
        <f t="shared" si="2"/>
        <v>0</v>
      </c>
      <c r="L237" s="11" t="s">
        <v>138</v>
      </c>
      <c r="M237" s="11" t="s">
        <v>349</v>
      </c>
      <c r="N237" s="12" t="str">
        <f t="shared" si="3"/>
        <v>Obselete/None|Thorlabs|P1-460AR-2</v>
      </c>
      <c r="O237" s="12">
        <f t="shared" si="4"/>
        <v>1</v>
      </c>
      <c r="P237" s="12" t="s">
        <v>38</v>
      </c>
      <c r="Q237" s="12"/>
      <c r="R237" s="13" t="s">
        <v>138</v>
      </c>
      <c r="S237" s="13" t="s">
        <v>349</v>
      </c>
      <c r="T237" s="13" t="s">
        <v>350</v>
      </c>
      <c r="U237" s="11" t="s">
        <v>26</v>
      </c>
      <c r="V237" s="11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  <c r="AO237" s="14"/>
      <c r="AP237" s="14"/>
    </row>
    <row r="238" spans="1:42" ht="22.5" customHeight="1">
      <c r="A238" s="8"/>
      <c r="B238" s="9" t="s">
        <v>83</v>
      </c>
      <c r="C238" s="10">
        <v>0</v>
      </c>
      <c r="D238" s="10"/>
      <c r="E238" s="10">
        <v>0</v>
      </c>
      <c r="F238" s="10"/>
      <c r="G238" s="10">
        <f t="shared" si="7"/>
        <v>0</v>
      </c>
      <c r="H238" s="9"/>
      <c r="I238" s="10">
        <v>1</v>
      </c>
      <c r="J238" s="10">
        <f t="shared" si="6"/>
        <v>0</v>
      </c>
      <c r="K238" s="9">
        <f t="shared" si="2"/>
        <v>0</v>
      </c>
      <c r="L238" s="11" t="s">
        <v>138</v>
      </c>
      <c r="M238" s="11" t="s">
        <v>398</v>
      </c>
      <c r="N238" s="12" t="str">
        <f t="shared" si="3"/>
        <v>Obselete/None|Thorlabs|PT101</v>
      </c>
      <c r="O238" s="12">
        <f t="shared" si="4"/>
        <v>1</v>
      </c>
      <c r="P238" s="12"/>
      <c r="Q238" s="12"/>
      <c r="R238" s="13" t="s">
        <v>138</v>
      </c>
      <c r="S238" s="13" t="s">
        <v>398</v>
      </c>
      <c r="T238" s="13" t="s">
        <v>399</v>
      </c>
      <c r="U238" s="15" t="s">
        <v>603</v>
      </c>
      <c r="V238" s="11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  <c r="AO238" s="14"/>
      <c r="AP238" s="14"/>
    </row>
    <row r="239" spans="1:42" ht="22.5" customHeight="1">
      <c r="A239" s="8"/>
      <c r="B239" s="9" t="s">
        <v>83</v>
      </c>
      <c r="C239" s="10">
        <v>0</v>
      </c>
      <c r="D239" s="10">
        <v>0</v>
      </c>
      <c r="E239" s="10"/>
      <c r="F239" s="10"/>
      <c r="G239" s="10">
        <f t="shared" si="7"/>
        <v>0</v>
      </c>
      <c r="H239" s="9"/>
      <c r="I239" s="10">
        <v>1</v>
      </c>
      <c r="J239" s="10">
        <f t="shared" si="6"/>
        <v>0</v>
      </c>
      <c r="K239" s="9">
        <f t="shared" si="2"/>
        <v>0</v>
      </c>
      <c r="L239" s="9" t="s">
        <v>138</v>
      </c>
      <c r="M239" s="11" t="s">
        <v>549</v>
      </c>
      <c r="N239" s="12" t="str">
        <f t="shared" si="3"/>
        <v>Obselete/None|Thorlabs|SPW801</v>
      </c>
      <c r="O239" s="12">
        <f t="shared" si="4"/>
        <v>1</v>
      </c>
      <c r="P239" s="12"/>
      <c r="Q239" s="12"/>
      <c r="R239" s="13"/>
      <c r="S239" s="13"/>
      <c r="T239" s="13"/>
      <c r="U239" s="11"/>
      <c r="V239" s="11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14"/>
      <c r="AP239" s="14"/>
    </row>
    <row r="240" spans="1:42" ht="22.5" customHeight="1">
      <c r="A240" s="8"/>
      <c r="B240" s="9" t="s">
        <v>22</v>
      </c>
      <c r="C240" s="10">
        <v>4</v>
      </c>
      <c r="D240" s="10"/>
      <c r="E240" s="10">
        <v>4</v>
      </c>
      <c r="F240" s="10"/>
      <c r="G240" s="10">
        <f t="shared" si="7"/>
        <v>0</v>
      </c>
      <c r="H240" s="9"/>
      <c r="I240" s="10">
        <v>1</v>
      </c>
      <c r="J240" s="10">
        <f t="shared" si="6"/>
        <v>0</v>
      </c>
      <c r="K240" s="9">
        <f t="shared" si="2"/>
        <v>0</v>
      </c>
      <c r="L240" s="11" t="s">
        <v>23</v>
      </c>
      <c r="M240" s="11" t="s">
        <v>24</v>
      </c>
      <c r="N240" s="12" t="str">
        <f t="shared" si="3"/>
        <v>Sample Hold|(unknown)|22x22 No2 Coverglass</v>
      </c>
      <c r="O240" s="12">
        <f t="shared" si="4"/>
        <v>1</v>
      </c>
      <c r="P240" s="12"/>
      <c r="Q240" s="12"/>
      <c r="R240" s="13"/>
      <c r="S240" s="13"/>
      <c r="T240" s="13" t="s">
        <v>25</v>
      </c>
      <c r="U240" s="11" t="s">
        <v>26</v>
      </c>
      <c r="V240" s="11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  <c r="AO240" s="14"/>
      <c r="AP240" s="14"/>
    </row>
    <row r="241" spans="1:42" ht="22.5" customHeight="1">
      <c r="A241" s="8"/>
      <c r="B241" s="9" t="s">
        <v>22</v>
      </c>
      <c r="C241" s="10">
        <v>1</v>
      </c>
      <c r="D241" s="10"/>
      <c r="E241" s="10">
        <v>1</v>
      </c>
      <c r="F241" s="10"/>
      <c r="G241" s="10">
        <f t="shared" si="7"/>
        <v>0</v>
      </c>
      <c r="H241" s="9"/>
      <c r="I241" s="10">
        <v>1</v>
      </c>
      <c r="J241" s="10">
        <f t="shared" si="6"/>
        <v>0</v>
      </c>
      <c r="K241" s="9">
        <f t="shared" si="2"/>
        <v>0</v>
      </c>
      <c r="L241" s="11" t="s">
        <v>32</v>
      </c>
      <c r="M241" s="11" t="s">
        <v>35</v>
      </c>
      <c r="N241" s="12" t="str">
        <f t="shared" si="3"/>
        <v>Sample Hold|CUSTOM|3DP-fish-holder-base</v>
      </c>
      <c r="O241" s="12">
        <f t="shared" si="4"/>
        <v>1</v>
      </c>
      <c r="P241" s="12"/>
      <c r="Q241" s="12"/>
      <c r="R241" s="13"/>
      <c r="S241" s="13"/>
      <c r="T241" s="13" t="s">
        <v>36</v>
      </c>
      <c r="U241" s="11" t="s">
        <v>26</v>
      </c>
      <c r="V241" s="11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14"/>
      <c r="AP241" s="14"/>
    </row>
    <row r="242" spans="1:42" ht="22.5" customHeight="1">
      <c r="A242" s="8"/>
      <c r="B242" s="9" t="s">
        <v>22</v>
      </c>
      <c r="C242" s="10">
        <v>1</v>
      </c>
      <c r="D242" s="10"/>
      <c r="E242" s="10">
        <v>1</v>
      </c>
      <c r="F242" s="10"/>
      <c r="G242" s="10">
        <f t="shared" si="7"/>
        <v>0</v>
      </c>
      <c r="H242" s="9"/>
      <c r="I242" s="10">
        <v>1</v>
      </c>
      <c r="J242" s="10">
        <f t="shared" si="6"/>
        <v>0</v>
      </c>
      <c r="K242" s="9">
        <f t="shared" si="2"/>
        <v>0</v>
      </c>
      <c r="L242" s="11" t="s">
        <v>32</v>
      </c>
      <c r="M242" s="11" t="s">
        <v>37</v>
      </c>
      <c r="N242" s="12" t="str">
        <f t="shared" si="3"/>
        <v>Sample Hold|CUSTOM|CNC-fish-holder-bracket</v>
      </c>
      <c r="O242" s="12">
        <f t="shared" si="4"/>
        <v>1</v>
      </c>
      <c r="P242" s="12" t="s">
        <v>38</v>
      </c>
      <c r="Q242" s="12"/>
      <c r="R242" s="13"/>
      <c r="S242" s="13"/>
      <c r="T242" s="13" t="s">
        <v>39</v>
      </c>
      <c r="U242" s="11" t="s">
        <v>26</v>
      </c>
      <c r="V242" s="11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  <c r="AO242" s="14"/>
      <c r="AP242" s="14"/>
    </row>
    <row r="243" spans="1:42" ht="22.5" customHeight="1">
      <c r="A243" s="8"/>
      <c r="B243" s="9" t="s">
        <v>22</v>
      </c>
      <c r="C243" s="10">
        <v>1</v>
      </c>
      <c r="D243" s="10"/>
      <c r="E243" s="10">
        <v>1</v>
      </c>
      <c r="F243" s="10"/>
      <c r="G243" s="10">
        <f t="shared" si="7"/>
        <v>0</v>
      </c>
      <c r="H243" s="9"/>
      <c r="I243" s="10">
        <v>1</v>
      </c>
      <c r="J243" s="10">
        <f t="shared" si="6"/>
        <v>0</v>
      </c>
      <c r="K243" s="9">
        <f t="shared" si="2"/>
        <v>0</v>
      </c>
      <c r="L243" s="11" t="s">
        <v>32</v>
      </c>
      <c r="M243" s="11" t="s">
        <v>71</v>
      </c>
      <c r="N243" s="12" t="str">
        <f t="shared" si="3"/>
        <v>Sample Hold|CUSTOM|Zebrafish sample chamber</v>
      </c>
      <c r="O243" s="12">
        <f t="shared" si="4"/>
        <v>1</v>
      </c>
      <c r="P243" s="12"/>
      <c r="Q243" s="12"/>
      <c r="R243" s="13"/>
      <c r="S243" s="13"/>
      <c r="T243" s="13" t="s">
        <v>72</v>
      </c>
      <c r="U243" s="11" t="s">
        <v>46</v>
      </c>
      <c r="V243" s="11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4"/>
      <c r="AP243" s="14"/>
    </row>
    <row r="244" spans="1:42" ht="22.5" customHeight="1">
      <c r="A244" s="8"/>
      <c r="B244" s="9" t="s">
        <v>22</v>
      </c>
      <c r="C244" s="10">
        <v>1</v>
      </c>
      <c r="D244" s="10"/>
      <c r="E244" s="10">
        <v>1</v>
      </c>
      <c r="F244" s="10"/>
      <c r="G244" s="10">
        <f t="shared" si="7"/>
        <v>0</v>
      </c>
      <c r="H244" s="9"/>
      <c r="I244" s="10">
        <v>1</v>
      </c>
      <c r="J244" s="10">
        <f t="shared" si="6"/>
        <v>0</v>
      </c>
      <c r="K244" s="9">
        <f t="shared" si="2"/>
        <v>0</v>
      </c>
      <c r="L244" s="11" t="s">
        <v>138</v>
      </c>
      <c r="M244" s="11" t="s">
        <v>166</v>
      </c>
      <c r="N244" s="12" t="str">
        <f t="shared" si="3"/>
        <v>Sample Hold|Thorlabs|BA1L</v>
      </c>
      <c r="O244" s="12">
        <f t="shared" si="4"/>
        <v>1</v>
      </c>
      <c r="P244" s="12" t="s">
        <v>38</v>
      </c>
      <c r="Q244" s="12"/>
      <c r="R244" s="13" t="s">
        <v>138</v>
      </c>
      <c r="S244" s="13" t="s">
        <v>166</v>
      </c>
      <c r="T244" s="13" t="s">
        <v>167</v>
      </c>
      <c r="U244" s="11" t="s">
        <v>26</v>
      </c>
      <c r="V244" s="11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  <c r="AO244" s="14"/>
      <c r="AP244" s="14"/>
    </row>
    <row r="245" spans="1:42" ht="22.5" customHeight="1">
      <c r="A245" s="8"/>
      <c r="B245" s="9" t="s">
        <v>22</v>
      </c>
      <c r="C245" s="10">
        <v>2</v>
      </c>
      <c r="D245" s="10"/>
      <c r="E245" s="10">
        <v>2</v>
      </c>
      <c r="F245" s="10"/>
      <c r="G245" s="10">
        <f t="shared" si="7"/>
        <v>0</v>
      </c>
      <c r="H245" s="9"/>
      <c r="I245" s="10">
        <v>1</v>
      </c>
      <c r="J245" s="10">
        <f t="shared" si="6"/>
        <v>0</v>
      </c>
      <c r="K245" s="9">
        <f t="shared" si="2"/>
        <v>0</v>
      </c>
      <c r="L245" s="11" t="s">
        <v>138</v>
      </c>
      <c r="M245" s="11" t="s">
        <v>168</v>
      </c>
      <c r="N245" s="12" t="str">
        <f t="shared" si="3"/>
        <v>Sample Hold|Thorlabs|BA1S</v>
      </c>
      <c r="O245" s="12">
        <f t="shared" si="4"/>
        <v>1</v>
      </c>
      <c r="P245" s="12" t="s">
        <v>38</v>
      </c>
      <c r="Q245" s="12"/>
      <c r="R245" s="13" t="s">
        <v>138</v>
      </c>
      <c r="S245" s="13" t="s">
        <v>168</v>
      </c>
      <c r="T245" s="13" t="s">
        <v>169</v>
      </c>
      <c r="U245" s="11" t="s">
        <v>26</v>
      </c>
      <c r="V245" s="11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  <c r="AO245" s="14"/>
      <c r="AP245" s="14"/>
    </row>
    <row r="246" spans="1:42" ht="22.5" customHeight="1">
      <c r="A246" s="8"/>
      <c r="B246" s="9" t="s">
        <v>22</v>
      </c>
      <c r="C246" s="10">
        <v>1</v>
      </c>
      <c r="D246" s="10"/>
      <c r="E246" s="10">
        <v>2</v>
      </c>
      <c r="F246" s="10"/>
      <c r="G246" s="10">
        <f t="shared" si="7"/>
        <v>0</v>
      </c>
      <c r="H246" s="9"/>
      <c r="I246" s="10">
        <v>1</v>
      </c>
      <c r="J246" s="10">
        <f t="shared" si="6"/>
        <v>0</v>
      </c>
      <c r="K246" s="9">
        <f t="shared" si="2"/>
        <v>0</v>
      </c>
      <c r="L246" s="11" t="s">
        <v>138</v>
      </c>
      <c r="M246" s="11" t="s">
        <v>332</v>
      </c>
      <c r="N246" s="12" t="str">
        <f t="shared" si="3"/>
        <v>Sample Hold|Thorlabs|MB4</v>
      </c>
      <c r="O246" s="12">
        <f t="shared" si="4"/>
        <v>1</v>
      </c>
      <c r="P246" s="12" t="s">
        <v>38</v>
      </c>
      <c r="Q246" s="12"/>
      <c r="R246" s="13" t="s">
        <v>138</v>
      </c>
      <c r="S246" s="13" t="s">
        <v>332</v>
      </c>
      <c r="T246" s="13" t="s">
        <v>333</v>
      </c>
      <c r="U246" s="11" t="s">
        <v>26</v>
      </c>
      <c r="V246" s="11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  <c r="AO246" s="14"/>
      <c r="AP246" s="14"/>
    </row>
    <row r="247" spans="1:42" ht="22.5" customHeight="1">
      <c r="A247" s="8"/>
      <c r="B247" s="9" t="s">
        <v>22</v>
      </c>
      <c r="C247" s="10">
        <v>1</v>
      </c>
      <c r="D247" s="10"/>
      <c r="E247" s="10">
        <v>1</v>
      </c>
      <c r="F247" s="10"/>
      <c r="G247" s="10">
        <f t="shared" si="7"/>
        <v>0</v>
      </c>
      <c r="H247" s="9"/>
      <c r="I247" s="10">
        <v>1</v>
      </c>
      <c r="J247" s="10">
        <f t="shared" si="6"/>
        <v>0</v>
      </c>
      <c r="K247" s="9">
        <f t="shared" si="2"/>
        <v>0</v>
      </c>
      <c r="L247" s="11" t="s">
        <v>138</v>
      </c>
      <c r="M247" s="11" t="s">
        <v>344</v>
      </c>
      <c r="N247" s="12" t="str">
        <f t="shared" si="3"/>
        <v>Sample Hold|Thorlabs|MT1</v>
      </c>
      <c r="O247" s="12">
        <f t="shared" si="4"/>
        <v>1</v>
      </c>
      <c r="P247" s="12" t="s">
        <v>38</v>
      </c>
      <c r="Q247" s="12"/>
      <c r="R247" s="13" t="s">
        <v>138</v>
      </c>
      <c r="S247" s="13" t="s">
        <v>344</v>
      </c>
      <c r="T247" s="13" t="s">
        <v>345</v>
      </c>
      <c r="U247" s="15" t="s">
        <v>604</v>
      </c>
      <c r="V247" s="11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  <c r="AO247" s="14"/>
      <c r="AP247" s="14"/>
    </row>
    <row r="248" spans="1:42" ht="22.5" customHeight="1">
      <c r="A248" s="8"/>
      <c r="B248" s="9" t="s">
        <v>22</v>
      </c>
      <c r="C248" s="10">
        <v>3</v>
      </c>
      <c r="D248" s="10"/>
      <c r="E248" s="10">
        <v>3</v>
      </c>
      <c r="F248" s="10"/>
      <c r="G248" s="10">
        <f t="shared" si="7"/>
        <v>0</v>
      </c>
      <c r="H248" s="9"/>
      <c r="I248" s="10">
        <v>1</v>
      </c>
      <c r="J248" s="10">
        <f t="shared" si="6"/>
        <v>0</v>
      </c>
      <c r="K248" s="9">
        <f t="shared" si="2"/>
        <v>0</v>
      </c>
      <c r="L248" s="11" t="s">
        <v>138</v>
      </c>
      <c r="M248" s="11" t="s">
        <v>387</v>
      </c>
      <c r="N248" s="12" t="str">
        <f t="shared" si="3"/>
        <v>Sample Hold|Thorlabs|PH4</v>
      </c>
      <c r="O248" s="12">
        <f t="shared" si="4"/>
        <v>1</v>
      </c>
      <c r="P248" s="12" t="s">
        <v>38</v>
      </c>
      <c r="Q248" s="12"/>
      <c r="R248" s="13" t="s">
        <v>138</v>
      </c>
      <c r="S248" s="13" t="s">
        <v>387</v>
      </c>
      <c r="T248" s="13" t="s">
        <v>388</v>
      </c>
      <c r="U248" s="11" t="s">
        <v>26</v>
      </c>
      <c r="V248" s="11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  <c r="AO248" s="14"/>
      <c r="AP248" s="14"/>
    </row>
    <row r="249" spans="1:42" ht="22.5" customHeight="1">
      <c r="A249" s="8"/>
      <c r="B249" s="9" t="s">
        <v>22</v>
      </c>
      <c r="C249" s="10">
        <v>0</v>
      </c>
      <c r="D249" s="10"/>
      <c r="E249" s="10">
        <v>0</v>
      </c>
      <c r="F249" s="10"/>
      <c r="G249" s="10">
        <f t="shared" si="7"/>
        <v>0</v>
      </c>
      <c r="H249" s="9"/>
      <c r="I249" s="10">
        <v>1</v>
      </c>
      <c r="J249" s="10">
        <f t="shared" si="6"/>
        <v>0</v>
      </c>
      <c r="K249" s="9">
        <f t="shared" si="2"/>
        <v>0</v>
      </c>
      <c r="L249" s="11" t="s">
        <v>138</v>
      </c>
      <c r="M249" s="11" t="s">
        <v>401</v>
      </c>
      <c r="N249" s="12" t="str">
        <f t="shared" si="3"/>
        <v>Sample Hold|Thorlabs|PT102</v>
      </c>
      <c r="O249" s="12">
        <f t="shared" si="4"/>
        <v>1</v>
      </c>
      <c r="P249" s="12" t="s">
        <v>38</v>
      </c>
      <c r="Q249" s="12"/>
      <c r="R249" s="13" t="s">
        <v>138</v>
      </c>
      <c r="S249" s="13" t="s">
        <v>401</v>
      </c>
      <c r="T249" s="13" t="s">
        <v>402</v>
      </c>
      <c r="U249" s="15" t="s">
        <v>605</v>
      </c>
      <c r="V249" s="11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14"/>
      <c r="AP249" s="14"/>
    </row>
    <row r="250" spans="1:42" ht="22.5" customHeight="1">
      <c r="A250" s="8"/>
      <c r="B250" s="9" t="s">
        <v>22</v>
      </c>
      <c r="C250" s="10">
        <v>3</v>
      </c>
      <c r="D250" s="10"/>
      <c r="E250" s="10">
        <v>3</v>
      </c>
      <c r="F250" s="10"/>
      <c r="G250" s="10">
        <f t="shared" si="7"/>
        <v>0</v>
      </c>
      <c r="H250" s="9"/>
      <c r="I250" s="10">
        <v>1</v>
      </c>
      <c r="J250" s="10">
        <f t="shared" si="6"/>
        <v>0</v>
      </c>
      <c r="K250" s="9">
        <f t="shared" si="2"/>
        <v>0</v>
      </c>
      <c r="L250" s="11" t="s">
        <v>138</v>
      </c>
      <c r="M250" s="11" t="s">
        <v>420</v>
      </c>
      <c r="N250" s="12" t="str">
        <f t="shared" si="3"/>
        <v>Sample Hold|Thorlabs|RS1.5</v>
      </c>
      <c r="O250" s="12">
        <f t="shared" si="4"/>
        <v>1</v>
      </c>
      <c r="P250" s="12" t="s">
        <v>38</v>
      </c>
      <c r="Q250" s="12"/>
      <c r="R250" s="13" t="s">
        <v>138</v>
      </c>
      <c r="S250" s="13" t="s">
        <v>420</v>
      </c>
      <c r="T250" s="13" t="s">
        <v>421</v>
      </c>
      <c r="U250" s="11" t="s">
        <v>26</v>
      </c>
      <c r="V250" s="11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  <c r="AO250" s="14"/>
      <c r="AP250" s="14"/>
    </row>
    <row r="251" spans="1:42" ht="22.5" customHeight="1">
      <c r="A251" s="8"/>
      <c r="B251" s="9" t="s">
        <v>22</v>
      </c>
      <c r="C251" s="10">
        <v>3</v>
      </c>
      <c r="D251" s="10"/>
      <c r="E251" s="10">
        <v>3</v>
      </c>
      <c r="F251" s="10"/>
      <c r="G251" s="10">
        <f t="shared" si="7"/>
        <v>0</v>
      </c>
      <c r="H251" s="9"/>
      <c r="I251" s="10">
        <v>1</v>
      </c>
      <c r="J251" s="10">
        <f t="shared" si="6"/>
        <v>0</v>
      </c>
      <c r="K251" s="9">
        <f t="shared" si="2"/>
        <v>0</v>
      </c>
      <c r="L251" s="11" t="s">
        <v>138</v>
      </c>
      <c r="M251" s="11" t="s">
        <v>507</v>
      </c>
      <c r="N251" s="12" t="str">
        <f t="shared" si="3"/>
        <v>Sample Hold|Thorlabs|TR4</v>
      </c>
      <c r="O251" s="12">
        <f t="shared" si="4"/>
        <v>1</v>
      </c>
      <c r="P251" s="12" t="s">
        <v>38</v>
      </c>
      <c r="Q251" s="12"/>
      <c r="R251" s="13" t="s">
        <v>138</v>
      </c>
      <c r="S251" s="13" t="s">
        <v>507</v>
      </c>
      <c r="T251" s="13" t="s">
        <v>508</v>
      </c>
      <c r="U251" s="11" t="s">
        <v>26</v>
      </c>
      <c r="V251" s="11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  <c r="AO251" s="14"/>
      <c r="AP251" s="14"/>
    </row>
    <row r="252" spans="1:42" ht="22.5" customHeight="1">
      <c r="A252" s="8"/>
      <c r="B252" s="9" t="s">
        <v>22</v>
      </c>
      <c r="C252" s="10">
        <v>1</v>
      </c>
      <c r="D252" s="10"/>
      <c r="E252" s="10">
        <v>1</v>
      </c>
      <c r="F252" s="10"/>
      <c r="G252" s="10">
        <f t="shared" si="7"/>
        <v>0</v>
      </c>
      <c r="H252" s="9"/>
      <c r="I252" s="10">
        <v>1</v>
      </c>
      <c r="J252" s="10">
        <f t="shared" si="6"/>
        <v>0</v>
      </c>
      <c r="K252" s="9">
        <f t="shared" si="2"/>
        <v>0</v>
      </c>
      <c r="L252" s="11" t="s">
        <v>138</v>
      </c>
      <c r="M252" s="11" t="s">
        <v>532</v>
      </c>
      <c r="N252" s="12" t="str">
        <f t="shared" si="3"/>
        <v>Sample Hold|Thorlabs|XRN-B1</v>
      </c>
      <c r="O252" s="12">
        <f t="shared" si="4"/>
        <v>1</v>
      </c>
      <c r="P252" s="12" t="s">
        <v>38</v>
      </c>
      <c r="Q252" s="12"/>
      <c r="R252" s="13" t="s">
        <v>138</v>
      </c>
      <c r="S252" s="13" t="s">
        <v>532</v>
      </c>
      <c r="T252" s="13" t="s">
        <v>533</v>
      </c>
      <c r="U252" s="11" t="s">
        <v>26</v>
      </c>
      <c r="V252" s="11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  <c r="AO252" s="14"/>
      <c r="AP252" s="14"/>
    </row>
    <row r="253" spans="1:42" ht="22.5" customHeight="1">
      <c r="A253" s="8"/>
      <c r="B253" s="9" t="s">
        <v>22</v>
      </c>
      <c r="C253" s="10">
        <v>2</v>
      </c>
      <c r="D253" s="10"/>
      <c r="E253" s="10">
        <v>2</v>
      </c>
      <c r="F253" s="10"/>
      <c r="G253" s="10">
        <f t="shared" si="7"/>
        <v>0</v>
      </c>
      <c r="H253" s="9"/>
      <c r="I253" s="10">
        <v>1</v>
      </c>
      <c r="J253" s="10">
        <f t="shared" si="6"/>
        <v>0</v>
      </c>
      <c r="K253" s="9">
        <f t="shared" si="2"/>
        <v>0</v>
      </c>
      <c r="L253" s="11" t="s">
        <v>138</v>
      </c>
      <c r="M253" s="11" t="s">
        <v>534</v>
      </c>
      <c r="N253" s="12" t="str">
        <f t="shared" si="3"/>
        <v>Sample Hold|Thorlabs|XRN25P</v>
      </c>
      <c r="O253" s="12">
        <f t="shared" si="4"/>
        <v>1</v>
      </c>
      <c r="P253" s="12" t="s">
        <v>38</v>
      </c>
      <c r="Q253" s="12"/>
      <c r="R253" s="13" t="s">
        <v>138</v>
      </c>
      <c r="S253" s="13" t="s">
        <v>534</v>
      </c>
      <c r="T253" s="13" t="s">
        <v>535</v>
      </c>
      <c r="U253" s="11" t="s">
        <v>26</v>
      </c>
      <c r="V253" s="11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  <c r="AO253" s="14"/>
      <c r="AP253" s="14"/>
    </row>
    <row r="254" spans="1:42" ht="22.5" customHeight="1">
      <c r="A254" s="8"/>
      <c r="B254" s="9" t="s">
        <v>22</v>
      </c>
      <c r="C254" s="10">
        <v>1</v>
      </c>
      <c r="D254" s="10"/>
      <c r="E254" s="10">
        <v>1</v>
      </c>
      <c r="F254" s="10"/>
      <c r="G254" s="10">
        <f t="shared" si="7"/>
        <v>0</v>
      </c>
      <c r="H254" s="9"/>
      <c r="I254" s="10">
        <v>1</v>
      </c>
      <c r="J254" s="10">
        <f t="shared" si="6"/>
        <v>0</v>
      </c>
      <c r="K254" s="9">
        <f t="shared" si="2"/>
        <v>0</v>
      </c>
      <c r="L254" s="11" t="s">
        <v>138</v>
      </c>
      <c r="M254" s="11" t="s">
        <v>538</v>
      </c>
      <c r="N254" s="12" t="str">
        <f t="shared" si="3"/>
        <v>Sample Hold|Thorlabs|Z812B</v>
      </c>
      <c r="O254" s="12">
        <f t="shared" si="4"/>
        <v>1</v>
      </c>
      <c r="P254" s="12" t="s">
        <v>279</v>
      </c>
      <c r="Q254" s="12"/>
      <c r="R254" s="13" t="s">
        <v>138</v>
      </c>
      <c r="S254" s="13" t="s">
        <v>538</v>
      </c>
      <c r="T254" s="13" t="s">
        <v>539</v>
      </c>
      <c r="U254" s="15" t="s">
        <v>606</v>
      </c>
      <c r="V254" s="11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  <c r="AO254" s="14"/>
      <c r="AP254" s="14"/>
    </row>
    <row r="255" spans="1:42" ht="22.5" hidden="1" customHeight="1">
      <c r="A255" s="8"/>
      <c r="B255" s="9"/>
      <c r="C255" s="10"/>
      <c r="D255" s="10"/>
      <c r="E255" s="10"/>
      <c r="F255" s="10"/>
      <c r="G255" s="10">
        <f t="shared" si="7"/>
        <v>0</v>
      </c>
      <c r="H255" s="9"/>
      <c r="I255" s="10">
        <v>1</v>
      </c>
      <c r="J255" s="10">
        <f t="shared" si="6"/>
        <v>0</v>
      </c>
      <c r="K255" s="9">
        <f t="shared" si="2"/>
        <v>0</v>
      </c>
      <c r="L255" s="9" t="s">
        <v>32</v>
      </c>
      <c r="M255" s="11"/>
      <c r="N255" s="12" t="str">
        <f t="shared" si="3"/>
        <v>|CUSTOM|</v>
      </c>
      <c r="O255" s="12">
        <f t="shared" si="4"/>
        <v>1</v>
      </c>
      <c r="P255" s="12"/>
      <c r="Q255" s="12"/>
      <c r="R255" s="13"/>
      <c r="S255" s="13"/>
      <c r="T255" s="13" t="s">
        <v>73</v>
      </c>
      <c r="U255" s="11"/>
      <c r="V255" s="11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 s="14"/>
      <c r="AP255" s="14"/>
    </row>
    <row r="256" spans="1:42" ht="22.5" hidden="1" customHeight="1">
      <c r="A256" s="8"/>
      <c r="B256" s="9"/>
      <c r="C256" s="10"/>
      <c r="D256" s="10"/>
      <c r="E256" s="10"/>
      <c r="F256" s="10"/>
      <c r="G256" s="10">
        <f t="shared" si="7"/>
        <v>0</v>
      </c>
      <c r="H256" s="9"/>
      <c r="I256" s="10">
        <v>1</v>
      </c>
      <c r="J256" s="10">
        <f t="shared" si="6"/>
        <v>0</v>
      </c>
      <c r="K256" s="9">
        <f t="shared" si="2"/>
        <v>0</v>
      </c>
      <c r="L256" s="11" t="s">
        <v>138</v>
      </c>
      <c r="M256" s="11" t="s">
        <v>190</v>
      </c>
      <c r="N256" s="12" t="str">
        <f t="shared" si="3"/>
        <v>|Thorlabs|CCM1-4ER</v>
      </c>
      <c r="O256" s="12">
        <f t="shared" si="4"/>
        <v>1</v>
      </c>
      <c r="P256" s="12" t="s">
        <v>38</v>
      </c>
      <c r="Q256" s="12"/>
      <c r="R256" s="13" t="s">
        <v>138</v>
      </c>
      <c r="S256" s="13" t="s">
        <v>190</v>
      </c>
      <c r="T256" s="13"/>
      <c r="U256" s="11"/>
      <c r="V256" s="11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  <c r="AO256" s="14"/>
      <c r="AP256" s="14"/>
    </row>
    <row r="257" spans="1:42" ht="22.5" hidden="1" customHeight="1">
      <c r="A257" s="8"/>
      <c r="B257" s="9"/>
      <c r="C257" s="10"/>
      <c r="D257" s="10"/>
      <c r="E257" s="10"/>
      <c r="F257" s="10"/>
      <c r="G257" s="10">
        <f t="shared" si="7"/>
        <v>0</v>
      </c>
      <c r="H257" s="9"/>
      <c r="I257" s="10">
        <v>1</v>
      </c>
      <c r="J257" s="10">
        <f t="shared" si="6"/>
        <v>0</v>
      </c>
      <c r="K257" s="9">
        <f t="shared" ref="K257:K305" si="8">H257*G257</f>
        <v>0</v>
      </c>
      <c r="L257" s="11" t="s">
        <v>138</v>
      </c>
      <c r="M257" s="11" t="s">
        <v>191</v>
      </c>
      <c r="N257" s="12" t="str">
        <f t="shared" ref="N257:N305" si="9">B257&amp;"|"&amp;L257&amp;"|"&amp;M257</f>
        <v>|Thorlabs|CCM1-P01</v>
      </c>
      <c r="O257" s="12">
        <f t="shared" ref="O257:O305" si="10">COUNTIF($N$2:$N1184, N257)</f>
        <v>1</v>
      </c>
      <c r="P257" s="12" t="s">
        <v>38</v>
      </c>
      <c r="Q257" s="12"/>
      <c r="R257" s="13" t="s">
        <v>138</v>
      </c>
      <c r="S257" s="13" t="s">
        <v>191</v>
      </c>
      <c r="T257" s="13"/>
      <c r="U257" s="11"/>
      <c r="V257" s="11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</row>
    <row r="258" spans="1:42" ht="22.5" hidden="1" customHeight="1">
      <c r="A258" s="8"/>
      <c r="B258" s="9"/>
      <c r="C258" s="10"/>
      <c r="D258" s="10"/>
      <c r="E258" s="10">
        <v>6</v>
      </c>
      <c r="F258" s="10"/>
      <c r="G258" s="10">
        <f t="shared" si="7"/>
        <v>0</v>
      </c>
      <c r="H258" s="9"/>
      <c r="I258" s="10">
        <v>1</v>
      </c>
      <c r="J258" s="10">
        <f t="shared" si="6"/>
        <v>0</v>
      </c>
      <c r="K258" s="9">
        <f t="shared" si="8"/>
        <v>0</v>
      </c>
      <c r="L258" s="11" t="s">
        <v>138</v>
      </c>
      <c r="M258" s="11" t="s">
        <v>197</v>
      </c>
      <c r="N258" s="12" t="str">
        <f t="shared" si="9"/>
        <v>|Thorlabs|CL3</v>
      </c>
      <c r="O258" s="12">
        <f t="shared" si="10"/>
        <v>1</v>
      </c>
      <c r="P258" s="12" t="s">
        <v>38</v>
      </c>
      <c r="Q258" s="12"/>
      <c r="R258" s="13" t="s">
        <v>138</v>
      </c>
      <c r="S258" s="13" t="s">
        <v>197</v>
      </c>
      <c r="T258" s="13" t="s">
        <v>198</v>
      </c>
      <c r="U258" s="15" t="s">
        <v>199</v>
      </c>
      <c r="V258" s="11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  <c r="AO258" s="14"/>
      <c r="AP258" s="14"/>
    </row>
    <row r="259" spans="1:42" ht="22.5" hidden="1" customHeight="1">
      <c r="A259" s="8"/>
      <c r="B259" s="9"/>
      <c r="C259" s="10">
        <v>1</v>
      </c>
      <c r="D259" s="10"/>
      <c r="E259" s="10">
        <v>1</v>
      </c>
      <c r="F259" s="10"/>
      <c r="G259" s="10">
        <f t="shared" si="7"/>
        <v>0</v>
      </c>
      <c r="H259" s="9"/>
      <c r="I259" s="10">
        <v>1</v>
      </c>
      <c r="J259" s="10">
        <f t="shared" si="6"/>
        <v>0</v>
      </c>
      <c r="K259" s="9">
        <f t="shared" si="8"/>
        <v>0</v>
      </c>
      <c r="L259" s="11" t="s">
        <v>138</v>
      </c>
      <c r="M259" s="11" t="s">
        <v>200</v>
      </c>
      <c r="N259" s="12" t="str">
        <f t="shared" si="9"/>
        <v>|Thorlabs|CLS-SL</v>
      </c>
      <c r="O259" s="12">
        <f t="shared" si="10"/>
        <v>1</v>
      </c>
      <c r="P259" s="12" t="s">
        <v>38</v>
      </c>
      <c r="Q259" s="12"/>
      <c r="R259" s="13" t="s">
        <v>138</v>
      </c>
      <c r="S259" s="13" t="s">
        <v>200</v>
      </c>
      <c r="T259" s="13" t="s">
        <v>201</v>
      </c>
      <c r="U259" s="15" t="s">
        <v>607</v>
      </c>
      <c r="V259" s="11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  <c r="AO259" s="14"/>
      <c r="AP259" s="14"/>
    </row>
    <row r="260" spans="1:42" ht="22.5" hidden="1" customHeight="1">
      <c r="A260" s="8"/>
      <c r="B260" s="9"/>
      <c r="C260" s="10"/>
      <c r="D260" s="10"/>
      <c r="E260" s="10"/>
      <c r="F260" s="10"/>
      <c r="G260" s="10">
        <f t="shared" si="7"/>
        <v>0</v>
      </c>
      <c r="H260" s="9"/>
      <c r="I260" s="10">
        <v>1</v>
      </c>
      <c r="J260" s="10">
        <f t="shared" si="6"/>
        <v>0</v>
      </c>
      <c r="K260" s="9">
        <f t="shared" si="8"/>
        <v>0</v>
      </c>
      <c r="L260" s="11" t="s">
        <v>138</v>
      </c>
      <c r="M260" s="11" t="s">
        <v>203</v>
      </c>
      <c r="N260" s="12" t="str">
        <f t="shared" si="9"/>
        <v>|Thorlabs|CM1-DCH/M</v>
      </c>
      <c r="O260" s="12">
        <f t="shared" si="10"/>
        <v>1</v>
      </c>
      <c r="P260" s="12" t="s">
        <v>38</v>
      </c>
      <c r="Q260" s="12" t="s">
        <v>204</v>
      </c>
      <c r="R260" s="13" t="s">
        <v>138</v>
      </c>
      <c r="S260" s="13" t="s">
        <v>203</v>
      </c>
      <c r="T260" s="13"/>
      <c r="U260" s="11"/>
      <c r="V260" s="11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  <c r="AO260" s="14"/>
      <c r="AP260" s="14"/>
    </row>
    <row r="261" spans="1:42" ht="22.5" hidden="1" customHeight="1">
      <c r="A261" s="8"/>
      <c r="B261" s="9"/>
      <c r="C261" s="10"/>
      <c r="D261" s="10"/>
      <c r="E261" s="10"/>
      <c r="F261" s="10"/>
      <c r="G261" s="10">
        <f t="shared" si="7"/>
        <v>0</v>
      </c>
      <c r="H261" s="9"/>
      <c r="I261" s="10">
        <v>1</v>
      </c>
      <c r="J261" s="10">
        <f t="shared" si="6"/>
        <v>0</v>
      </c>
      <c r="K261" s="9">
        <f t="shared" si="8"/>
        <v>0</v>
      </c>
      <c r="L261" s="9" t="s">
        <v>138</v>
      </c>
      <c r="M261" s="11" t="s">
        <v>205</v>
      </c>
      <c r="N261" s="12" t="str">
        <f t="shared" si="9"/>
        <v>|Thorlabs|CP02T/M</v>
      </c>
      <c r="O261" s="12">
        <f t="shared" si="10"/>
        <v>1</v>
      </c>
      <c r="P261" s="12"/>
      <c r="Q261" s="12"/>
      <c r="R261" s="12" t="s">
        <v>138</v>
      </c>
      <c r="S261" s="13" t="s">
        <v>205</v>
      </c>
      <c r="T261" s="12" t="s">
        <v>206</v>
      </c>
      <c r="U261" s="11"/>
      <c r="V261" s="11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  <c r="AO261" s="14"/>
      <c r="AP261" s="14"/>
    </row>
    <row r="262" spans="1:42" ht="22.5" hidden="1" customHeight="1">
      <c r="A262" s="8"/>
      <c r="B262" s="9"/>
      <c r="C262" s="10"/>
      <c r="D262" s="10"/>
      <c r="E262" s="10"/>
      <c r="F262" s="10"/>
      <c r="G262" s="10">
        <f t="shared" si="7"/>
        <v>0</v>
      </c>
      <c r="H262" s="9"/>
      <c r="I262" s="10">
        <v>1</v>
      </c>
      <c r="J262" s="10">
        <f t="shared" si="6"/>
        <v>0</v>
      </c>
      <c r="K262" s="9">
        <f t="shared" si="8"/>
        <v>0</v>
      </c>
      <c r="L262" s="11" t="s">
        <v>138</v>
      </c>
      <c r="M262" s="11" t="s">
        <v>266</v>
      </c>
      <c r="N262" s="12" t="str">
        <f t="shared" si="9"/>
        <v>|Thorlabs|KAD11F</v>
      </c>
      <c r="O262" s="12">
        <f t="shared" si="10"/>
        <v>1</v>
      </c>
      <c r="P262" s="12" t="s">
        <v>38</v>
      </c>
      <c r="Q262" s="12"/>
      <c r="R262" s="13" t="s">
        <v>138</v>
      </c>
      <c r="S262" s="13" t="s">
        <v>266</v>
      </c>
      <c r="T262" s="13"/>
      <c r="U262" s="11"/>
      <c r="V262" s="11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  <c r="AO262" s="14"/>
      <c r="AP262" s="14"/>
    </row>
    <row r="263" spans="1:42" ht="22.5" hidden="1" customHeight="1">
      <c r="A263" s="8"/>
      <c r="B263" s="9"/>
      <c r="C263" s="10"/>
      <c r="D263" s="10"/>
      <c r="E263" s="10">
        <v>1</v>
      </c>
      <c r="F263" s="10"/>
      <c r="G263" s="10">
        <f t="shared" si="7"/>
        <v>0</v>
      </c>
      <c r="H263" s="9"/>
      <c r="I263" s="10">
        <v>1</v>
      </c>
      <c r="J263" s="10">
        <f t="shared" si="6"/>
        <v>0</v>
      </c>
      <c r="K263" s="9">
        <f t="shared" si="8"/>
        <v>0</v>
      </c>
      <c r="L263" s="11" t="s">
        <v>138</v>
      </c>
      <c r="M263" s="11" t="s">
        <v>271</v>
      </c>
      <c r="N263" s="12" t="str">
        <f t="shared" si="9"/>
        <v>|Thorlabs|KCB1EC</v>
      </c>
      <c r="O263" s="12">
        <f t="shared" si="10"/>
        <v>1</v>
      </c>
      <c r="P263" s="12" t="s">
        <v>38</v>
      </c>
      <c r="Q263" s="12"/>
      <c r="R263" s="13" t="s">
        <v>138</v>
      </c>
      <c r="S263" s="13" t="s">
        <v>271</v>
      </c>
      <c r="T263" s="13"/>
      <c r="U263" s="11"/>
      <c r="V263" s="11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14"/>
      <c r="AP263" s="14"/>
    </row>
    <row r="264" spans="1:42" ht="22.5" hidden="1" customHeight="1">
      <c r="A264" s="8"/>
      <c r="B264" s="9"/>
      <c r="C264" s="10"/>
      <c r="D264" s="10"/>
      <c r="E264" s="10"/>
      <c r="F264" s="10"/>
      <c r="G264" s="10">
        <f t="shared" si="7"/>
        <v>0</v>
      </c>
      <c r="H264" s="9"/>
      <c r="I264" s="10">
        <v>1</v>
      </c>
      <c r="J264" s="10">
        <f t="shared" si="6"/>
        <v>0</v>
      </c>
      <c r="K264" s="9">
        <f t="shared" si="8"/>
        <v>0</v>
      </c>
      <c r="L264" s="11" t="s">
        <v>138</v>
      </c>
      <c r="M264" s="11" t="s">
        <v>278</v>
      </c>
      <c r="N264" s="12" t="str">
        <f t="shared" si="9"/>
        <v>|Thorlabs|KCB2E/M</v>
      </c>
      <c r="O264" s="12">
        <f t="shared" si="10"/>
        <v>1</v>
      </c>
      <c r="P264" s="12" t="s">
        <v>279</v>
      </c>
      <c r="Q264" s="12" t="s">
        <v>204</v>
      </c>
      <c r="R264" s="13" t="s">
        <v>138</v>
      </c>
      <c r="S264" s="13" t="s">
        <v>278</v>
      </c>
      <c r="T264" s="13"/>
      <c r="U264" s="11"/>
      <c r="V264" s="11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  <c r="AO264" s="14"/>
      <c r="AP264" s="14"/>
    </row>
    <row r="265" spans="1:42" ht="22.5" hidden="1" customHeight="1">
      <c r="A265" s="8"/>
      <c r="B265" s="9"/>
      <c r="C265" s="10"/>
      <c r="D265" s="10"/>
      <c r="E265" s="10"/>
      <c r="F265" s="10"/>
      <c r="G265" s="10">
        <f t="shared" si="7"/>
        <v>0</v>
      </c>
      <c r="H265" s="9"/>
      <c r="I265" s="10">
        <v>1</v>
      </c>
      <c r="J265" s="10">
        <f t="shared" si="6"/>
        <v>0</v>
      </c>
      <c r="K265" s="9">
        <f t="shared" si="8"/>
        <v>0</v>
      </c>
      <c r="L265" s="11" t="s">
        <v>138</v>
      </c>
      <c r="M265" s="11" t="s">
        <v>284</v>
      </c>
      <c r="N265" s="12" t="str">
        <f t="shared" si="9"/>
        <v>|Thorlabs|KM100B</v>
      </c>
      <c r="O265" s="12">
        <f t="shared" si="10"/>
        <v>1</v>
      </c>
      <c r="P265" s="12"/>
      <c r="Q265" s="12"/>
      <c r="R265" s="13" t="s">
        <v>138</v>
      </c>
      <c r="S265" s="13" t="s">
        <v>284</v>
      </c>
      <c r="T265" s="13" t="s">
        <v>285</v>
      </c>
      <c r="U265" s="16" t="s">
        <v>286</v>
      </c>
      <c r="V265" s="11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  <c r="AO265" s="14"/>
      <c r="AP265" s="14"/>
    </row>
    <row r="266" spans="1:42" ht="22.5" hidden="1" customHeight="1">
      <c r="A266" s="8"/>
      <c r="B266" s="9"/>
      <c r="C266" s="10"/>
      <c r="D266" s="10"/>
      <c r="E266" s="10"/>
      <c r="F266" s="10"/>
      <c r="G266" s="10">
        <f t="shared" si="7"/>
        <v>0</v>
      </c>
      <c r="H266" s="9"/>
      <c r="I266" s="10">
        <v>1</v>
      </c>
      <c r="J266" s="10">
        <f t="shared" si="6"/>
        <v>0</v>
      </c>
      <c r="K266" s="9">
        <f t="shared" si="8"/>
        <v>0</v>
      </c>
      <c r="L266" s="11" t="s">
        <v>138</v>
      </c>
      <c r="M266" s="11" t="s">
        <v>287</v>
      </c>
      <c r="N266" s="12" t="str">
        <f t="shared" si="9"/>
        <v>|Thorlabs|KS1RS</v>
      </c>
      <c r="O266" s="12">
        <f t="shared" si="10"/>
        <v>1</v>
      </c>
      <c r="P266" s="12" t="s">
        <v>38</v>
      </c>
      <c r="Q266" s="12"/>
      <c r="R266" s="13" t="s">
        <v>138</v>
      </c>
      <c r="S266" s="13" t="s">
        <v>287</v>
      </c>
      <c r="T266" s="13"/>
      <c r="U266" s="11"/>
      <c r="V266" s="11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  <c r="AO266" s="14"/>
      <c r="AP266" s="14"/>
    </row>
    <row r="267" spans="1:42" ht="22.5" hidden="1" customHeight="1">
      <c r="A267" s="8"/>
      <c r="B267" s="9"/>
      <c r="C267" s="10"/>
      <c r="D267" s="10"/>
      <c r="E267" s="10"/>
      <c r="F267" s="10"/>
      <c r="G267" s="10">
        <f t="shared" si="7"/>
        <v>0</v>
      </c>
      <c r="H267" s="9"/>
      <c r="I267" s="10">
        <v>1</v>
      </c>
      <c r="J267" s="10">
        <f t="shared" si="6"/>
        <v>0</v>
      </c>
      <c r="K267" s="9">
        <f t="shared" si="8"/>
        <v>0</v>
      </c>
      <c r="L267" s="11" t="s">
        <v>138</v>
      </c>
      <c r="M267" s="11" t="s">
        <v>291</v>
      </c>
      <c r="N267" s="12" t="str">
        <f t="shared" si="9"/>
        <v>|Thorlabs|LCP01T/M</v>
      </c>
      <c r="O267" s="12">
        <f t="shared" si="10"/>
        <v>1</v>
      </c>
      <c r="P267" s="12" t="s">
        <v>279</v>
      </c>
      <c r="Q267" s="12" t="s">
        <v>204</v>
      </c>
      <c r="R267" s="13" t="s">
        <v>138</v>
      </c>
      <c r="S267" s="13" t="s">
        <v>291</v>
      </c>
      <c r="T267" s="13"/>
      <c r="U267" s="11"/>
      <c r="V267" s="11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  <c r="AO267" s="14"/>
      <c r="AP267" s="14"/>
    </row>
    <row r="268" spans="1:42" ht="22.5" hidden="1" customHeight="1">
      <c r="A268" s="8"/>
      <c r="B268" s="9"/>
      <c r="C268" s="10"/>
      <c r="D268" s="10"/>
      <c r="E268" s="10"/>
      <c r="F268" s="10"/>
      <c r="G268" s="10">
        <f t="shared" si="7"/>
        <v>0</v>
      </c>
      <c r="H268" s="9"/>
      <c r="I268" s="10">
        <v>1</v>
      </c>
      <c r="J268" s="10">
        <f t="shared" si="6"/>
        <v>0</v>
      </c>
      <c r="K268" s="9">
        <f t="shared" si="8"/>
        <v>0</v>
      </c>
      <c r="L268" s="11" t="s">
        <v>138</v>
      </c>
      <c r="M268" s="20" t="s">
        <v>308</v>
      </c>
      <c r="N268" s="12" t="str">
        <f t="shared" si="9"/>
        <v>|Thorlabs|LEDD1B</v>
      </c>
      <c r="O268" s="12">
        <f t="shared" si="10"/>
        <v>1</v>
      </c>
      <c r="P268" s="12"/>
      <c r="Q268" s="12"/>
      <c r="R268" s="13" t="s">
        <v>138</v>
      </c>
      <c r="S268" s="13" t="s">
        <v>308</v>
      </c>
      <c r="T268" s="13" t="s">
        <v>309</v>
      </c>
      <c r="U268" s="18" t="s">
        <v>608</v>
      </c>
      <c r="V268" s="11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  <c r="AO268" s="14"/>
      <c r="AP268" s="14"/>
    </row>
    <row r="269" spans="1:42" ht="22.5" hidden="1" customHeight="1">
      <c r="A269" s="8"/>
      <c r="B269" s="9"/>
      <c r="C269" s="10">
        <v>1</v>
      </c>
      <c r="D269" s="10"/>
      <c r="E269" s="10">
        <v>3</v>
      </c>
      <c r="F269" s="10"/>
      <c r="G269" s="10">
        <f t="shared" si="7"/>
        <v>0</v>
      </c>
      <c r="H269" s="9"/>
      <c r="I269" s="10">
        <v>1</v>
      </c>
      <c r="J269" s="10">
        <f t="shared" si="6"/>
        <v>0</v>
      </c>
      <c r="K269" s="9">
        <f t="shared" si="8"/>
        <v>0</v>
      </c>
      <c r="L269" s="11" t="s">
        <v>138</v>
      </c>
      <c r="M269" s="11" t="s">
        <v>313</v>
      </c>
      <c r="N269" s="12" t="str">
        <f t="shared" si="9"/>
        <v>|Thorlabs|LMR2</v>
      </c>
      <c r="O269" s="12">
        <f t="shared" si="10"/>
        <v>1</v>
      </c>
      <c r="P269" s="12"/>
      <c r="Q269" s="12"/>
      <c r="R269" s="13" t="s">
        <v>138</v>
      </c>
      <c r="S269" s="13" t="s">
        <v>313</v>
      </c>
      <c r="T269" s="13" t="s">
        <v>314</v>
      </c>
      <c r="U269" s="15" t="s">
        <v>609</v>
      </c>
      <c r="V269" s="11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  <c r="AO269" s="14"/>
      <c r="AP269" s="14"/>
    </row>
    <row r="270" spans="1:42" ht="22.5" hidden="1" customHeight="1">
      <c r="A270" s="8"/>
      <c r="B270" s="9"/>
      <c r="C270" s="10"/>
      <c r="D270" s="10"/>
      <c r="E270" s="10"/>
      <c r="F270" s="10"/>
      <c r="G270" s="10">
        <f t="shared" si="7"/>
        <v>0</v>
      </c>
      <c r="H270" s="9"/>
      <c r="I270" s="10">
        <v>1</v>
      </c>
      <c r="J270" s="10">
        <f t="shared" si="6"/>
        <v>0</v>
      </c>
      <c r="K270" s="9">
        <f t="shared" si="8"/>
        <v>0</v>
      </c>
      <c r="L270" s="11" t="s">
        <v>138</v>
      </c>
      <c r="M270" s="11" t="s">
        <v>316</v>
      </c>
      <c r="N270" s="12" t="str">
        <f t="shared" si="9"/>
        <v>|Thorlabs|LMR2AP</v>
      </c>
      <c r="O270" s="12">
        <f t="shared" si="10"/>
        <v>1</v>
      </c>
      <c r="P270" s="12" t="s">
        <v>38</v>
      </c>
      <c r="Q270" s="12"/>
      <c r="R270" s="13" t="s">
        <v>138</v>
      </c>
      <c r="S270" s="13" t="s">
        <v>316</v>
      </c>
      <c r="T270" s="13"/>
      <c r="U270" s="11"/>
      <c r="V270" s="11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  <c r="AO270" s="14"/>
      <c r="AP270" s="14"/>
    </row>
    <row r="271" spans="1:42" ht="22.5" hidden="1" customHeight="1">
      <c r="A271" s="8"/>
      <c r="B271" s="9"/>
      <c r="C271" s="10"/>
      <c r="D271" s="10"/>
      <c r="E271" s="10"/>
      <c r="F271" s="10"/>
      <c r="G271" s="10">
        <f t="shared" si="7"/>
        <v>0</v>
      </c>
      <c r="H271" s="9"/>
      <c r="I271" s="10">
        <v>1</v>
      </c>
      <c r="J271" s="10">
        <f t="shared" si="6"/>
        <v>0</v>
      </c>
      <c r="K271" s="9">
        <f t="shared" si="8"/>
        <v>0</v>
      </c>
      <c r="L271" s="11" t="s">
        <v>138</v>
      </c>
      <c r="M271" s="11" t="s">
        <v>320</v>
      </c>
      <c r="N271" s="12" t="str">
        <f t="shared" si="9"/>
        <v>|Thorlabs|LRM1</v>
      </c>
      <c r="O271" s="12">
        <f t="shared" si="10"/>
        <v>1</v>
      </c>
      <c r="P271" s="12" t="s">
        <v>38</v>
      </c>
      <c r="Q271" s="12"/>
      <c r="R271" s="13" t="s">
        <v>138</v>
      </c>
      <c r="S271" s="13" t="s">
        <v>320</v>
      </c>
      <c r="T271" s="13"/>
      <c r="U271" s="11"/>
      <c r="V271" s="11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  <c r="AO271" s="14"/>
      <c r="AP271" s="14"/>
    </row>
    <row r="272" spans="1:42" ht="22.5" hidden="1" customHeight="1">
      <c r="A272" s="8"/>
      <c r="B272" s="9"/>
      <c r="C272" s="10"/>
      <c r="D272" s="10"/>
      <c r="E272" s="10"/>
      <c r="F272" s="10"/>
      <c r="G272" s="10">
        <f t="shared" si="7"/>
        <v>0</v>
      </c>
      <c r="H272" s="9"/>
      <c r="I272" s="10">
        <v>1</v>
      </c>
      <c r="J272" s="10">
        <f t="shared" si="6"/>
        <v>0</v>
      </c>
      <c r="K272" s="9">
        <f t="shared" si="8"/>
        <v>0</v>
      </c>
      <c r="L272" s="11" t="s">
        <v>138</v>
      </c>
      <c r="M272" s="11" t="s">
        <v>327</v>
      </c>
      <c r="N272" s="12" t="str">
        <f t="shared" si="9"/>
        <v>|Thorlabs|M470L5</v>
      </c>
      <c r="O272" s="12">
        <f t="shared" si="10"/>
        <v>1</v>
      </c>
      <c r="P272" s="12" t="s">
        <v>38</v>
      </c>
      <c r="Q272" s="12"/>
      <c r="R272" s="13" t="s">
        <v>138</v>
      </c>
      <c r="S272" s="13" t="s">
        <v>327</v>
      </c>
      <c r="T272" s="13"/>
      <c r="U272" s="11"/>
      <c r="V272" s="11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  <c r="AO272" s="14"/>
      <c r="AP272" s="14"/>
    </row>
    <row r="273" spans="1:42" ht="22.5" hidden="1" customHeight="1">
      <c r="A273" s="8"/>
      <c r="B273" s="9"/>
      <c r="C273" s="10"/>
      <c r="D273" s="10"/>
      <c r="E273" s="10"/>
      <c r="F273" s="10"/>
      <c r="G273" s="10">
        <f t="shared" si="7"/>
        <v>0</v>
      </c>
      <c r="H273" s="9"/>
      <c r="I273" s="10">
        <v>1</v>
      </c>
      <c r="J273" s="10">
        <f t="shared" si="6"/>
        <v>0</v>
      </c>
      <c r="K273" s="9">
        <f t="shared" si="8"/>
        <v>0</v>
      </c>
      <c r="L273" s="11" t="s">
        <v>138</v>
      </c>
      <c r="M273" s="11" t="s">
        <v>329</v>
      </c>
      <c r="N273" s="12" t="str">
        <f t="shared" si="9"/>
        <v>|Thorlabs|MB1012</v>
      </c>
      <c r="O273" s="12">
        <f t="shared" si="10"/>
        <v>1</v>
      </c>
      <c r="P273" s="12" t="s">
        <v>38</v>
      </c>
      <c r="Q273" s="12" t="s">
        <v>331</v>
      </c>
      <c r="R273" s="13" t="s">
        <v>138</v>
      </c>
      <c r="S273" s="13" t="s">
        <v>329</v>
      </c>
      <c r="T273" s="13"/>
      <c r="U273" s="11"/>
      <c r="V273" s="11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  <c r="AO273" s="14"/>
      <c r="AP273" s="14"/>
    </row>
    <row r="274" spans="1:42" ht="22.5" hidden="1" customHeight="1">
      <c r="A274" s="8"/>
      <c r="B274" s="9"/>
      <c r="C274" s="10"/>
      <c r="D274" s="10"/>
      <c r="E274" s="10">
        <v>1</v>
      </c>
      <c r="F274" s="10"/>
      <c r="G274" s="10">
        <f t="shared" si="7"/>
        <v>0</v>
      </c>
      <c r="H274" s="9"/>
      <c r="I274" s="10">
        <v>1</v>
      </c>
      <c r="J274" s="10">
        <f t="shared" si="6"/>
        <v>0</v>
      </c>
      <c r="K274" s="9">
        <f t="shared" si="8"/>
        <v>0</v>
      </c>
      <c r="L274" s="11" t="s">
        <v>138</v>
      </c>
      <c r="M274" s="11" t="s">
        <v>334</v>
      </c>
      <c r="N274" s="12" t="str">
        <f t="shared" si="9"/>
        <v>|Thorlabs|MB6</v>
      </c>
      <c r="O274" s="12">
        <f t="shared" si="10"/>
        <v>1</v>
      </c>
      <c r="P274" s="12"/>
      <c r="Q274" s="12"/>
      <c r="R274" s="13"/>
      <c r="S274" s="13"/>
      <c r="T274" s="13"/>
      <c r="U274" s="11"/>
      <c r="V274" s="11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  <c r="AO274" s="14"/>
      <c r="AP274" s="14"/>
    </row>
    <row r="275" spans="1:42" ht="22.5" hidden="1" customHeight="1">
      <c r="A275" s="8"/>
      <c r="B275" s="9"/>
      <c r="C275" s="10">
        <v>1</v>
      </c>
      <c r="D275" s="10"/>
      <c r="E275" s="10">
        <v>1</v>
      </c>
      <c r="F275" s="10"/>
      <c r="G275" s="10">
        <f t="shared" si="7"/>
        <v>0</v>
      </c>
      <c r="H275" s="9"/>
      <c r="I275" s="10">
        <v>1</v>
      </c>
      <c r="J275" s="10">
        <f t="shared" si="6"/>
        <v>0</v>
      </c>
      <c r="K275" s="9">
        <f t="shared" si="8"/>
        <v>0</v>
      </c>
      <c r="L275" s="11" t="s">
        <v>138</v>
      </c>
      <c r="M275" s="11" t="s">
        <v>336</v>
      </c>
      <c r="N275" s="12" t="str">
        <f t="shared" si="9"/>
        <v>|Thorlabs|MDT693B</v>
      </c>
      <c r="O275" s="12">
        <f t="shared" si="10"/>
        <v>1</v>
      </c>
      <c r="P275" s="12"/>
      <c r="Q275" s="12"/>
      <c r="R275" s="13" t="s">
        <v>138</v>
      </c>
      <c r="S275" s="13" t="s">
        <v>336</v>
      </c>
      <c r="T275" s="13" t="s">
        <v>337</v>
      </c>
      <c r="U275" s="18" t="s">
        <v>338</v>
      </c>
      <c r="V275" s="11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  <c r="AO275" s="14"/>
      <c r="AP275" s="14"/>
    </row>
    <row r="276" spans="1:42" ht="22.5" hidden="1" customHeight="1">
      <c r="A276" s="8"/>
      <c r="B276" s="9"/>
      <c r="C276" s="10"/>
      <c r="D276" s="10"/>
      <c r="E276" s="10"/>
      <c r="F276" s="10"/>
      <c r="G276" s="10">
        <f t="shared" si="7"/>
        <v>0</v>
      </c>
      <c r="H276" s="9"/>
      <c r="I276" s="10">
        <v>1</v>
      </c>
      <c r="J276" s="10">
        <f t="shared" si="6"/>
        <v>0</v>
      </c>
      <c r="K276" s="9">
        <f t="shared" si="8"/>
        <v>0</v>
      </c>
      <c r="L276" s="11" t="s">
        <v>138</v>
      </c>
      <c r="M276" s="11" t="s">
        <v>347</v>
      </c>
      <c r="N276" s="12" t="str">
        <f t="shared" si="9"/>
        <v>|Thorlabs|MT1B</v>
      </c>
      <c r="O276" s="12">
        <f t="shared" si="10"/>
        <v>1</v>
      </c>
      <c r="P276" s="12" t="s">
        <v>38</v>
      </c>
      <c r="Q276" s="12"/>
      <c r="R276" s="13" t="s">
        <v>138</v>
      </c>
      <c r="S276" s="13" t="s">
        <v>347</v>
      </c>
      <c r="T276" s="13"/>
      <c r="U276" s="11"/>
      <c r="V276" s="11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  <c r="AO276" s="14"/>
      <c r="AP276" s="14"/>
    </row>
    <row r="277" spans="1:42" ht="22.5" hidden="1" customHeight="1">
      <c r="A277" s="8"/>
      <c r="B277" s="9"/>
      <c r="C277" s="10"/>
      <c r="D277" s="10"/>
      <c r="E277" s="10"/>
      <c r="F277" s="10"/>
      <c r="G277" s="10">
        <f t="shared" si="7"/>
        <v>0</v>
      </c>
      <c r="H277" s="9"/>
      <c r="I277" s="10">
        <v>1</v>
      </c>
      <c r="J277" s="10">
        <f t="shared" si="6"/>
        <v>0</v>
      </c>
      <c r="K277" s="9">
        <f t="shared" si="8"/>
        <v>0</v>
      </c>
      <c r="L277" s="11" t="s">
        <v>138</v>
      </c>
      <c r="M277" s="11" t="s">
        <v>348</v>
      </c>
      <c r="N277" s="12" t="str">
        <f t="shared" si="9"/>
        <v>|Thorlabs|MT402</v>
      </c>
      <c r="O277" s="12">
        <f t="shared" si="10"/>
        <v>1</v>
      </c>
      <c r="P277" s="12" t="s">
        <v>38</v>
      </c>
      <c r="Q277" s="12"/>
      <c r="R277" s="13" t="s">
        <v>138</v>
      </c>
      <c r="S277" s="13" t="s">
        <v>348</v>
      </c>
      <c r="T277" s="13"/>
      <c r="U277" s="11"/>
      <c r="V277" s="11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  <c r="AO277" s="14"/>
      <c r="AP277" s="14"/>
    </row>
    <row r="278" spans="1:42" ht="22.5" hidden="1" customHeight="1">
      <c r="A278" s="8"/>
      <c r="B278" s="9"/>
      <c r="C278" s="10"/>
      <c r="D278" s="10"/>
      <c r="E278" s="10"/>
      <c r="F278" s="10"/>
      <c r="G278" s="10">
        <f t="shared" si="7"/>
        <v>0</v>
      </c>
      <c r="H278" s="9"/>
      <c r="I278" s="10">
        <v>1</v>
      </c>
      <c r="J278" s="10">
        <f t="shared" si="6"/>
        <v>0</v>
      </c>
      <c r="K278" s="9">
        <f t="shared" si="8"/>
        <v>0</v>
      </c>
      <c r="L278" s="11" t="s">
        <v>138</v>
      </c>
      <c r="M278" s="11" t="s">
        <v>352</v>
      </c>
      <c r="N278" s="12" t="str">
        <f t="shared" si="9"/>
        <v>|Thorlabs|P10</v>
      </c>
      <c r="O278" s="12">
        <f t="shared" si="10"/>
        <v>1</v>
      </c>
      <c r="P278" s="12" t="s">
        <v>38</v>
      </c>
      <c r="Q278" s="12"/>
      <c r="R278" s="13" t="s">
        <v>138</v>
      </c>
      <c r="S278" s="13" t="s">
        <v>352</v>
      </c>
      <c r="T278" s="13"/>
      <c r="U278" s="11"/>
      <c r="V278" s="11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  <c r="AO278" s="14"/>
      <c r="AP278" s="14"/>
    </row>
    <row r="279" spans="1:42" ht="22.5" hidden="1" customHeight="1">
      <c r="A279" s="8"/>
      <c r="B279" s="9"/>
      <c r="C279" s="10"/>
      <c r="D279" s="10"/>
      <c r="E279" s="10"/>
      <c r="F279" s="10"/>
      <c r="G279" s="10">
        <f t="shared" si="7"/>
        <v>0</v>
      </c>
      <c r="H279" s="9"/>
      <c r="I279" s="10">
        <v>1</v>
      </c>
      <c r="J279" s="10">
        <f t="shared" si="6"/>
        <v>0</v>
      </c>
      <c r="K279" s="9">
        <f t="shared" si="8"/>
        <v>0</v>
      </c>
      <c r="L279" s="11" t="s">
        <v>138</v>
      </c>
      <c r="M279" s="11" t="s">
        <v>353</v>
      </c>
      <c r="N279" s="12" t="str">
        <f t="shared" si="9"/>
        <v>|Thorlabs|P100/M</v>
      </c>
      <c r="O279" s="12">
        <f t="shared" si="10"/>
        <v>1</v>
      </c>
      <c r="P279" s="12" t="s">
        <v>38</v>
      </c>
      <c r="Q279" s="12" t="s">
        <v>204</v>
      </c>
      <c r="R279" s="13" t="s">
        <v>138</v>
      </c>
      <c r="S279" s="13" t="s">
        <v>353</v>
      </c>
      <c r="T279" s="13"/>
      <c r="U279" s="11"/>
      <c r="V279" s="11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  <c r="AO279" s="14"/>
      <c r="AP279" s="14"/>
    </row>
    <row r="280" spans="1:42" ht="22.5" hidden="1" customHeight="1">
      <c r="A280" s="8"/>
      <c r="B280" s="9"/>
      <c r="C280" s="10"/>
      <c r="D280" s="10"/>
      <c r="E280" s="10">
        <v>1</v>
      </c>
      <c r="F280" s="10"/>
      <c r="G280" s="10">
        <f t="shared" si="7"/>
        <v>0</v>
      </c>
      <c r="H280" s="9"/>
      <c r="I280" s="10">
        <v>1</v>
      </c>
      <c r="J280" s="10">
        <f t="shared" si="6"/>
        <v>0</v>
      </c>
      <c r="K280" s="9">
        <f t="shared" si="8"/>
        <v>0</v>
      </c>
      <c r="L280" s="11" t="s">
        <v>138</v>
      </c>
      <c r="M280" s="11" t="s">
        <v>354</v>
      </c>
      <c r="N280" s="12" t="str">
        <f t="shared" si="9"/>
        <v>|Thorlabs|P4</v>
      </c>
      <c r="O280" s="12">
        <f t="shared" si="10"/>
        <v>1</v>
      </c>
      <c r="P280" s="12" t="s">
        <v>38</v>
      </c>
      <c r="Q280" s="12"/>
      <c r="R280" s="13" t="s">
        <v>138</v>
      </c>
      <c r="S280" s="13" t="s">
        <v>354</v>
      </c>
      <c r="T280" s="13" t="s">
        <v>355</v>
      </c>
      <c r="U280" s="15" t="s">
        <v>356</v>
      </c>
      <c r="V280" s="11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  <c r="AO280" s="14"/>
      <c r="AP280" s="14"/>
    </row>
    <row r="281" spans="1:42" ht="22.5" hidden="1" customHeight="1">
      <c r="A281" s="53"/>
      <c r="B281" s="54"/>
      <c r="C281" s="55"/>
      <c r="D281" s="55"/>
      <c r="E281" s="55">
        <v>1</v>
      </c>
      <c r="F281" s="55"/>
      <c r="G281" s="56">
        <f t="shared" si="7"/>
        <v>0</v>
      </c>
      <c r="H281" s="54"/>
      <c r="I281" s="55">
        <v>1</v>
      </c>
      <c r="J281" s="55">
        <f t="shared" si="6"/>
        <v>0</v>
      </c>
      <c r="K281" s="54">
        <f t="shared" si="8"/>
        <v>0</v>
      </c>
      <c r="L281" s="57" t="s">
        <v>138</v>
      </c>
      <c r="M281" s="57" t="s">
        <v>357</v>
      </c>
      <c r="N281" s="58" t="str">
        <f t="shared" si="9"/>
        <v>|Thorlabs|P6</v>
      </c>
      <c r="O281" s="58">
        <f t="shared" si="10"/>
        <v>1</v>
      </c>
      <c r="P281" s="58" t="s">
        <v>38</v>
      </c>
      <c r="Q281" s="58"/>
      <c r="R281" s="59" t="s">
        <v>138</v>
      </c>
      <c r="S281" s="59" t="s">
        <v>357</v>
      </c>
      <c r="T281" s="59" t="s">
        <v>358</v>
      </c>
      <c r="U281" s="60" t="s">
        <v>359</v>
      </c>
      <c r="V281" s="61"/>
      <c r="W281" s="35"/>
      <c r="X281" s="35"/>
      <c r="Y281" s="35"/>
      <c r="Z281" s="35"/>
      <c r="AA281" s="35"/>
      <c r="AB281" s="35"/>
      <c r="AC281" s="35"/>
      <c r="AD281" s="35"/>
      <c r="AE281" s="35"/>
      <c r="AF281" s="35"/>
      <c r="AG281" s="35"/>
      <c r="AH281" s="35"/>
      <c r="AI281" s="35"/>
      <c r="AJ281" s="35"/>
      <c r="AK281" s="35"/>
      <c r="AL281" s="35"/>
      <c r="AM281" s="35"/>
      <c r="AN281" s="35"/>
      <c r="AO281" s="35"/>
      <c r="AP281" s="35"/>
    </row>
    <row r="282" spans="1:42" ht="22.5" hidden="1" customHeight="1">
      <c r="A282" s="8"/>
      <c r="B282" s="9"/>
      <c r="C282" s="10"/>
      <c r="D282" s="10"/>
      <c r="E282" s="10">
        <v>2</v>
      </c>
      <c r="F282" s="10"/>
      <c r="G282" s="10">
        <f t="shared" si="7"/>
        <v>0</v>
      </c>
      <c r="H282" s="9"/>
      <c r="I282" s="10">
        <v>1</v>
      </c>
      <c r="J282" s="10">
        <f t="shared" si="6"/>
        <v>0</v>
      </c>
      <c r="K282" s="9">
        <f t="shared" si="8"/>
        <v>0</v>
      </c>
      <c r="L282" s="11" t="s">
        <v>138</v>
      </c>
      <c r="M282" s="11" t="s">
        <v>362</v>
      </c>
      <c r="N282" s="12" t="str">
        <f t="shared" si="9"/>
        <v>|Thorlabs|PB1</v>
      </c>
      <c r="O282" s="12">
        <f t="shared" si="10"/>
        <v>1</v>
      </c>
      <c r="P282" s="12" t="s">
        <v>38</v>
      </c>
      <c r="Q282" s="12"/>
      <c r="R282" s="13" t="s">
        <v>138</v>
      </c>
      <c r="S282" s="13" t="s">
        <v>362</v>
      </c>
      <c r="T282" s="13" t="s">
        <v>363</v>
      </c>
      <c r="U282" s="15" t="s">
        <v>364</v>
      </c>
      <c r="V282" s="11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  <c r="AO282" s="14"/>
      <c r="AP282" s="14"/>
    </row>
    <row r="283" spans="1:42" ht="22.5" hidden="1" customHeight="1">
      <c r="A283" s="8"/>
      <c r="B283" s="9"/>
      <c r="C283" s="10"/>
      <c r="D283" s="10"/>
      <c r="E283" s="10">
        <v>1</v>
      </c>
      <c r="F283" s="10"/>
      <c r="G283" s="10">
        <f t="shared" si="7"/>
        <v>0</v>
      </c>
      <c r="H283" s="9"/>
      <c r="I283" s="10">
        <v>1</v>
      </c>
      <c r="J283" s="10">
        <f t="shared" si="6"/>
        <v>0</v>
      </c>
      <c r="K283" s="9">
        <f t="shared" si="8"/>
        <v>0</v>
      </c>
      <c r="L283" s="11" t="s">
        <v>138</v>
      </c>
      <c r="M283" s="11" t="s">
        <v>365</v>
      </c>
      <c r="N283" s="12" t="str">
        <f t="shared" si="9"/>
        <v>|Thorlabs|PB4</v>
      </c>
      <c r="O283" s="12">
        <f t="shared" si="10"/>
        <v>1</v>
      </c>
      <c r="P283" s="12" t="s">
        <v>38</v>
      </c>
      <c r="Q283" s="12"/>
      <c r="R283" s="13" t="s">
        <v>138</v>
      </c>
      <c r="S283" s="13" t="s">
        <v>365</v>
      </c>
      <c r="T283" s="13" t="s">
        <v>366</v>
      </c>
      <c r="U283" s="15" t="s">
        <v>367</v>
      </c>
      <c r="V283" s="11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  <c r="AO283" s="14"/>
      <c r="AP283" s="14"/>
    </row>
    <row r="284" spans="1:42" ht="22.5" hidden="1" customHeight="1">
      <c r="A284" s="8"/>
      <c r="B284" s="9"/>
      <c r="C284" s="10"/>
      <c r="D284" s="10"/>
      <c r="E284" s="10"/>
      <c r="F284" s="10"/>
      <c r="G284" s="10">
        <f t="shared" si="7"/>
        <v>0</v>
      </c>
      <c r="H284" s="9"/>
      <c r="I284" s="10">
        <v>1</v>
      </c>
      <c r="J284" s="10">
        <f t="shared" si="6"/>
        <v>0</v>
      </c>
      <c r="K284" s="9">
        <f t="shared" si="8"/>
        <v>0</v>
      </c>
      <c r="L284" s="11" t="s">
        <v>138</v>
      </c>
      <c r="M284" s="11" t="s">
        <v>368</v>
      </c>
      <c r="N284" s="12" t="str">
        <f t="shared" si="9"/>
        <v>|Thorlabs|PB4-M</v>
      </c>
      <c r="O284" s="12">
        <f t="shared" si="10"/>
        <v>1</v>
      </c>
      <c r="P284" s="12" t="s">
        <v>38</v>
      </c>
      <c r="Q284" s="12"/>
      <c r="R284" s="13" t="s">
        <v>138</v>
      </c>
      <c r="S284" s="13" t="s">
        <v>368</v>
      </c>
      <c r="T284" s="13"/>
      <c r="U284" s="11"/>
      <c r="V284" s="11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  <c r="AO284" s="14"/>
      <c r="AP284" s="14"/>
    </row>
    <row r="285" spans="1:42" ht="22.5" hidden="1" customHeight="1">
      <c r="A285" s="8"/>
      <c r="B285" s="9"/>
      <c r="C285" s="10"/>
      <c r="D285" s="10"/>
      <c r="E285" s="10"/>
      <c r="F285" s="10"/>
      <c r="G285" s="10">
        <f t="shared" si="7"/>
        <v>0</v>
      </c>
      <c r="H285" s="9"/>
      <c r="I285" s="10">
        <v>1</v>
      </c>
      <c r="J285" s="10">
        <f t="shared" si="6"/>
        <v>0</v>
      </c>
      <c r="K285" s="9">
        <f t="shared" si="8"/>
        <v>0</v>
      </c>
      <c r="L285" s="11" t="s">
        <v>138</v>
      </c>
      <c r="M285" s="11" t="s">
        <v>372</v>
      </c>
      <c r="N285" s="12" t="str">
        <f t="shared" si="9"/>
        <v>|Thorlabs|PBS251</v>
      </c>
      <c r="O285" s="12">
        <f t="shared" si="10"/>
        <v>1</v>
      </c>
      <c r="P285" s="12" t="s">
        <v>38</v>
      </c>
      <c r="Q285" s="12"/>
      <c r="R285" s="13" t="s">
        <v>138</v>
      </c>
      <c r="S285" s="13" t="s">
        <v>372</v>
      </c>
      <c r="T285" s="13"/>
      <c r="U285" s="11"/>
      <c r="V285" s="11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  <c r="AO285" s="14"/>
      <c r="AP285" s="14"/>
    </row>
    <row r="286" spans="1:42" ht="22.5" hidden="1" customHeight="1">
      <c r="A286" s="8"/>
      <c r="B286" s="9"/>
      <c r="C286" s="10"/>
      <c r="D286" s="10"/>
      <c r="E286" s="10">
        <v>1</v>
      </c>
      <c r="F286" s="10"/>
      <c r="G286" s="10">
        <f t="shared" si="7"/>
        <v>0</v>
      </c>
      <c r="H286" s="9"/>
      <c r="I286" s="10">
        <v>1</v>
      </c>
      <c r="J286" s="10">
        <f t="shared" si="6"/>
        <v>0</v>
      </c>
      <c r="K286" s="9">
        <f t="shared" si="8"/>
        <v>0</v>
      </c>
      <c r="L286" s="11" t="s">
        <v>138</v>
      </c>
      <c r="M286" s="17" t="s">
        <v>380</v>
      </c>
      <c r="N286" s="12" t="str">
        <f t="shared" si="9"/>
        <v>|Thorlabs|PH2</v>
      </c>
      <c r="O286" s="12">
        <f t="shared" si="10"/>
        <v>1</v>
      </c>
      <c r="P286" s="21" t="s">
        <v>38</v>
      </c>
      <c r="Q286" s="12"/>
      <c r="R286" s="13" t="s">
        <v>138</v>
      </c>
      <c r="S286" s="13" t="s">
        <v>380</v>
      </c>
      <c r="T286" s="13" t="s">
        <v>381</v>
      </c>
      <c r="U286" s="16" t="s">
        <v>382</v>
      </c>
      <c r="V286" s="11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  <c r="AO286" s="14"/>
      <c r="AP286" s="14"/>
    </row>
    <row r="287" spans="1:42" ht="22.5" hidden="1" customHeight="1">
      <c r="A287" s="8"/>
      <c r="B287" s="9"/>
      <c r="C287" s="10"/>
      <c r="D287" s="10"/>
      <c r="E287" s="10">
        <v>4</v>
      </c>
      <c r="F287" s="10"/>
      <c r="G287" s="10">
        <f t="shared" si="7"/>
        <v>0</v>
      </c>
      <c r="H287" s="9"/>
      <c r="I287" s="10">
        <v>1</v>
      </c>
      <c r="J287" s="10">
        <f t="shared" si="6"/>
        <v>0</v>
      </c>
      <c r="K287" s="9">
        <f t="shared" si="8"/>
        <v>0</v>
      </c>
      <c r="L287" s="11" t="s">
        <v>138</v>
      </c>
      <c r="M287" s="11" t="s">
        <v>392</v>
      </c>
      <c r="N287" s="12" t="str">
        <f t="shared" si="9"/>
        <v xml:space="preserve">|Thorlabs|PS7M </v>
      </c>
      <c r="O287" s="12">
        <f t="shared" si="10"/>
        <v>1</v>
      </c>
      <c r="P287" s="12"/>
      <c r="Q287" s="12"/>
      <c r="R287" s="13" t="s">
        <v>138</v>
      </c>
      <c r="S287" s="13" t="s">
        <v>392</v>
      </c>
      <c r="T287" s="13" t="s">
        <v>393</v>
      </c>
      <c r="U287" s="16" t="s">
        <v>394</v>
      </c>
      <c r="V287" s="11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  <c r="AO287" s="14"/>
      <c r="AP287" s="14"/>
    </row>
    <row r="288" spans="1:42" ht="22.5" hidden="1" customHeight="1">
      <c r="A288" s="8"/>
      <c r="B288" s="9"/>
      <c r="C288" s="10"/>
      <c r="D288" s="10"/>
      <c r="E288" s="10"/>
      <c r="F288" s="10"/>
      <c r="G288" s="10">
        <f t="shared" si="7"/>
        <v>0</v>
      </c>
      <c r="H288" s="9"/>
      <c r="I288" s="10">
        <v>1</v>
      </c>
      <c r="J288" s="10">
        <f t="shared" si="6"/>
        <v>0</v>
      </c>
      <c r="K288" s="9">
        <f t="shared" si="8"/>
        <v>0</v>
      </c>
      <c r="L288" s="11" t="s">
        <v>138</v>
      </c>
      <c r="M288" s="11" t="s">
        <v>404</v>
      </c>
      <c r="N288" s="12" t="str">
        <f t="shared" si="9"/>
        <v>|Thorlabs|PT1B</v>
      </c>
      <c r="O288" s="12">
        <f t="shared" si="10"/>
        <v>1</v>
      </c>
      <c r="P288" s="12" t="s">
        <v>38</v>
      </c>
      <c r="Q288" s="12"/>
      <c r="R288" s="13" t="s">
        <v>138</v>
      </c>
      <c r="S288" s="13" t="s">
        <v>404</v>
      </c>
      <c r="T288" s="13"/>
      <c r="U288" s="11"/>
      <c r="V288" s="11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  <c r="AO288" s="14"/>
      <c r="AP288" s="14"/>
    </row>
    <row r="289" spans="1:42" ht="22.5" hidden="1" customHeight="1">
      <c r="A289" s="8"/>
      <c r="B289" s="9"/>
      <c r="C289" s="10"/>
      <c r="D289" s="10"/>
      <c r="E289" s="10"/>
      <c r="F289" s="10"/>
      <c r="G289" s="10">
        <f t="shared" si="7"/>
        <v>0</v>
      </c>
      <c r="H289" s="9"/>
      <c r="I289" s="10">
        <v>1</v>
      </c>
      <c r="J289" s="10">
        <f t="shared" si="6"/>
        <v>0</v>
      </c>
      <c r="K289" s="9">
        <f t="shared" si="8"/>
        <v>0</v>
      </c>
      <c r="L289" s="11" t="s">
        <v>138</v>
      </c>
      <c r="M289" s="11" t="s">
        <v>422</v>
      </c>
      <c r="N289" s="12" t="str">
        <f t="shared" si="9"/>
        <v>|Thorlabs|RS1.5P8</v>
      </c>
      <c r="O289" s="12">
        <f t="shared" si="10"/>
        <v>1</v>
      </c>
      <c r="P289" s="12" t="s">
        <v>38</v>
      </c>
      <c r="Q289" s="12" t="s">
        <v>331</v>
      </c>
      <c r="R289" s="13" t="s">
        <v>138</v>
      </c>
      <c r="S289" s="13" t="s">
        <v>422</v>
      </c>
      <c r="T289" s="13"/>
      <c r="U289" s="11"/>
      <c r="V289" s="11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  <c r="AO289" s="14"/>
      <c r="AP289" s="14"/>
    </row>
    <row r="290" spans="1:42" ht="22.5" hidden="1" customHeight="1">
      <c r="A290" s="8"/>
      <c r="B290" s="9"/>
      <c r="C290" s="10"/>
      <c r="D290" s="10"/>
      <c r="E290" s="10">
        <v>2</v>
      </c>
      <c r="F290" s="10"/>
      <c r="G290" s="10">
        <f t="shared" si="7"/>
        <v>0</v>
      </c>
      <c r="H290" s="9"/>
      <c r="I290" s="10">
        <v>1</v>
      </c>
      <c r="J290" s="10">
        <f t="shared" si="6"/>
        <v>0</v>
      </c>
      <c r="K290" s="9">
        <f t="shared" si="8"/>
        <v>0</v>
      </c>
      <c r="L290" s="11" t="s">
        <v>138</v>
      </c>
      <c r="M290" s="11" t="s">
        <v>424</v>
      </c>
      <c r="N290" s="12" t="str">
        <f t="shared" si="9"/>
        <v>|Thorlabs|RS2</v>
      </c>
      <c r="O290" s="12">
        <f t="shared" si="10"/>
        <v>1</v>
      </c>
      <c r="P290" s="12" t="s">
        <v>38</v>
      </c>
      <c r="Q290" s="12"/>
      <c r="R290" s="13" t="s">
        <v>138</v>
      </c>
      <c r="S290" s="13" t="s">
        <v>424</v>
      </c>
      <c r="T290" s="13" t="s">
        <v>425</v>
      </c>
      <c r="U290" s="15" t="s">
        <v>426</v>
      </c>
      <c r="V290" s="11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  <c r="AO290" s="14"/>
      <c r="AP290" s="14"/>
    </row>
    <row r="291" spans="1:42" ht="22.5" hidden="1" customHeight="1">
      <c r="A291" s="8"/>
      <c r="B291" s="9"/>
      <c r="C291" s="10"/>
      <c r="D291" s="10"/>
      <c r="E291" s="10"/>
      <c r="F291" s="10"/>
      <c r="G291" s="10">
        <f t="shared" si="7"/>
        <v>0</v>
      </c>
      <c r="H291" s="9"/>
      <c r="I291" s="10">
        <v>1</v>
      </c>
      <c r="J291" s="10">
        <f t="shared" si="6"/>
        <v>0</v>
      </c>
      <c r="K291" s="9">
        <f t="shared" si="8"/>
        <v>0</v>
      </c>
      <c r="L291" s="11" t="s">
        <v>138</v>
      </c>
      <c r="M291" s="11" t="s">
        <v>436</v>
      </c>
      <c r="N291" s="12" t="str">
        <f t="shared" si="9"/>
        <v>|Thorlabs|SM1A12</v>
      </c>
      <c r="O291" s="12">
        <f t="shared" si="10"/>
        <v>1</v>
      </c>
      <c r="P291" s="12" t="s">
        <v>38</v>
      </c>
      <c r="Q291" s="12"/>
      <c r="R291" s="13" t="s">
        <v>138</v>
      </c>
      <c r="S291" s="13" t="s">
        <v>436</v>
      </c>
      <c r="T291" s="13"/>
      <c r="U291" s="11"/>
      <c r="V291" s="11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  <c r="AO291" s="14"/>
      <c r="AP291" s="14"/>
    </row>
    <row r="292" spans="1:42" ht="22.5" hidden="1" customHeight="1">
      <c r="A292" s="8"/>
      <c r="B292" s="9"/>
      <c r="C292" s="10"/>
      <c r="D292" s="10"/>
      <c r="E292" s="10">
        <v>2</v>
      </c>
      <c r="F292" s="10"/>
      <c r="G292" s="10">
        <f t="shared" si="7"/>
        <v>0</v>
      </c>
      <c r="H292" s="9"/>
      <c r="I292" s="10">
        <v>1</v>
      </c>
      <c r="J292" s="10">
        <f t="shared" si="6"/>
        <v>0</v>
      </c>
      <c r="K292" s="9">
        <f t="shared" si="8"/>
        <v>0</v>
      </c>
      <c r="L292" s="11" t="s">
        <v>138</v>
      </c>
      <c r="M292" s="11" t="s">
        <v>466</v>
      </c>
      <c r="N292" s="12" t="str">
        <f t="shared" si="9"/>
        <v>|Thorlabs|SM2CP1</v>
      </c>
      <c r="O292" s="12">
        <f t="shared" si="10"/>
        <v>1</v>
      </c>
      <c r="P292" s="12" t="s">
        <v>38</v>
      </c>
      <c r="Q292" s="12"/>
      <c r="R292" s="13" t="s">
        <v>138</v>
      </c>
      <c r="S292" s="13" t="s">
        <v>466</v>
      </c>
      <c r="T292" s="13" t="s">
        <v>467</v>
      </c>
      <c r="U292" s="15" t="s">
        <v>610</v>
      </c>
      <c r="V292" s="11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  <c r="AO292" s="14"/>
      <c r="AP292" s="14"/>
    </row>
    <row r="293" spans="1:42" ht="22.5" hidden="1" customHeight="1">
      <c r="A293" s="8"/>
      <c r="B293" s="9"/>
      <c r="C293" s="10"/>
      <c r="D293" s="10"/>
      <c r="E293" s="10"/>
      <c r="F293" s="10"/>
      <c r="G293" s="10">
        <f t="shared" si="7"/>
        <v>0</v>
      </c>
      <c r="H293" s="9"/>
      <c r="I293" s="10">
        <v>1</v>
      </c>
      <c r="J293" s="10">
        <f t="shared" si="6"/>
        <v>0</v>
      </c>
      <c r="K293" s="9">
        <f t="shared" si="8"/>
        <v>0</v>
      </c>
      <c r="L293" s="11" t="s">
        <v>138</v>
      </c>
      <c r="M293" s="11" t="s">
        <v>481</v>
      </c>
      <c r="N293" s="12" t="str">
        <f t="shared" si="9"/>
        <v>|Thorlabs|SPT1CT</v>
      </c>
      <c r="O293" s="12">
        <f t="shared" si="10"/>
        <v>1</v>
      </c>
      <c r="P293" s="12" t="s">
        <v>38</v>
      </c>
      <c r="Q293" s="12"/>
      <c r="R293" s="13" t="s">
        <v>138</v>
      </c>
      <c r="S293" s="13" t="s">
        <v>481</v>
      </c>
      <c r="T293" s="13"/>
      <c r="U293" s="11"/>
      <c r="V293" s="11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  <c r="AO293" s="14"/>
      <c r="AP293" s="14"/>
    </row>
    <row r="294" spans="1:42" ht="22.5" hidden="1" customHeight="1">
      <c r="A294" s="8"/>
      <c r="B294" s="9"/>
      <c r="C294" s="10"/>
      <c r="D294" s="10"/>
      <c r="E294" s="10"/>
      <c r="F294" s="10"/>
      <c r="G294" s="10">
        <f t="shared" si="7"/>
        <v>0</v>
      </c>
      <c r="H294" s="9"/>
      <c r="I294" s="10">
        <v>1</v>
      </c>
      <c r="J294" s="10">
        <f t="shared" si="6"/>
        <v>0</v>
      </c>
      <c r="K294" s="9">
        <f t="shared" si="8"/>
        <v>0</v>
      </c>
      <c r="L294" s="11" t="s">
        <v>138</v>
      </c>
      <c r="M294" s="11" t="s">
        <v>482</v>
      </c>
      <c r="N294" s="12" t="str">
        <f t="shared" si="9"/>
        <v>|Thorlabs|SPT2</v>
      </c>
      <c r="O294" s="12">
        <f t="shared" si="10"/>
        <v>1</v>
      </c>
      <c r="P294" s="12" t="s">
        <v>279</v>
      </c>
      <c r="Q294" s="12" t="s">
        <v>331</v>
      </c>
      <c r="R294" s="13" t="s">
        <v>138</v>
      </c>
      <c r="S294" s="13" t="s">
        <v>482</v>
      </c>
      <c r="T294" s="13"/>
      <c r="U294" s="11"/>
      <c r="V294" s="11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  <c r="AO294" s="14"/>
      <c r="AP294" s="14"/>
    </row>
    <row r="295" spans="1:42" ht="22.5" hidden="1" customHeight="1">
      <c r="A295" s="8"/>
      <c r="B295" s="9"/>
      <c r="C295" s="10"/>
      <c r="D295" s="10"/>
      <c r="E295" s="10"/>
      <c r="F295" s="10"/>
      <c r="G295" s="10">
        <f t="shared" si="7"/>
        <v>0</v>
      </c>
      <c r="H295" s="9"/>
      <c r="I295" s="10">
        <v>1</v>
      </c>
      <c r="J295" s="10">
        <f t="shared" si="6"/>
        <v>0</v>
      </c>
      <c r="K295" s="9">
        <f t="shared" si="8"/>
        <v>0</v>
      </c>
      <c r="L295" s="11" t="s">
        <v>138</v>
      </c>
      <c r="M295" s="11" t="s">
        <v>488</v>
      </c>
      <c r="N295" s="12" t="str">
        <f t="shared" si="9"/>
        <v>|Thorlabs|TCH002</v>
      </c>
      <c r="O295" s="12">
        <f t="shared" si="10"/>
        <v>1</v>
      </c>
      <c r="P295" s="12"/>
      <c r="Q295" s="12"/>
      <c r="R295" s="13" t="s">
        <v>138</v>
      </c>
      <c r="S295" s="13" t="s">
        <v>488</v>
      </c>
      <c r="T295" s="13" t="s">
        <v>489</v>
      </c>
      <c r="U295" s="15" t="s">
        <v>611</v>
      </c>
      <c r="V295" s="11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  <c r="AO295" s="14"/>
      <c r="AP295" s="14"/>
    </row>
    <row r="296" spans="1:42" ht="22.5" hidden="1" customHeight="1">
      <c r="A296" s="8"/>
      <c r="B296" s="9"/>
      <c r="C296" s="10"/>
      <c r="D296" s="10"/>
      <c r="E296" s="10">
        <v>2</v>
      </c>
      <c r="F296" s="10"/>
      <c r="G296" s="10">
        <f t="shared" si="7"/>
        <v>0</v>
      </c>
      <c r="H296" s="9"/>
      <c r="I296" s="10">
        <v>1</v>
      </c>
      <c r="J296" s="10">
        <f t="shared" si="6"/>
        <v>0</v>
      </c>
      <c r="K296" s="9">
        <f t="shared" si="8"/>
        <v>0</v>
      </c>
      <c r="L296" s="11" t="s">
        <v>138</v>
      </c>
      <c r="M296" s="11" t="s">
        <v>491</v>
      </c>
      <c r="N296" s="12" t="str">
        <f t="shared" si="9"/>
        <v>|Thorlabs|TDC001</v>
      </c>
      <c r="O296" s="12">
        <f t="shared" si="10"/>
        <v>1</v>
      </c>
      <c r="P296" s="12" t="s">
        <v>279</v>
      </c>
      <c r="Q296" s="12"/>
      <c r="R296" s="13" t="s">
        <v>138</v>
      </c>
      <c r="S296" s="17" t="s">
        <v>491</v>
      </c>
      <c r="T296" s="13" t="s">
        <v>492</v>
      </c>
      <c r="U296" s="15" t="s">
        <v>612</v>
      </c>
      <c r="V296" s="11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  <c r="AO296" s="14"/>
      <c r="AP296" s="14"/>
    </row>
    <row r="297" spans="1:42" ht="22.5" hidden="1" customHeight="1">
      <c r="A297" s="8"/>
      <c r="B297" s="9"/>
      <c r="C297" s="10"/>
      <c r="D297" s="10"/>
      <c r="E297" s="10"/>
      <c r="F297" s="10"/>
      <c r="G297" s="10">
        <f t="shared" si="7"/>
        <v>0</v>
      </c>
      <c r="H297" s="9"/>
      <c r="I297" s="10">
        <v>1</v>
      </c>
      <c r="J297" s="10">
        <f t="shared" si="6"/>
        <v>0</v>
      </c>
      <c r="K297" s="9">
        <f t="shared" si="8"/>
        <v>0</v>
      </c>
      <c r="L297" s="11" t="s">
        <v>138</v>
      </c>
      <c r="M297" s="11" t="s">
        <v>494</v>
      </c>
      <c r="N297" s="12" t="str">
        <f t="shared" si="9"/>
        <v>|Thorlabs|TH075</v>
      </c>
      <c r="O297" s="12">
        <f t="shared" si="10"/>
        <v>1</v>
      </c>
      <c r="P297" s="12" t="s">
        <v>38</v>
      </c>
      <c r="Q297" s="12" t="s">
        <v>331</v>
      </c>
      <c r="R297" s="13" t="s">
        <v>138</v>
      </c>
      <c r="S297" s="13" t="s">
        <v>494</v>
      </c>
      <c r="T297" s="13"/>
      <c r="U297" s="11"/>
      <c r="V297" s="11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  <c r="AO297" s="14"/>
      <c r="AP297" s="14"/>
    </row>
    <row r="298" spans="1:42" ht="22.5" hidden="1" customHeight="1">
      <c r="A298" s="8"/>
      <c r="B298" s="9"/>
      <c r="C298" s="10"/>
      <c r="D298" s="10"/>
      <c r="E298" s="10"/>
      <c r="F298" s="10"/>
      <c r="G298" s="10">
        <f t="shared" si="7"/>
        <v>0</v>
      </c>
      <c r="H298" s="9"/>
      <c r="I298" s="10">
        <v>1</v>
      </c>
      <c r="J298" s="10">
        <f t="shared" si="6"/>
        <v>0</v>
      </c>
      <c r="K298" s="9">
        <f t="shared" si="8"/>
        <v>0</v>
      </c>
      <c r="L298" s="11" t="s">
        <v>138</v>
      </c>
      <c r="M298" s="11" t="s">
        <v>495</v>
      </c>
      <c r="N298" s="12" t="str">
        <f t="shared" si="9"/>
        <v>|Thorlabs|TL4X-SAP</v>
      </c>
      <c r="O298" s="12">
        <f t="shared" si="10"/>
        <v>1</v>
      </c>
      <c r="P298" s="12" t="s">
        <v>38</v>
      </c>
      <c r="Q298" s="12" t="s">
        <v>81</v>
      </c>
      <c r="R298" s="13" t="s">
        <v>138</v>
      </c>
      <c r="S298" s="13" t="s">
        <v>495</v>
      </c>
      <c r="T298" s="13"/>
      <c r="U298" s="11"/>
      <c r="V298" s="11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  <c r="AO298" s="14"/>
      <c r="AP298" s="14"/>
    </row>
    <row r="299" spans="1:42" ht="22.5" hidden="1" customHeight="1">
      <c r="A299" s="8"/>
      <c r="B299" s="9"/>
      <c r="C299" s="10"/>
      <c r="D299" s="10"/>
      <c r="E299" s="10"/>
      <c r="F299" s="10"/>
      <c r="G299" s="10">
        <f t="shared" si="7"/>
        <v>0</v>
      </c>
      <c r="H299" s="9"/>
      <c r="I299" s="10">
        <v>1</v>
      </c>
      <c r="J299" s="10">
        <f t="shared" si="6"/>
        <v>0</v>
      </c>
      <c r="K299" s="9">
        <f t="shared" si="8"/>
        <v>0</v>
      </c>
      <c r="L299" s="11" t="s">
        <v>138</v>
      </c>
      <c r="M299" s="11" t="s">
        <v>524</v>
      </c>
      <c r="N299" s="12" t="str">
        <f t="shared" si="9"/>
        <v>|Thorlabs|UBP3</v>
      </c>
      <c r="O299" s="12">
        <f t="shared" si="10"/>
        <v>1</v>
      </c>
      <c r="P299" s="12" t="s">
        <v>38</v>
      </c>
      <c r="Q299" s="12" t="s">
        <v>331</v>
      </c>
      <c r="R299" s="13" t="s">
        <v>138</v>
      </c>
      <c r="S299" s="13" t="s">
        <v>524</v>
      </c>
      <c r="T299" s="13"/>
      <c r="U299" s="11"/>
      <c r="V299" s="11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  <c r="AO299" s="14"/>
      <c r="AP299" s="14"/>
    </row>
    <row r="300" spans="1:42" ht="22.5" hidden="1" customHeight="1">
      <c r="A300" s="8"/>
      <c r="B300" s="9"/>
      <c r="C300" s="10"/>
      <c r="D300" s="10"/>
      <c r="E300" s="10"/>
      <c r="F300" s="10"/>
      <c r="G300" s="10">
        <f t="shared" si="7"/>
        <v>0</v>
      </c>
      <c r="H300" s="9"/>
      <c r="I300" s="10">
        <v>1</v>
      </c>
      <c r="J300" s="10">
        <f t="shared" si="6"/>
        <v>0</v>
      </c>
      <c r="K300" s="9">
        <f t="shared" si="8"/>
        <v>0</v>
      </c>
      <c r="L300" s="11" t="s">
        <v>138</v>
      </c>
      <c r="M300" s="11" t="s">
        <v>525</v>
      </c>
      <c r="N300" s="12" t="str">
        <f t="shared" si="9"/>
        <v>|Thorlabs|UPH1</v>
      </c>
      <c r="O300" s="12">
        <f t="shared" si="10"/>
        <v>1</v>
      </c>
      <c r="P300" s="12" t="s">
        <v>38</v>
      </c>
      <c r="Q300" s="12" t="s">
        <v>331</v>
      </c>
      <c r="R300" s="13" t="s">
        <v>138</v>
      </c>
      <c r="S300" s="13" t="s">
        <v>525</v>
      </c>
      <c r="T300" s="13"/>
      <c r="U300" s="11"/>
      <c r="V300" s="11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  <c r="AO300" s="14"/>
      <c r="AP300" s="14"/>
    </row>
    <row r="301" spans="1:42" ht="22.5" hidden="1" customHeight="1">
      <c r="A301" s="8"/>
      <c r="B301" s="9"/>
      <c r="C301" s="10"/>
      <c r="D301" s="10"/>
      <c r="E301" s="10">
        <v>1</v>
      </c>
      <c r="F301" s="10"/>
      <c r="G301" s="10">
        <f t="shared" si="7"/>
        <v>0</v>
      </c>
      <c r="H301" s="9"/>
      <c r="I301" s="10">
        <v>1</v>
      </c>
      <c r="J301" s="10">
        <f t="shared" si="6"/>
        <v>0</v>
      </c>
      <c r="K301" s="9">
        <f t="shared" si="8"/>
        <v>0</v>
      </c>
      <c r="L301" s="11" t="s">
        <v>138</v>
      </c>
      <c r="M301" s="11" t="s">
        <v>527</v>
      </c>
      <c r="N301" s="12" t="str">
        <f t="shared" si="9"/>
        <v>|Thorlabs|UPHA</v>
      </c>
      <c r="O301" s="12">
        <f t="shared" si="10"/>
        <v>1</v>
      </c>
      <c r="P301" s="12" t="s">
        <v>38</v>
      </c>
      <c r="Q301" s="12"/>
      <c r="R301" s="13" t="s">
        <v>138</v>
      </c>
      <c r="S301" s="13" t="s">
        <v>527</v>
      </c>
      <c r="T301" s="13" t="s">
        <v>528</v>
      </c>
      <c r="U301" s="15" t="s">
        <v>529</v>
      </c>
      <c r="V301" s="11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  <c r="AO301" s="14"/>
      <c r="AP301" s="14"/>
    </row>
    <row r="302" spans="1:42" ht="22.5" hidden="1" customHeight="1">
      <c r="A302" s="8"/>
      <c r="B302" s="9"/>
      <c r="C302" s="10"/>
      <c r="D302" s="10"/>
      <c r="E302" s="10"/>
      <c r="F302" s="10"/>
      <c r="G302" s="10">
        <f t="shared" si="7"/>
        <v>0</v>
      </c>
      <c r="H302" s="9"/>
      <c r="I302" s="10">
        <v>1</v>
      </c>
      <c r="J302" s="10">
        <f t="shared" si="6"/>
        <v>0</v>
      </c>
      <c r="K302" s="9">
        <f t="shared" si="8"/>
        <v>0</v>
      </c>
      <c r="L302" s="11" t="s">
        <v>138</v>
      </c>
      <c r="M302" s="11" t="s">
        <v>536</v>
      </c>
      <c r="N302" s="12" t="str">
        <f t="shared" si="9"/>
        <v>|Thorlabs|XT66-500</v>
      </c>
      <c r="O302" s="12">
        <f t="shared" si="10"/>
        <v>1</v>
      </c>
      <c r="P302" s="12" t="s">
        <v>38</v>
      </c>
      <c r="Q302" s="12"/>
      <c r="R302" s="13" t="s">
        <v>138</v>
      </c>
      <c r="S302" s="13" t="s">
        <v>536</v>
      </c>
      <c r="T302" s="13"/>
      <c r="U302" s="11"/>
      <c r="V302" s="11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  <c r="AO302" s="14"/>
      <c r="AP302" s="14"/>
    </row>
    <row r="303" spans="1:42" ht="22.5" hidden="1" customHeight="1">
      <c r="A303" s="8"/>
      <c r="B303" s="9"/>
      <c r="C303" s="10"/>
      <c r="D303" s="10"/>
      <c r="E303" s="10"/>
      <c r="F303" s="10"/>
      <c r="G303" s="10">
        <f t="shared" si="7"/>
        <v>0</v>
      </c>
      <c r="H303" s="9"/>
      <c r="I303" s="10">
        <v>1</v>
      </c>
      <c r="J303" s="10">
        <f t="shared" si="6"/>
        <v>0</v>
      </c>
      <c r="K303" s="9">
        <f t="shared" si="8"/>
        <v>0</v>
      </c>
      <c r="L303" s="11" t="s">
        <v>138</v>
      </c>
      <c r="M303" s="11" t="s">
        <v>537</v>
      </c>
      <c r="N303" s="12" t="str">
        <f t="shared" si="9"/>
        <v>|Thorlabs|XT66P1</v>
      </c>
      <c r="O303" s="12">
        <f t="shared" si="10"/>
        <v>1</v>
      </c>
      <c r="P303" s="12" t="s">
        <v>38</v>
      </c>
      <c r="Q303" s="12"/>
      <c r="R303" s="13" t="s">
        <v>138</v>
      </c>
      <c r="S303" s="13" t="s">
        <v>537</v>
      </c>
      <c r="T303" s="13"/>
      <c r="U303" s="11"/>
      <c r="V303" s="11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  <c r="AO303" s="14"/>
      <c r="AP303" s="14"/>
    </row>
    <row r="304" spans="1:42" ht="22.5" hidden="1" customHeight="1">
      <c r="A304" s="8"/>
      <c r="B304" s="9"/>
      <c r="C304" s="10">
        <v>2</v>
      </c>
      <c r="D304" s="10"/>
      <c r="E304" s="10">
        <v>2</v>
      </c>
      <c r="F304" s="10"/>
      <c r="G304" s="10">
        <f t="shared" si="7"/>
        <v>0</v>
      </c>
      <c r="H304" s="9"/>
      <c r="I304" s="10">
        <v>1</v>
      </c>
      <c r="J304" s="10">
        <f t="shared" si="6"/>
        <v>0</v>
      </c>
      <c r="K304" s="9">
        <f t="shared" si="8"/>
        <v>0</v>
      </c>
      <c r="L304" s="11" t="s">
        <v>541</v>
      </c>
      <c r="M304" s="11" t="s">
        <v>542</v>
      </c>
      <c r="N304" s="12" t="str">
        <f t="shared" si="9"/>
        <v>|Ximea|CB024CG-GP-X8G3</v>
      </c>
      <c r="O304" s="12">
        <f t="shared" si="10"/>
        <v>1</v>
      </c>
      <c r="P304" s="12"/>
      <c r="Q304" s="12"/>
      <c r="R304" s="13"/>
      <c r="S304" s="13"/>
      <c r="T304" s="13" t="s">
        <v>543</v>
      </c>
      <c r="U304" s="16" t="s">
        <v>544</v>
      </c>
      <c r="V304" s="11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  <c r="AO304" s="14"/>
      <c r="AP304" s="14"/>
    </row>
    <row r="305" spans="1:42" ht="22.5" hidden="1" customHeight="1">
      <c r="A305" s="8"/>
      <c r="B305" s="9"/>
      <c r="C305" s="10">
        <v>2</v>
      </c>
      <c r="D305" s="10"/>
      <c r="E305" s="10">
        <v>2</v>
      </c>
      <c r="F305" s="10"/>
      <c r="G305" s="10">
        <f t="shared" si="7"/>
        <v>0</v>
      </c>
      <c r="H305" s="9"/>
      <c r="I305" s="10">
        <v>1</v>
      </c>
      <c r="J305" s="10">
        <f t="shared" si="6"/>
        <v>0</v>
      </c>
      <c r="K305" s="9">
        <f t="shared" si="8"/>
        <v>0</v>
      </c>
      <c r="L305" s="9" t="s">
        <v>541</v>
      </c>
      <c r="M305" s="11" t="s">
        <v>545</v>
      </c>
      <c r="N305" s="12" t="str">
        <f t="shared" si="9"/>
        <v>|Ximea|CB209MG-GP-X8G3</v>
      </c>
      <c r="O305" s="12">
        <f t="shared" si="10"/>
        <v>1</v>
      </c>
      <c r="P305" s="12"/>
      <c r="Q305" s="12"/>
      <c r="R305" s="13"/>
      <c r="S305" s="13"/>
      <c r="T305" s="13"/>
      <c r="U305" s="11"/>
      <c r="V305" s="11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  <c r="AO305" s="14"/>
      <c r="AP305" s="14"/>
    </row>
    <row r="306" spans="1:42" ht="13">
      <c r="A306" s="38"/>
      <c r="B306" s="14"/>
      <c r="C306" s="38"/>
      <c r="D306" s="38"/>
      <c r="E306" s="38"/>
      <c r="F306" s="38"/>
      <c r="G306" s="38"/>
      <c r="H306" s="14"/>
      <c r="I306" s="38"/>
      <c r="J306" s="38"/>
      <c r="K306" s="14"/>
      <c r="L306" s="14"/>
      <c r="M306" s="14"/>
      <c r="N306" s="39"/>
      <c r="O306" s="39"/>
      <c r="P306" s="39"/>
      <c r="Q306" s="39"/>
      <c r="R306" s="39"/>
      <c r="S306" s="39"/>
      <c r="T306" s="39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  <c r="AO306" s="14"/>
      <c r="AP306" s="14"/>
    </row>
    <row r="307" spans="1:42" ht="13">
      <c r="A307" s="38"/>
      <c r="B307" s="14"/>
      <c r="C307" s="38"/>
      <c r="D307" s="38"/>
      <c r="E307" s="38"/>
      <c r="F307" s="38"/>
      <c r="G307" s="38"/>
      <c r="H307" s="14"/>
      <c r="I307" s="38"/>
      <c r="J307" s="38"/>
      <c r="K307" s="14"/>
      <c r="L307" s="14"/>
      <c r="M307" s="14"/>
      <c r="N307" s="39"/>
      <c r="O307" s="39"/>
      <c r="P307" s="39"/>
      <c r="Q307" s="39"/>
      <c r="R307" s="39"/>
      <c r="S307" s="39"/>
      <c r="T307" s="39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  <c r="AO307" s="14"/>
      <c r="AP307" s="14"/>
    </row>
    <row r="308" spans="1:42" ht="13">
      <c r="A308" s="38"/>
      <c r="B308" s="14"/>
      <c r="C308" s="38"/>
      <c r="D308" s="38"/>
      <c r="E308" s="38"/>
      <c r="F308" s="38"/>
      <c r="G308" s="38"/>
      <c r="H308" s="14"/>
      <c r="I308" s="38"/>
      <c r="J308" s="38"/>
      <c r="K308" s="14"/>
      <c r="L308" s="14"/>
      <c r="M308" s="14"/>
      <c r="N308" s="39"/>
      <c r="O308" s="39"/>
      <c r="P308" s="39"/>
      <c r="Q308" s="39"/>
      <c r="R308" s="39"/>
      <c r="S308" s="39"/>
      <c r="T308" s="39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  <c r="AO308" s="14"/>
      <c r="AP308" s="14"/>
    </row>
    <row r="309" spans="1:42" ht="13">
      <c r="A309" s="38"/>
      <c r="B309" s="14"/>
      <c r="C309" s="38"/>
      <c r="D309" s="38"/>
      <c r="E309" s="38"/>
      <c r="F309" s="38"/>
      <c r="G309" s="38"/>
      <c r="H309" s="14"/>
      <c r="I309" s="38"/>
      <c r="J309" s="38"/>
      <c r="K309" s="14"/>
      <c r="L309" s="14"/>
      <c r="M309" s="14"/>
      <c r="N309" s="39"/>
      <c r="O309" s="39"/>
      <c r="P309" s="39"/>
      <c r="Q309" s="39"/>
      <c r="R309" s="39"/>
      <c r="S309" s="39"/>
      <c r="T309" s="39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  <c r="AO309" s="14"/>
      <c r="AP309" s="14"/>
    </row>
    <row r="310" spans="1:42" ht="13">
      <c r="A310" s="38"/>
      <c r="B310" s="14"/>
      <c r="C310" s="38"/>
      <c r="D310" s="38"/>
      <c r="E310" s="38"/>
      <c r="F310" s="38"/>
      <c r="G310" s="38"/>
      <c r="H310" s="14"/>
      <c r="I310" s="38"/>
      <c r="J310" s="38"/>
      <c r="K310" s="14"/>
      <c r="L310" s="14"/>
      <c r="M310" s="14"/>
      <c r="N310" s="39"/>
      <c r="O310" s="39"/>
      <c r="P310" s="39"/>
      <c r="Q310" s="39"/>
      <c r="R310" s="39"/>
      <c r="S310" s="39"/>
      <c r="T310" s="39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  <c r="AO310" s="14"/>
      <c r="AP310" s="14"/>
    </row>
    <row r="311" spans="1:42" ht="13">
      <c r="A311" s="38"/>
      <c r="B311" s="14"/>
      <c r="C311" s="38"/>
      <c r="D311" s="38"/>
      <c r="E311" s="38"/>
      <c r="F311" s="38"/>
      <c r="G311" s="38"/>
      <c r="H311" s="14"/>
      <c r="I311" s="38"/>
      <c r="J311" s="38"/>
      <c r="K311" s="14"/>
      <c r="L311" s="14"/>
      <c r="M311" s="14"/>
      <c r="N311" s="39"/>
      <c r="O311" s="39"/>
      <c r="P311" s="39"/>
      <c r="Q311" s="39"/>
      <c r="R311" s="39"/>
      <c r="S311" s="39"/>
      <c r="T311" s="39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  <c r="AO311" s="14"/>
      <c r="AP311" s="14"/>
    </row>
    <row r="312" spans="1:42" ht="13">
      <c r="A312" s="38"/>
      <c r="B312" s="14"/>
      <c r="C312" s="38"/>
      <c r="D312" s="38"/>
      <c r="E312" s="38"/>
      <c r="F312" s="38"/>
      <c r="G312" s="38"/>
      <c r="H312" s="14"/>
      <c r="I312" s="38"/>
      <c r="J312" s="38"/>
      <c r="K312" s="14"/>
      <c r="L312" s="14"/>
      <c r="M312" s="14"/>
      <c r="N312" s="39"/>
      <c r="O312" s="39"/>
      <c r="P312" s="39"/>
      <c r="Q312" s="39"/>
      <c r="R312" s="39"/>
      <c r="S312" s="39"/>
      <c r="T312" s="39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  <c r="AO312" s="14"/>
      <c r="AP312" s="14"/>
    </row>
    <row r="313" spans="1:42" ht="13">
      <c r="A313" s="38"/>
      <c r="B313" s="14"/>
      <c r="C313" s="38"/>
      <c r="D313" s="38"/>
      <c r="E313" s="38"/>
      <c r="F313" s="38"/>
      <c r="G313" s="38"/>
      <c r="H313" s="14"/>
      <c r="I313" s="38"/>
      <c r="J313" s="38"/>
      <c r="K313" s="14"/>
      <c r="L313" s="14"/>
      <c r="M313" s="14"/>
      <c r="N313" s="39"/>
      <c r="O313" s="39"/>
      <c r="P313" s="39"/>
      <c r="Q313" s="39"/>
      <c r="R313" s="39"/>
      <c r="S313" s="39"/>
      <c r="T313" s="39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  <c r="AO313" s="14"/>
      <c r="AP313" s="14"/>
    </row>
    <row r="314" spans="1:42" ht="13">
      <c r="A314" s="38"/>
      <c r="B314" s="14"/>
      <c r="C314" s="38"/>
      <c r="D314" s="38"/>
      <c r="E314" s="38"/>
      <c r="F314" s="38"/>
      <c r="G314" s="38"/>
      <c r="H314" s="14"/>
      <c r="I314" s="38"/>
      <c r="J314" s="38"/>
      <c r="K314" s="14"/>
      <c r="L314" s="14"/>
      <c r="M314" s="14"/>
      <c r="N314" s="39"/>
      <c r="O314" s="39"/>
      <c r="P314" s="39"/>
      <c r="Q314" s="39"/>
      <c r="R314" s="39"/>
      <c r="S314" s="39"/>
      <c r="T314" s="39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  <c r="AO314" s="14"/>
      <c r="AP314" s="14"/>
    </row>
    <row r="315" spans="1:42" ht="13">
      <c r="A315" s="38"/>
      <c r="B315" s="14"/>
      <c r="C315" s="38"/>
      <c r="D315" s="38"/>
      <c r="E315" s="38"/>
      <c r="F315" s="38"/>
      <c r="G315" s="38"/>
      <c r="H315" s="14"/>
      <c r="I315" s="38"/>
      <c r="J315" s="38"/>
      <c r="K315" s="14"/>
      <c r="L315" s="14"/>
      <c r="M315" s="14"/>
      <c r="N315" s="39"/>
      <c r="O315" s="39"/>
      <c r="P315" s="39"/>
      <c r="Q315" s="39"/>
      <c r="R315" s="39"/>
      <c r="S315" s="39"/>
      <c r="T315" s="39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  <c r="AO315" s="14"/>
      <c r="AP315" s="14"/>
    </row>
    <row r="316" spans="1:42" ht="13">
      <c r="A316" s="38"/>
      <c r="B316" s="14"/>
      <c r="C316" s="38"/>
      <c r="D316" s="38"/>
      <c r="E316" s="38"/>
      <c r="F316" s="38"/>
      <c r="G316" s="38"/>
      <c r="H316" s="14"/>
      <c r="I316" s="38"/>
      <c r="J316" s="38"/>
      <c r="K316" s="14"/>
      <c r="L316" s="14"/>
      <c r="M316" s="14"/>
      <c r="N316" s="39"/>
      <c r="O316" s="39"/>
      <c r="P316" s="39"/>
      <c r="Q316" s="39"/>
      <c r="R316" s="39"/>
      <c r="S316" s="39"/>
      <c r="T316" s="39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  <c r="AO316" s="14"/>
      <c r="AP316" s="14"/>
    </row>
    <row r="317" spans="1:42" ht="13">
      <c r="A317" s="38"/>
      <c r="B317" s="14"/>
      <c r="C317" s="38"/>
      <c r="D317" s="38"/>
      <c r="E317" s="38"/>
      <c r="F317" s="38"/>
      <c r="G317" s="38"/>
      <c r="H317" s="14"/>
      <c r="I317" s="38"/>
      <c r="J317" s="38"/>
      <c r="K317" s="14"/>
      <c r="L317" s="14"/>
      <c r="M317" s="14"/>
      <c r="N317" s="39"/>
      <c r="O317" s="39"/>
      <c r="P317" s="39"/>
      <c r="Q317" s="39"/>
      <c r="R317" s="39"/>
      <c r="S317" s="39"/>
      <c r="T317" s="39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  <c r="AO317" s="14"/>
      <c r="AP317" s="14"/>
    </row>
    <row r="318" spans="1:42" ht="13">
      <c r="A318" s="38"/>
      <c r="B318" s="14"/>
      <c r="C318" s="38"/>
      <c r="D318" s="38"/>
      <c r="E318" s="38"/>
      <c r="F318" s="38"/>
      <c r="G318" s="38"/>
      <c r="H318" s="14"/>
      <c r="I318" s="38"/>
      <c r="J318" s="38"/>
      <c r="K318" s="14"/>
      <c r="L318" s="14"/>
      <c r="M318" s="14"/>
      <c r="N318" s="39"/>
      <c r="O318" s="39"/>
      <c r="P318" s="39"/>
      <c r="Q318" s="39"/>
      <c r="R318" s="39"/>
      <c r="S318" s="39"/>
      <c r="T318" s="39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  <c r="AO318" s="14"/>
      <c r="AP318" s="14"/>
    </row>
    <row r="319" spans="1:42" ht="13">
      <c r="A319" s="38"/>
      <c r="B319" s="14"/>
      <c r="C319" s="38"/>
      <c r="D319" s="38"/>
      <c r="E319" s="38"/>
      <c r="F319" s="38"/>
      <c r="G319" s="38"/>
      <c r="H319" s="14"/>
      <c r="I319" s="38"/>
      <c r="J319" s="38"/>
      <c r="K319" s="14"/>
      <c r="L319" s="14"/>
      <c r="M319" s="14"/>
      <c r="N319" s="39"/>
      <c r="O319" s="39"/>
      <c r="P319" s="39"/>
      <c r="Q319" s="39"/>
      <c r="R319" s="39"/>
      <c r="S319" s="39"/>
      <c r="T319" s="39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  <c r="AO319" s="14"/>
      <c r="AP319" s="14"/>
    </row>
    <row r="320" spans="1:42" ht="13">
      <c r="A320" s="38"/>
      <c r="B320" s="14"/>
      <c r="C320" s="38"/>
      <c r="D320" s="38"/>
      <c r="E320" s="38"/>
      <c r="F320" s="38"/>
      <c r="G320" s="38"/>
      <c r="H320" s="14"/>
      <c r="I320" s="38"/>
      <c r="J320" s="38"/>
      <c r="K320" s="14"/>
      <c r="L320" s="14"/>
      <c r="M320" s="14"/>
      <c r="N320" s="39"/>
      <c r="O320" s="39"/>
      <c r="P320" s="39"/>
      <c r="Q320" s="39"/>
      <c r="R320" s="39"/>
      <c r="S320" s="39"/>
      <c r="T320" s="39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  <c r="AO320" s="14"/>
      <c r="AP320" s="14"/>
    </row>
    <row r="321" spans="1:42" ht="13">
      <c r="A321" s="38"/>
      <c r="B321" s="14"/>
      <c r="C321" s="38"/>
      <c r="D321" s="38"/>
      <c r="E321" s="38"/>
      <c r="F321" s="38"/>
      <c r="G321" s="38"/>
      <c r="H321" s="14"/>
      <c r="I321" s="38"/>
      <c r="J321" s="38"/>
      <c r="K321" s="14"/>
      <c r="L321" s="14"/>
      <c r="M321" s="14"/>
      <c r="N321" s="39"/>
      <c r="O321" s="39"/>
      <c r="P321" s="39"/>
      <c r="Q321" s="39"/>
      <c r="R321" s="39"/>
      <c r="S321" s="39"/>
      <c r="T321" s="39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  <c r="AO321" s="14"/>
      <c r="AP321" s="14"/>
    </row>
    <row r="322" spans="1:42" ht="13">
      <c r="A322" s="38"/>
      <c r="B322" s="14"/>
      <c r="C322" s="38"/>
      <c r="D322" s="38"/>
      <c r="E322" s="38"/>
      <c r="F322" s="38"/>
      <c r="G322" s="38"/>
      <c r="H322" s="14"/>
      <c r="I322" s="38"/>
      <c r="J322" s="38"/>
      <c r="K322" s="14"/>
      <c r="L322" s="14"/>
      <c r="M322" s="14"/>
      <c r="N322" s="39"/>
      <c r="O322" s="39"/>
      <c r="P322" s="39"/>
      <c r="Q322" s="39"/>
      <c r="R322" s="39"/>
      <c r="S322" s="39"/>
      <c r="T322" s="39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  <c r="AO322" s="14"/>
      <c r="AP322" s="14"/>
    </row>
    <row r="323" spans="1:42" ht="13">
      <c r="A323" s="38"/>
      <c r="B323" s="14"/>
      <c r="C323" s="38"/>
      <c r="D323" s="38"/>
      <c r="E323" s="38"/>
      <c r="F323" s="38"/>
      <c r="G323" s="38"/>
      <c r="H323" s="14"/>
      <c r="I323" s="38"/>
      <c r="J323" s="38"/>
      <c r="K323" s="14"/>
      <c r="L323" s="14"/>
      <c r="M323" s="14"/>
      <c r="N323" s="39"/>
      <c r="O323" s="39"/>
      <c r="P323" s="39"/>
      <c r="Q323" s="39"/>
      <c r="R323" s="39"/>
      <c r="S323" s="39"/>
      <c r="T323" s="39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  <c r="AO323" s="14"/>
      <c r="AP323" s="14"/>
    </row>
    <row r="324" spans="1:42" ht="13">
      <c r="A324" s="38"/>
      <c r="B324" s="14"/>
      <c r="C324" s="38"/>
      <c r="D324" s="38"/>
      <c r="E324" s="38"/>
      <c r="F324" s="38"/>
      <c r="G324" s="38"/>
      <c r="H324" s="14"/>
      <c r="I324" s="38"/>
      <c r="J324" s="38"/>
      <c r="K324" s="14"/>
      <c r="L324" s="14"/>
      <c r="M324" s="14"/>
      <c r="N324" s="39"/>
      <c r="O324" s="39"/>
      <c r="P324" s="39"/>
      <c r="Q324" s="39"/>
      <c r="R324" s="39"/>
      <c r="S324" s="39"/>
      <c r="T324" s="39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  <c r="AO324" s="14"/>
      <c r="AP324" s="14"/>
    </row>
    <row r="325" spans="1:42" ht="13">
      <c r="A325" s="38"/>
      <c r="B325" s="14"/>
      <c r="C325" s="38"/>
      <c r="D325" s="38"/>
      <c r="E325" s="38"/>
      <c r="F325" s="38"/>
      <c r="G325" s="38"/>
      <c r="H325" s="14"/>
      <c r="I325" s="38"/>
      <c r="J325" s="38"/>
      <c r="K325" s="14"/>
      <c r="L325" s="14"/>
      <c r="M325" s="14"/>
      <c r="N325" s="39"/>
      <c r="O325" s="39"/>
      <c r="P325" s="39"/>
      <c r="Q325" s="39"/>
      <c r="R325" s="39"/>
      <c r="S325" s="39"/>
      <c r="T325" s="39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  <c r="AO325" s="14"/>
      <c r="AP325" s="14"/>
    </row>
    <row r="326" spans="1:42" ht="13">
      <c r="A326" s="38"/>
      <c r="B326" s="14"/>
      <c r="C326" s="38"/>
      <c r="D326" s="38"/>
      <c r="E326" s="38"/>
      <c r="F326" s="38"/>
      <c r="G326" s="38"/>
      <c r="H326" s="14"/>
      <c r="I326" s="38"/>
      <c r="J326" s="38"/>
      <c r="K326" s="14"/>
      <c r="L326" s="14"/>
      <c r="M326" s="14"/>
      <c r="N326" s="39"/>
      <c r="O326" s="39"/>
      <c r="P326" s="39"/>
      <c r="Q326" s="39"/>
      <c r="R326" s="39"/>
      <c r="S326" s="39"/>
      <c r="T326" s="39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  <c r="AO326" s="14"/>
      <c r="AP326" s="14"/>
    </row>
    <row r="327" spans="1:42" ht="13">
      <c r="A327" s="38"/>
      <c r="B327" s="14"/>
      <c r="C327" s="38"/>
      <c r="D327" s="38"/>
      <c r="E327" s="38"/>
      <c r="F327" s="38"/>
      <c r="G327" s="38"/>
      <c r="H327" s="14"/>
      <c r="I327" s="38"/>
      <c r="J327" s="38"/>
      <c r="K327" s="14"/>
      <c r="L327" s="14"/>
      <c r="M327" s="14"/>
      <c r="N327" s="39"/>
      <c r="O327" s="39"/>
      <c r="P327" s="39"/>
      <c r="Q327" s="39"/>
      <c r="R327" s="39"/>
      <c r="S327" s="39"/>
      <c r="T327" s="39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  <c r="AO327" s="14"/>
      <c r="AP327" s="14"/>
    </row>
    <row r="328" spans="1:42" ht="13">
      <c r="A328" s="38"/>
      <c r="B328" s="14"/>
      <c r="C328" s="38"/>
      <c r="D328" s="38"/>
      <c r="E328" s="38"/>
      <c r="F328" s="38"/>
      <c r="G328" s="38"/>
      <c r="H328" s="14"/>
      <c r="I328" s="38"/>
      <c r="J328" s="38"/>
      <c r="K328" s="14"/>
      <c r="L328" s="14"/>
      <c r="M328" s="14"/>
      <c r="N328" s="39"/>
      <c r="O328" s="39"/>
      <c r="P328" s="39"/>
      <c r="Q328" s="39"/>
      <c r="R328" s="39"/>
      <c r="S328" s="39"/>
      <c r="T328" s="39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  <c r="AO328" s="14"/>
      <c r="AP328" s="14"/>
    </row>
    <row r="329" spans="1:42" ht="13">
      <c r="A329" s="38"/>
      <c r="B329" s="14"/>
      <c r="C329" s="38"/>
      <c r="D329" s="38"/>
      <c r="E329" s="38"/>
      <c r="F329" s="38"/>
      <c r="G329" s="38"/>
      <c r="H329" s="14"/>
      <c r="I329" s="38"/>
      <c r="J329" s="38"/>
      <c r="K329" s="14"/>
      <c r="L329" s="14"/>
      <c r="M329" s="14"/>
      <c r="N329" s="39"/>
      <c r="O329" s="39"/>
      <c r="P329" s="39"/>
      <c r="Q329" s="39"/>
      <c r="R329" s="39"/>
      <c r="S329" s="39"/>
      <c r="T329" s="39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  <c r="AO329" s="14"/>
      <c r="AP329" s="14"/>
    </row>
    <row r="330" spans="1:42" ht="13">
      <c r="A330" s="38"/>
      <c r="B330" s="14"/>
      <c r="C330" s="38"/>
      <c r="D330" s="38"/>
      <c r="E330" s="38"/>
      <c r="F330" s="38"/>
      <c r="G330" s="38"/>
      <c r="H330" s="14"/>
      <c r="I330" s="38"/>
      <c r="J330" s="38"/>
      <c r="K330" s="14"/>
      <c r="L330" s="14"/>
      <c r="M330" s="14"/>
      <c r="N330" s="39"/>
      <c r="O330" s="39"/>
      <c r="P330" s="39"/>
      <c r="Q330" s="39"/>
      <c r="R330" s="39"/>
      <c r="S330" s="39"/>
      <c r="T330" s="39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  <c r="AO330" s="14"/>
      <c r="AP330" s="14"/>
    </row>
    <row r="331" spans="1:42" ht="13">
      <c r="A331" s="38"/>
      <c r="B331" s="14"/>
      <c r="C331" s="38"/>
      <c r="D331" s="38"/>
      <c r="E331" s="38"/>
      <c r="F331" s="38"/>
      <c r="G331" s="38"/>
      <c r="H331" s="14"/>
      <c r="I331" s="38"/>
      <c r="J331" s="38"/>
      <c r="K331" s="14"/>
      <c r="L331" s="14"/>
      <c r="M331" s="14"/>
      <c r="N331" s="39"/>
      <c r="O331" s="39"/>
      <c r="P331" s="39"/>
      <c r="Q331" s="39"/>
      <c r="R331" s="39"/>
      <c r="S331" s="39"/>
      <c r="T331" s="39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  <c r="AO331" s="14"/>
      <c r="AP331" s="14"/>
    </row>
    <row r="332" spans="1:42" ht="13">
      <c r="A332" s="38"/>
      <c r="B332" s="14"/>
      <c r="C332" s="38"/>
      <c r="D332" s="38"/>
      <c r="E332" s="38"/>
      <c r="F332" s="38"/>
      <c r="G332" s="38"/>
      <c r="H332" s="14"/>
      <c r="I332" s="38"/>
      <c r="J332" s="38"/>
      <c r="K332" s="14"/>
      <c r="L332" s="14"/>
      <c r="M332" s="14"/>
      <c r="N332" s="39"/>
      <c r="O332" s="39"/>
      <c r="P332" s="39"/>
      <c r="Q332" s="39"/>
      <c r="R332" s="39"/>
      <c r="S332" s="39"/>
      <c r="T332" s="39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  <c r="AO332" s="14"/>
      <c r="AP332" s="14"/>
    </row>
    <row r="333" spans="1:42" ht="13">
      <c r="A333" s="38"/>
      <c r="B333" s="14"/>
      <c r="C333" s="38"/>
      <c r="D333" s="38"/>
      <c r="E333" s="38"/>
      <c r="F333" s="38"/>
      <c r="G333" s="38"/>
      <c r="H333" s="14"/>
      <c r="I333" s="38"/>
      <c r="J333" s="38"/>
      <c r="K333" s="14"/>
      <c r="L333" s="14"/>
      <c r="M333" s="14"/>
      <c r="N333" s="39"/>
      <c r="O333" s="39"/>
      <c r="P333" s="39"/>
      <c r="Q333" s="39"/>
      <c r="R333" s="39"/>
      <c r="S333" s="39"/>
      <c r="T333" s="39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  <c r="AO333" s="14"/>
      <c r="AP333" s="14"/>
    </row>
    <row r="334" spans="1:42" ht="13">
      <c r="A334" s="38"/>
      <c r="B334" s="14"/>
      <c r="C334" s="38"/>
      <c r="D334" s="38"/>
      <c r="E334" s="38"/>
      <c r="F334" s="38"/>
      <c r="G334" s="38"/>
      <c r="H334" s="14"/>
      <c r="I334" s="38"/>
      <c r="J334" s="38"/>
      <c r="K334" s="14"/>
      <c r="L334" s="14"/>
      <c r="M334" s="14"/>
      <c r="N334" s="39"/>
      <c r="O334" s="39"/>
      <c r="P334" s="39"/>
      <c r="Q334" s="39"/>
      <c r="R334" s="39"/>
      <c r="S334" s="39"/>
      <c r="T334" s="39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  <c r="AO334" s="14"/>
      <c r="AP334" s="14"/>
    </row>
    <row r="335" spans="1:42" ht="13">
      <c r="A335" s="38"/>
      <c r="B335" s="14"/>
      <c r="C335" s="38"/>
      <c r="D335" s="38"/>
      <c r="E335" s="38"/>
      <c r="F335" s="38"/>
      <c r="G335" s="38"/>
      <c r="H335" s="14"/>
      <c r="I335" s="38"/>
      <c r="J335" s="38"/>
      <c r="K335" s="14"/>
      <c r="L335" s="14"/>
      <c r="M335" s="14"/>
      <c r="N335" s="39"/>
      <c r="O335" s="39"/>
      <c r="P335" s="39"/>
      <c r="Q335" s="39"/>
      <c r="R335" s="39"/>
      <c r="S335" s="39"/>
      <c r="T335" s="39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  <c r="AO335" s="14"/>
      <c r="AP335" s="14"/>
    </row>
    <row r="336" spans="1:42" ht="13">
      <c r="A336" s="38"/>
      <c r="B336" s="14"/>
      <c r="C336" s="38"/>
      <c r="D336" s="38"/>
      <c r="E336" s="38"/>
      <c r="F336" s="38"/>
      <c r="G336" s="38"/>
      <c r="H336" s="14"/>
      <c r="I336" s="38"/>
      <c r="J336" s="38"/>
      <c r="K336" s="14"/>
      <c r="L336" s="14"/>
      <c r="M336" s="14"/>
      <c r="N336" s="39"/>
      <c r="O336" s="39"/>
      <c r="P336" s="39"/>
      <c r="Q336" s="39"/>
      <c r="R336" s="39"/>
      <c r="S336" s="39"/>
      <c r="T336" s="39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  <c r="AO336" s="14"/>
      <c r="AP336" s="14"/>
    </row>
    <row r="337" spans="1:42" ht="13">
      <c r="A337" s="38"/>
      <c r="B337" s="14"/>
      <c r="C337" s="38"/>
      <c r="D337" s="38"/>
      <c r="E337" s="38"/>
      <c r="F337" s="38"/>
      <c r="G337" s="38"/>
      <c r="H337" s="14"/>
      <c r="I337" s="38"/>
      <c r="J337" s="38"/>
      <c r="K337" s="14"/>
      <c r="L337" s="14"/>
      <c r="M337" s="14"/>
      <c r="N337" s="39"/>
      <c r="O337" s="39"/>
      <c r="P337" s="39"/>
      <c r="Q337" s="39"/>
      <c r="R337" s="39"/>
      <c r="S337" s="39"/>
      <c r="T337" s="39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  <c r="AO337" s="14"/>
      <c r="AP337" s="14"/>
    </row>
    <row r="338" spans="1:42" ht="13">
      <c r="A338" s="38"/>
      <c r="B338" s="14"/>
      <c r="C338" s="38"/>
      <c r="D338" s="38"/>
      <c r="E338" s="38"/>
      <c r="F338" s="38"/>
      <c r="G338" s="38"/>
      <c r="H338" s="14"/>
      <c r="I338" s="38"/>
      <c r="J338" s="38"/>
      <c r="K338" s="14"/>
      <c r="L338" s="14"/>
      <c r="M338" s="14"/>
      <c r="N338" s="39"/>
      <c r="O338" s="39"/>
      <c r="P338" s="39"/>
      <c r="Q338" s="39"/>
      <c r="R338" s="39"/>
      <c r="S338" s="39"/>
      <c r="T338" s="39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  <c r="AO338" s="14"/>
      <c r="AP338" s="14"/>
    </row>
    <row r="339" spans="1:42" ht="13">
      <c r="A339" s="38"/>
      <c r="B339" s="14"/>
      <c r="C339" s="38"/>
      <c r="D339" s="38"/>
      <c r="E339" s="38"/>
      <c r="F339" s="38"/>
      <c r="G339" s="38"/>
      <c r="H339" s="14"/>
      <c r="I339" s="38"/>
      <c r="J339" s="38"/>
      <c r="K339" s="14"/>
      <c r="L339" s="14"/>
      <c r="M339" s="14"/>
      <c r="N339" s="39"/>
      <c r="O339" s="39"/>
      <c r="P339" s="39"/>
      <c r="Q339" s="39"/>
      <c r="R339" s="39"/>
      <c r="S339" s="39"/>
      <c r="T339" s="39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  <c r="AO339" s="14"/>
      <c r="AP339" s="14"/>
    </row>
    <row r="340" spans="1:42" ht="13">
      <c r="A340" s="38"/>
      <c r="B340" s="14"/>
      <c r="C340" s="38"/>
      <c r="D340" s="38"/>
      <c r="E340" s="38"/>
      <c r="F340" s="38"/>
      <c r="G340" s="38"/>
      <c r="H340" s="14"/>
      <c r="I340" s="38"/>
      <c r="J340" s="38"/>
      <c r="K340" s="14"/>
      <c r="L340" s="14"/>
      <c r="M340" s="14"/>
      <c r="N340" s="39"/>
      <c r="O340" s="39"/>
      <c r="P340" s="39"/>
      <c r="Q340" s="39"/>
      <c r="R340" s="39"/>
      <c r="S340" s="39"/>
      <c r="T340" s="39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  <c r="AO340" s="14"/>
      <c r="AP340" s="14"/>
    </row>
    <row r="341" spans="1:42" ht="13">
      <c r="A341" s="38"/>
      <c r="B341" s="14"/>
      <c r="C341" s="38"/>
      <c r="D341" s="38"/>
      <c r="E341" s="38"/>
      <c r="F341" s="38"/>
      <c r="G341" s="38"/>
      <c r="H341" s="14"/>
      <c r="I341" s="38"/>
      <c r="J341" s="38"/>
      <c r="K341" s="14"/>
      <c r="L341" s="14"/>
      <c r="M341" s="14"/>
      <c r="N341" s="39"/>
      <c r="O341" s="39"/>
      <c r="P341" s="39"/>
      <c r="Q341" s="39"/>
      <c r="R341" s="39"/>
      <c r="S341" s="39"/>
      <c r="T341" s="39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  <c r="AO341" s="14"/>
      <c r="AP341" s="14"/>
    </row>
    <row r="342" spans="1:42" ht="13">
      <c r="A342" s="38"/>
      <c r="B342" s="14"/>
      <c r="C342" s="38"/>
      <c r="D342" s="38"/>
      <c r="E342" s="38"/>
      <c r="F342" s="38"/>
      <c r="G342" s="38"/>
      <c r="H342" s="14"/>
      <c r="I342" s="38"/>
      <c r="J342" s="38"/>
      <c r="K342" s="14"/>
      <c r="L342" s="14"/>
      <c r="M342" s="14"/>
      <c r="N342" s="39"/>
      <c r="O342" s="39"/>
      <c r="P342" s="39"/>
      <c r="Q342" s="39"/>
      <c r="R342" s="39"/>
      <c r="S342" s="39"/>
      <c r="T342" s="39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  <c r="AO342" s="14"/>
      <c r="AP342" s="14"/>
    </row>
    <row r="343" spans="1:42" ht="13">
      <c r="A343" s="38"/>
      <c r="B343" s="14"/>
      <c r="C343" s="38"/>
      <c r="D343" s="38"/>
      <c r="E343" s="38"/>
      <c r="F343" s="38"/>
      <c r="G343" s="38"/>
      <c r="H343" s="14"/>
      <c r="I343" s="38"/>
      <c r="J343" s="38"/>
      <c r="K343" s="14"/>
      <c r="L343" s="14"/>
      <c r="M343" s="14"/>
      <c r="N343" s="39"/>
      <c r="O343" s="39"/>
      <c r="P343" s="39"/>
      <c r="Q343" s="39"/>
      <c r="R343" s="39"/>
      <c r="S343" s="39"/>
      <c r="T343" s="39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  <c r="AO343" s="14"/>
      <c r="AP343" s="14"/>
    </row>
    <row r="344" spans="1:42" ht="13">
      <c r="A344" s="38"/>
      <c r="B344" s="14"/>
      <c r="C344" s="38"/>
      <c r="D344" s="38"/>
      <c r="E344" s="38"/>
      <c r="F344" s="38"/>
      <c r="G344" s="38"/>
      <c r="H344" s="14"/>
      <c r="I344" s="38"/>
      <c r="J344" s="38"/>
      <c r="K344" s="14"/>
      <c r="L344" s="14"/>
      <c r="M344" s="14"/>
      <c r="N344" s="39"/>
      <c r="O344" s="39"/>
      <c r="P344" s="39"/>
      <c r="Q344" s="39"/>
      <c r="R344" s="39"/>
      <c r="S344" s="39"/>
      <c r="T344" s="39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  <c r="AO344" s="14"/>
      <c r="AP344" s="14"/>
    </row>
    <row r="345" spans="1:42" ht="13">
      <c r="A345" s="38"/>
      <c r="B345" s="14"/>
      <c r="C345" s="38"/>
      <c r="D345" s="38"/>
      <c r="E345" s="38"/>
      <c r="F345" s="38"/>
      <c r="G345" s="38"/>
      <c r="H345" s="14"/>
      <c r="I345" s="38"/>
      <c r="J345" s="38"/>
      <c r="K345" s="14"/>
      <c r="L345" s="14"/>
      <c r="M345" s="14"/>
      <c r="N345" s="39"/>
      <c r="O345" s="39"/>
      <c r="P345" s="39"/>
      <c r="Q345" s="39"/>
      <c r="R345" s="39"/>
      <c r="S345" s="39"/>
      <c r="T345" s="39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  <c r="AO345" s="14"/>
      <c r="AP345" s="14"/>
    </row>
    <row r="346" spans="1:42" ht="13">
      <c r="A346" s="38"/>
      <c r="B346" s="14"/>
      <c r="C346" s="38"/>
      <c r="D346" s="38"/>
      <c r="E346" s="38"/>
      <c r="F346" s="38"/>
      <c r="G346" s="38"/>
      <c r="H346" s="14"/>
      <c r="I346" s="38"/>
      <c r="J346" s="38"/>
      <c r="K346" s="14"/>
      <c r="L346" s="14"/>
      <c r="M346" s="14"/>
      <c r="N346" s="39"/>
      <c r="O346" s="39"/>
      <c r="P346" s="39"/>
      <c r="Q346" s="39"/>
      <c r="R346" s="39"/>
      <c r="S346" s="39"/>
      <c r="T346" s="39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  <c r="AO346" s="14"/>
      <c r="AP346" s="14"/>
    </row>
    <row r="347" spans="1:42" ht="13">
      <c r="A347" s="38"/>
      <c r="B347" s="14"/>
      <c r="C347" s="38"/>
      <c r="D347" s="38"/>
      <c r="E347" s="38"/>
      <c r="F347" s="38"/>
      <c r="G347" s="38"/>
      <c r="H347" s="14"/>
      <c r="I347" s="38"/>
      <c r="J347" s="38"/>
      <c r="K347" s="14"/>
      <c r="L347" s="14"/>
      <c r="M347" s="14"/>
      <c r="N347" s="39"/>
      <c r="O347" s="39"/>
      <c r="P347" s="39"/>
      <c r="Q347" s="39"/>
      <c r="R347" s="39"/>
      <c r="S347" s="39"/>
      <c r="T347" s="39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  <c r="AO347" s="14"/>
      <c r="AP347" s="14"/>
    </row>
    <row r="348" spans="1:42" ht="13">
      <c r="A348" s="38"/>
      <c r="B348" s="14"/>
      <c r="C348" s="38"/>
      <c r="D348" s="38"/>
      <c r="E348" s="38"/>
      <c r="F348" s="38"/>
      <c r="G348" s="38"/>
      <c r="H348" s="14"/>
      <c r="I348" s="38"/>
      <c r="J348" s="38"/>
      <c r="K348" s="14"/>
      <c r="L348" s="14"/>
      <c r="M348" s="14"/>
      <c r="N348" s="39"/>
      <c r="O348" s="39"/>
      <c r="P348" s="39"/>
      <c r="Q348" s="39"/>
      <c r="R348" s="39"/>
      <c r="S348" s="39"/>
      <c r="T348" s="39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  <c r="AO348" s="14"/>
      <c r="AP348" s="14"/>
    </row>
    <row r="349" spans="1:42" ht="13">
      <c r="A349" s="38"/>
      <c r="B349" s="14"/>
      <c r="C349" s="38"/>
      <c r="D349" s="38"/>
      <c r="E349" s="38"/>
      <c r="F349" s="38"/>
      <c r="G349" s="38"/>
      <c r="H349" s="14"/>
      <c r="I349" s="38"/>
      <c r="J349" s="38"/>
      <c r="K349" s="14"/>
      <c r="L349" s="14"/>
      <c r="M349" s="14"/>
      <c r="N349" s="39"/>
      <c r="O349" s="39"/>
      <c r="P349" s="39"/>
      <c r="Q349" s="39"/>
      <c r="R349" s="39"/>
      <c r="S349" s="39"/>
      <c r="T349" s="39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  <c r="AO349" s="14"/>
      <c r="AP349" s="14"/>
    </row>
    <row r="350" spans="1:42" ht="13">
      <c r="A350" s="38"/>
      <c r="B350" s="14"/>
      <c r="C350" s="38"/>
      <c r="D350" s="38"/>
      <c r="E350" s="38"/>
      <c r="F350" s="38"/>
      <c r="G350" s="38"/>
      <c r="H350" s="14"/>
      <c r="I350" s="38"/>
      <c r="J350" s="38"/>
      <c r="K350" s="14"/>
      <c r="L350" s="14"/>
      <c r="M350" s="14"/>
      <c r="N350" s="39"/>
      <c r="O350" s="39"/>
      <c r="P350" s="39"/>
      <c r="Q350" s="39"/>
      <c r="R350" s="39"/>
      <c r="S350" s="39"/>
      <c r="T350" s="39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  <c r="AO350" s="14"/>
      <c r="AP350" s="14"/>
    </row>
    <row r="351" spans="1:42" ht="13">
      <c r="A351" s="38"/>
      <c r="B351" s="14"/>
      <c r="C351" s="38"/>
      <c r="D351" s="38"/>
      <c r="E351" s="38"/>
      <c r="F351" s="38"/>
      <c r="G351" s="38"/>
      <c r="H351" s="14"/>
      <c r="I351" s="38"/>
      <c r="J351" s="38"/>
      <c r="K351" s="14"/>
      <c r="L351" s="14"/>
      <c r="M351" s="14"/>
      <c r="N351" s="39"/>
      <c r="O351" s="39"/>
      <c r="P351" s="39"/>
      <c r="Q351" s="39"/>
      <c r="R351" s="39"/>
      <c r="S351" s="39"/>
      <c r="T351" s="39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  <c r="AO351" s="14"/>
      <c r="AP351" s="14"/>
    </row>
    <row r="352" spans="1:42" ht="13">
      <c r="A352" s="38"/>
      <c r="B352" s="14"/>
      <c r="C352" s="38"/>
      <c r="D352" s="38"/>
      <c r="E352" s="38"/>
      <c r="F352" s="38"/>
      <c r="G352" s="38"/>
      <c r="H352" s="14"/>
      <c r="I352" s="38"/>
      <c r="J352" s="38"/>
      <c r="K352" s="14"/>
      <c r="L352" s="14"/>
      <c r="M352" s="14"/>
      <c r="N352" s="39"/>
      <c r="O352" s="39"/>
      <c r="P352" s="39"/>
      <c r="Q352" s="39"/>
      <c r="R352" s="39"/>
      <c r="S352" s="39"/>
      <c r="T352" s="39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  <c r="AO352" s="14"/>
      <c r="AP352" s="14"/>
    </row>
    <row r="353" spans="1:42" ht="13">
      <c r="A353" s="38"/>
      <c r="B353" s="14"/>
      <c r="C353" s="38"/>
      <c r="D353" s="38"/>
      <c r="E353" s="38"/>
      <c r="F353" s="38"/>
      <c r="G353" s="38"/>
      <c r="H353" s="14"/>
      <c r="I353" s="38"/>
      <c r="J353" s="38"/>
      <c r="K353" s="14"/>
      <c r="L353" s="14"/>
      <c r="M353" s="14"/>
      <c r="N353" s="39"/>
      <c r="O353" s="39"/>
      <c r="P353" s="39"/>
      <c r="Q353" s="39"/>
      <c r="R353" s="39"/>
      <c r="S353" s="39"/>
      <c r="T353" s="39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  <c r="AO353" s="14"/>
      <c r="AP353" s="14"/>
    </row>
    <row r="354" spans="1:42" ht="13">
      <c r="A354" s="38"/>
      <c r="B354" s="14"/>
      <c r="C354" s="38"/>
      <c r="D354" s="38"/>
      <c r="E354" s="38"/>
      <c r="F354" s="38"/>
      <c r="G354" s="38"/>
      <c r="H354" s="14"/>
      <c r="I354" s="38"/>
      <c r="J354" s="38"/>
      <c r="K354" s="14"/>
      <c r="L354" s="14"/>
      <c r="M354" s="14"/>
      <c r="N354" s="39"/>
      <c r="O354" s="39"/>
      <c r="P354" s="39"/>
      <c r="Q354" s="39"/>
      <c r="R354" s="39"/>
      <c r="S354" s="39"/>
      <c r="T354" s="39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  <c r="AO354" s="14"/>
      <c r="AP354" s="14"/>
    </row>
    <row r="355" spans="1:42" ht="13">
      <c r="A355" s="38"/>
      <c r="B355" s="14"/>
      <c r="C355" s="38"/>
      <c r="D355" s="38"/>
      <c r="E355" s="38"/>
      <c r="F355" s="38"/>
      <c r="G355" s="38"/>
      <c r="H355" s="14"/>
      <c r="I355" s="38"/>
      <c r="J355" s="38"/>
      <c r="K355" s="14"/>
      <c r="L355" s="14"/>
      <c r="M355" s="14"/>
      <c r="N355" s="39"/>
      <c r="O355" s="39"/>
      <c r="P355" s="39"/>
      <c r="Q355" s="39"/>
      <c r="R355" s="39"/>
      <c r="S355" s="39"/>
      <c r="T355" s="39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  <c r="AL355" s="14"/>
      <c r="AM355" s="14"/>
      <c r="AN355" s="14"/>
      <c r="AO355" s="14"/>
      <c r="AP355" s="14"/>
    </row>
    <row r="356" spans="1:42" ht="13">
      <c r="A356" s="38"/>
      <c r="B356" s="14"/>
      <c r="C356" s="38"/>
      <c r="D356" s="38"/>
      <c r="E356" s="38"/>
      <c r="F356" s="38"/>
      <c r="G356" s="38"/>
      <c r="H356" s="14"/>
      <c r="I356" s="38"/>
      <c r="J356" s="38"/>
      <c r="K356" s="14"/>
      <c r="L356" s="14"/>
      <c r="M356" s="14"/>
      <c r="N356" s="39"/>
      <c r="O356" s="39"/>
      <c r="P356" s="39"/>
      <c r="Q356" s="39"/>
      <c r="R356" s="39"/>
      <c r="S356" s="39"/>
      <c r="T356" s="39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  <c r="AK356" s="14"/>
      <c r="AL356" s="14"/>
      <c r="AM356" s="14"/>
      <c r="AN356" s="14"/>
      <c r="AO356" s="14"/>
      <c r="AP356" s="14"/>
    </row>
    <row r="357" spans="1:42" ht="13">
      <c r="A357" s="38"/>
      <c r="B357" s="14"/>
      <c r="C357" s="38"/>
      <c r="D357" s="38"/>
      <c r="E357" s="38"/>
      <c r="F357" s="38"/>
      <c r="G357" s="38"/>
      <c r="H357" s="14"/>
      <c r="I357" s="38"/>
      <c r="J357" s="38"/>
      <c r="K357" s="14"/>
      <c r="L357" s="14"/>
      <c r="M357" s="14"/>
      <c r="N357" s="39"/>
      <c r="O357" s="39"/>
      <c r="P357" s="39"/>
      <c r="Q357" s="39"/>
      <c r="R357" s="39"/>
      <c r="S357" s="39"/>
      <c r="T357" s="39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  <c r="AL357" s="14"/>
      <c r="AM357" s="14"/>
      <c r="AN357" s="14"/>
      <c r="AO357" s="14"/>
      <c r="AP357" s="14"/>
    </row>
    <row r="358" spans="1:42" ht="13">
      <c r="A358" s="38"/>
      <c r="B358" s="14"/>
      <c r="C358" s="38"/>
      <c r="D358" s="38"/>
      <c r="E358" s="38"/>
      <c r="F358" s="38"/>
      <c r="G358" s="38"/>
      <c r="H358" s="14"/>
      <c r="I358" s="38"/>
      <c r="J358" s="38"/>
      <c r="K358" s="14"/>
      <c r="L358" s="14"/>
      <c r="M358" s="14"/>
      <c r="N358" s="39"/>
      <c r="O358" s="39"/>
      <c r="P358" s="39"/>
      <c r="Q358" s="39"/>
      <c r="R358" s="39"/>
      <c r="S358" s="39"/>
      <c r="T358" s="39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  <c r="AM358" s="14"/>
      <c r="AN358" s="14"/>
      <c r="AO358" s="14"/>
      <c r="AP358" s="14"/>
    </row>
    <row r="359" spans="1:42" ht="13">
      <c r="A359" s="38"/>
      <c r="B359" s="14"/>
      <c r="C359" s="38"/>
      <c r="D359" s="38"/>
      <c r="E359" s="38"/>
      <c r="F359" s="38"/>
      <c r="G359" s="38"/>
      <c r="H359" s="14"/>
      <c r="I359" s="38"/>
      <c r="J359" s="38"/>
      <c r="K359" s="14"/>
      <c r="L359" s="14"/>
      <c r="M359" s="14"/>
      <c r="N359" s="39"/>
      <c r="O359" s="39"/>
      <c r="P359" s="39"/>
      <c r="Q359" s="39"/>
      <c r="R359" s="39"/>
      <c r="S359" s="39"/>
      <c r="T359" s="39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  <c r="AL359" s="14"/>
      <c r="AM359" s="14"/>
      <c r="AN359" s="14"/>
      <c r="AO359" s="14"/>
      <c r="AP359" s="14"/>
    </row>
    <row r="360" spans="1:42" ht="13">
      <c r="A360" s="38"/>
      <c r="B360" s="14"/>
      <c r="C360" s="38"/>
      <c r="D360" s="38"/>
      <c r="E360" s="38"/>
      <c r="F360" s="38"/>
      <c r="G360" s="38"/>
      <c r="H360" s="14"/>
      <c r="I360" s="38"/>
      <c r="J360" s="38"/>
      <c r="K360" s="14"/>
      <c r="L360" s="14"/>
      <c r="M360" s="14"/>
      <c r="N360" s="39"/>
      <c r="O360" s="39"/>
      <c r="P360" s="39"/>
      <c r="Q360" s="39"/>
      <c r="R360" s="39"/>
      <c r="S360" s="39"/>
      <c r="T360" s="39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  <c r="AL360" s="14"/>
      <c r="AM360" s="14"/>
      <c r="AN360" s="14"/>
      <c r="AO360" s="14"/>
      <c r="AP360" s="14"/>
    </row>
    <row r="361" spans="1:42" ht="13">
      <c r="A361" s="38"/>
      <c r="B361" s="14"/>
      <c r="C361" s="38"/>
      <c r="D361" s="38"/>
      <c r="E361" s="38"/>
      <c r="F361" s="38"/>
      <c r="G361" s="38"/>
      <c r="H361" s="14"/>
      <c r="I361" s="38"/>
      <c r="J361" s="38"/>
      <c r="K361" s="14"/>
      <c r="L361" s="14"/>
      <c r="M361" s="14"/>
      <c r="N361" s="39"/>
      <c r="O361" s="39"/>
      <c r="P361" s="39"/>
      <c r="Q361" s="39"/>
      <c r="R361" s="39"/>
      <c r="S361" s="39"/>
      <c r="T361" s="39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  <c r="AL361" s="14"/>
      <c r="AM361" s="14"/>
      <c r="AN361" s="14"/>
      <c r="AO361" s="14"/>
      <c r="AP361" s="14"/>
    </row>
    <row r="362" spans="1:42" ht="13">
      <c r="A362" s="38"/>
      <c r="B362" s="14"/>
      <c r="C362" s="38"/>
      <c r="D362" s="38"/>
      <c r="E362" s="38"/>
      <c r="F362" s="38"/>
      <c r="G362" s="38"/>
      <c r="H362" s="14"/>
      <c r="I362" s="38"/>
      <c r="J362" s="38"/>
      <c r="K362" s="14"/>
      <c r="L362" s="14"/>
      <c r="M362" s="14"/>
      <c r="N362" s="39"/>
      <c r="O362" s="39"/>
      <c r="P362" s="39"/>
      <c r="Q362" s="39"/>
      <c r="R362" s="39"/>
      <c r="S362" s="39"/>
      <c r="T362" s="39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  <c r="AL362" s="14"/>
      <c r="AM362" s="14"/>
      <c r="AN362" s="14"/>
      <c r="AO362" s="14"/>
      <c r="AP362" s="14"/>
    </row>
    <row r="363" spans="1:42" ht="13">
      <c r="A363" s="38"/>
      <c r="B363" s="14"/>
      <c r="C363" s="38"/>
      <c r="D363" s="38"/>
      <c r="E363" s="38"/>
      <c r="F363" s="38"/>
      <c r="G363" s="38"/>
      <c r="H363" s="14"/>
      <c r="I363" s="38"/>
      <c r="J363" s="38"/>
      <c r="K363" s="14"/>
      <c r="L363" s="14"/>
      <c r="M363" s="14"/>
      <c r="N363" s="39"/>
      <c r="O363" s="39"/>
      <c r="P363" s="39"/>
      <c r="Q363" s="39"/>
      <c r="R363" s="39"/>
      <c r="S363" s="39"/>
      <c r="T363" s="39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  <c r="AL363" s="14"/>
      <c r="AM363" s="14"/>
      <c r="AN363" s="14"/>
      <c r="AO363" s="14"/>
      <c r="AP363" s="14"/>
    </row>
    <row r="364" spans="1:42" ht="13">
      <c r="A364" s="38"/>
      <c r="B364" s="14"/>
      <c r="C364" s="38"/>
      <c r="D364" s="38"/>
      <c r="E364" s="38"/>
      <c r="F364" s="38"/>
      <c r="G364" s="38"/>
      <c r="H364" s="14"/>
      <c r="I364" s="38"/>
      <c r="J364" s="38"/>
      <c r="K364" s="14"/>
      <c r="L364" s="14"/>
      <c r="M364" s="14"/>
      <c r="N364" s="39"/>
      <c r="O364" s="39"/>
      <c r="P364" s="39"/>
      <c r="Q364" s="39"/>
      <c r="R364" s="39"/>
      <c r="S364" s="39"/>
      <c r="T364" s="39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  <c r="AL364" s="14"/>
      <c r="AM364" s="14"/>
      <c r="AN364" s="14"/>
      <c r="AO364" s="14"/>
      <c r="AP364" s="14"/>
    </row>
    <row r="365" spans="1:42" ht="13">
      <c r="A365" s="38"/>
      <c r="B365" s="14"/>
      <c r="C365" s="38"/>
      <c r="D365" s="38"/>
      <c r="E365" s="38"/>
      <c r="F365" s="38"/>
      <c r="G365" s="38"/>
      <c r="H365" s="14"/>
      <c r="I365" s="38"/>
      <c r="J365" s="38"/>
      <c r="K365" s="14"/>
      <c r="L365" s="14"/>
      <c r="M365" s="14"/>
      <c r="N365" s="39"/>
      <c r="O365" s="39"/>
      <c r="P365" s="39"/>
      <c r="Q365" s="39"/>
      <c r="R365" s="39"/>
      <c r="S365" s="39"/>
      <c r="T365" s="39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  <c r="AL365" s="14"/>
      <c r="AM365" s="14"/>
      <c r="AN365" s="14"/>
      <c r="AO365" s="14"/>
      <c r="AP365" s="14"/>
    </row>
    <row r="366" spans="1:42" ht="13">
      <c r="A366" s="38"/>
      <c r="B366" s="14"/>
      <c r="C366" s="38"/>
      <c r="D366" s="38"/>
      <c r="E366" s="38"/>
      <c r="F366" s="38"/>
      <c r="G366" s="38"/>
      <c r="H366" s="14"/>
      <c r="I366" s="38"/>
      <c r="J366" s="38"/>
      <c r="K366" s="14"/>
      <c r="L366" s="14"/>
      <c r="M366" s="14"/>
      <c r="N366" s="39"/>
      <c r="O366" s="39"/>
      <c r="P366" s="39"/>
      <c r="Q366" s="39"/>
      <c r="R366" s="39"/>
      <c r="S366" s="39"/>
      <c r="T366" s="39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  <c r="AM366" s="14"/>
      <c r="AN366" s="14"/>
      <c r="AO366" s="14"/>
      <c r="AP366" s="14"/>
    </row>
    <row r="367" spans="1:42" ht="13">
      <c r="A367" s="38"/>
      <c r="B367" s="14"/>
      <c r="C367" s="38"/>
      <c r="D367" s="38"/>
      <c r="E367" s="38"/>
      <c r="F367" s="38"/>
      <c r="G367" s="38"/>
      <c r="H367" s="14"/>
      <c r="I367" s="38"/>
      <c r="J367" s="38"/>
      <c r="K367" s="14"/>
      <c r="L367" s="14"/>
      <c r="M367" s="14"/>
      <c r="N367" s="39"/>
      <c r="O367" s="39"/>
      <c r="P367" s="39"/>
      <c r="Q367" s="39"/>
      <c r="R367" s="39"/>
      <c r="S367" s="39"/>
      <c r="T367" s="39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  <c r="AL367" s="14"/>
      <c r="AM367" s="14"/>
      <c r="AN367" s="14"/>
      <c r="AO367" s="14"/>
      <c r="AP367" s="14"/>
    </row>
    <row r="368" spans="1:42" ht="13">
      <c r="A368" s="38"/>
      <c r="B368" s="14"/>
      <c r="C368" s="38"/>
      <c r="D368" s="38"/>
      <c r="E368" s="38"/>
      <c r="F368" s="38"/>
      <c r="G368" s="38"/>
      <c r="H368" s="14"/>
      <c r="I368" s="38"/>
      <c r="J368" s="38"/>
      <c r="K368" s="14"/>
      <c r="L368" s="14"/>
      <c r="M368" s="14"/>
      <c r="N368" s="39"/>
      <c r="O368" s="39"/>
      <c r="P368" s="39"/>
      <c r="Q368" s="39"/>
      <c r="R368" s="39"/>
      <c r="S368" s="39"/>
      <c r="T368" s="39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14"/>
      <c r="AM368" s="14"/>
      <c r="AN368" s="14"/>
      <c r="AO368" s="14"/>
      <c r="AP368" s="14"/>
    </row>
    <row r="369" spans="1:42" ht="13">
      <c r="A369" s="38"/>
      <c r="B369" s="14"/>
      <c r="C369" s="38"/>
      <c r="D369" s="38"/>
      <c r="E369" s="38"/>
      <c r="F369" s="38"/>
      <c r="G369" s="38"/>
      <c r="H369" s="14"/>
      <c r="I369" s="38"/>
      <c r="J369" s="38"/>
      <c r="K369" s="14"/>
      <c r="L369" s="14"/>
      <c r="M369" s="14"/>
      <c r="N369" s="39"/>
      <c r="O369" s="39"/>
      <c r="P369" s="39"/>
      <c r="Q369" s="39"/>
      <c r="R369" s="39"/>
      <c r="S369" s="39"/>
      <c r="T369" s="39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  <c r="AO369" s="14"/>
      <c r="AP369" s="14"/>
    </row>
    <row r="370" spans="1:42" ht="13">
      <c r="A370" s="38"/>
      <c r="B370" s="14"/>
      <c r="C370" s="38"/>
      <c r="D370" s="38"/>
      <c r="E370" s="38"/>
      <c r="F370" s="38"/>
      <c r="G370" s="38"/>
      <c r="H370" s="14"/>
      <c r="I370" s="38"/>
      <c r="J370" s="38"/>
      <c r="K370" s="14"/>
      <c r="L370" s="14"/>
      <c r="M370" s="14"/>
      <c r="N370" s="39"/>
      <c r="O370" s="39"/>
      <c r="P370" s="39"/>
      <c r="Q370" s="39"/>
      <c r="R370" s="39"/>
      <c r="S370" s="39"/>
      <c r="T370" s="39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  <c r="AM370" s="14"/>
      <c r="AN370" s="14"/>
      <c r="AO370" s="14"/>
      <c r="AP370" s="14"/>
    </row>
    <row r="371" spans="1:42" ht="13">
      <c r="A371" s="38"/>
      <c r="B371" s="14"/>
      <c r="C371" s="38"/>
      <c r="D371" s="38"/>
      <c r="E371" s="38"/>
      <c r="F371" s="38"/>
      <c r="G371" s="38"/>
      <c r="H371" s="14"/>
      <c r="I371" s="38"/>
      <c r="J371" s="38"/>
      <c r="K371" s="14"/>
      <c r="L371" s="14"/>
      <c r="M371" s="14"/>
      <c r="N371" s="39"/>
      <c r="O371" s="39"/>
      <c r="P371" s="39"/>
      <c r="Q371" s="39"/>
      <c r="R371" s="39"/>
      <c r="S371" s="39"/>
      <c r="T371" s="39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  <c r="AN371" s="14"/>
      <c r="AO371" s="14"/>
      <c r="AP371" s="14"/>
    </row>
    <row r="372" spans="1:42" ht="13">
      <c r="A372" s="38"/>
      <c r="B372" s="14"/>
      <c r="C372" s="38"/>
      <c r="D372" s="38"/>
      <c r="E372" s="38"/>
      <c r="F372" s="38"/>
      <c r="G372" s="38"/>
      <c r="H372" s="14"/>
      <c r="I372" s="38"/>
      <c r="J372" s="38"/>
      <c r="K372" s="14"/>
      <c r="L372" s="14"/>
      <c r="M372" s="14"/>
      <c r="N372" s="39"/>
      <c r="O372" s="39"/>
      <c r="P372" s="39"/>
      <c r="Q372" s="39"/>
      <c r="R372" s="39"/>
      <c r="S372" s="39"/>
      <c r="T372" s="39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  <c r="AM372" s="14"/>
      <c r="AN372" s="14"/>
      <c r="AO372" s="14"/>
      <c r="AP372" s="14"/>
    </row>
    <row r="373" spans="1:42" ht="13">
      <c r="A373" s="38"/>
      <c r="B373" s="14"/>
      <c r="C373" s="38"/>
      <c r="D373" s="38"/>
      <c r="E373" s="38"/>
      <c r="F373" s="38"/>
      <c r="G373" s="38"/>
      <c r="H373" s="14"/>
      <c r="I373" s="38"/>
      <c r="J373" s="38"/>
      <c r="K373" s="14"/>
      <c r="L373" s="14"/>
      <c r="M373" s="14"/>
      <c r="N373" s="39"/>
      <c r="O373" s="39"/>
      <c r="P373" s="39"/>
      <c r="Q373" s="39"/>
      <c r="R373" s="39"/>
      <c r="S373" s="39"/>
      <c r="T373" s="39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  <c r="AN373" s="14"/>
      <c r="AO373" s="14"/>
      <c r="AP373" s="14"/>
    </row>
    <row r="374" spans="1:42" ht="13">
      <c r="A374" s="38"/>
      <c r="B374" s="14"/>
      <c r="C374" s="38"/>
      <c r="D374" s="38"/>
      <c r="E374" s="38"/>
      <c r="F374" s="38"/>
      <c r="G374" s="38"/>
      <c r="H374" s="14"/>
      <c r="I374" s="38"/>
      <c r="J374" s="38"/>
      <c r="K374" s="14"/>
      <c r="L374" s="14"/>
      <c r="M374" s="14"/>
      <c r="N374" s="39"/>
      <c r="O374" s="39"/>
      <c r="P374" s="39"/>
      <c r="Q374" s="39"/>
      <c r="R374" s="39"/>
      <c r="S374" s="39"/>
      <c r="T374" s="39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  <c r="AN374" s="14"/>
      <c r="AO374" s="14"/>
      <c r="AP374" s="14"/>
    </row>
    <row r="375" spans="1:42" ht="13">
      <c r="A375" s="38"/>
      <c r="B375" s="14"/>
      <c r="C375" s="38"/>
      <c r="D375" s="38"/>
      <c r="E375" s="38"/>
      <c r="F375" s="38"/>
      <c r="G375" s="38"/>
      <c r="H375" s="14"/>
      <c r="I375" s="38"/>
      <c r="J375" s="38"/>
      <c r="K375" s="14"/>
      <c r="L375" s="14"/>
      <c r="M375" s="14"/>
      <c r="N375" s="39"/>
      <c r="O375" s="39"/>
      <c r="P375" s="39"/>
      <c r="Q375" s="39"/>
      <c r="R375" s="39"/>
      <c r="S375" s="39"/>
      <c r="T375" s="39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  <c r="AO375" s="14"/>
      <c r="AP375" s="14"/>
    </row>
    <row r="376" spans="1:42" ht="13">
      <c r="A376" s="38"/>
      <c r="B376" s="14"/>
      <c r="C376" s="38"/>
      <c r="D376" s="38"/>
      <c r="E376" s="38"/>
      <c r="F376" s="38"/>
      <c r="G376" s="38"/>
      <c r="H376" s="14"/>
      <c r="I376" s="38"/>
      <c r="J376" s="38"/>
      <c r="K376" s="14"/>
      <c r="L376" s="14"/>
      <c r="M376" s="14"/>
      <c r="N376" s="39"/>
      <c r="O376" s="39"/>
      <c r="P376" s="39"/>
      <c r="Q376" s="39"/>
      <c r="R376" s="39"/>
      <c r="S376" s="39"/>
      <c r="T376" s="39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  <c r="AN376" s="14"/>
      <c r="AO376" s="14"/>
      <c r="AP376" s="14"/>
    </row>
    <row r="377" spans="1:42" ht="13">
      <c r="A377" s="38"/>
      <c r="B377" s="14"/>
      <c r="C377" s="38"/>
      <c r="D377" s="38"/>
      <c r="E377" s="38"/>
      <c r="F377" s="38"/>
      <c r="G377" s="38"/>
      <c r="H377" s="14"/>
      <c r="I377" s="38"/>
      <c r="J377" s="38"/>
      <c r="K377" s="14"/>
      <c r="L377" s="14"/>
      <c r="M377" s="14"/>
      <c r="N377" s="39"/>
      <c r="O377" s="39"/>
      <c r="P377" s="39"/>
      <c r="Q377" s="39"/>
      <c r="R377" s="39"/>
      <c r="S377" s="39"/>
      <c r="T377" s="39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  <c r="AO377" s="14"/>
      <c r="AP377" s="14"/>
    </row>
    <row r="378" spans="1:42" ht="13">
      <c r="A378" s="38"/>
      <c r="B378" s="14"/>
      <c r="C378" s="38"/>
      <c r="D378" s="38"/>
      <c r="E378" s="38"/>
      <c r="F378" s="38"/>
      <c r="G378" s="38"/>
      <c r="H378" s="14"/>
      <c r="I378" s="38"/>
      <c r="J378" s="38"/>
      <c r="K378" s="14"/>
      <c r="L378" s="14"/>
      <c r="M378" s="14"/>
      <c r="N378" s="39"/>
      <c r="O378" s="39"/>
      <c r="P378" s="39"/>
      <c r="Q378" s="39"/>
      <c r="R378" s="39"/>
      <c r="S378" s="39"/>
      <c r="T378" s="39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  <c r="AN378" s="14"/>
      <c r="AO378" s="14"/>
      <c r="AP378" s="14"/>
    </row>
    <row r="379" spans="1:42" ht="13">
      <c r="A379" s="38"/>
      <c r="B379" s="14"/>
      <c r="C379" s="38"/>
      <c r="D379" s="38"/>
      <c r="E379" s="38"/>
      <c r="F379" s="38"/>
      <c r="G379" s="38"/>
      <c r="H379" s="14"/>
      <c r="I379" s="38"/>
      <c r="J379" s="38"/>
      <c r="K379" s="14"/>
      <c r="L379" s="14"/>
      <c r="M379" s="14"/>
      <c r="N379" s="39"/>
      <c r="O379" s="39"/>
      <c r="P379" s="39"/>
      <c r="Q379" s="39"/>
      <c r="R379" s="39"/>
      <c r="S379" s="39"/>
      <c r="T379" s="39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/>
      <c r="AO379" s="14"/>
      <c r="AP379" s="14"/>
    </row>
    <row r="380" spans="1:42" ht="13">
      <c r="A380" s="38"/>
      <c r="B380" s="14"/>
      <c r="C380" s="38"/>
      <c r="D380" s="38"/>
      <c r="E380" s="38"/>
      <c r="F380" s="38"/>
      <c r="G380" s="38"/>
      <c r="H380" s="14"/>
      <c r="I380" s="38"/>
      <c r="J380" s="38"/>
      <c r="K380" s="14"/>
      <c r="L380" s="14"/>
      <c r="M380" s="14"/>
      <c r="N380" s="39"/>
      <c r="O380" s="39"/>
      <c r="P380" s="39"/>
      <c r="Q380" s="39"/>
      <c r="R380" s="39"/>
      <c r="S380" s="39"/>
      <c r="T380" s="39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  <c r="AM380" s="14"/>
      <c r="AN380" s="14"/>
      <c r="AO380" s="14"/>
      <c r="AP380" s="14"/>
    </row>
    <row r="381" spans="1:42" ht="13">
      <c r="A381" s="38"/>
      <c r="B381" s="14"/>
      <c r="C381" s="38"/>
      <c r="D381" s="38"/>
      <c r="E381" s="38"/>
      <c r="F381" s="38"/>
      <c r="G381" s="38"/>
      <c r="H381" s="14"/>
      <c r="I381" s="38"/>
      <c r="J381" s="38"/>
      <c r="K381" s="14"/>
      <c r="L381" s="14"/>
      <c r="M381" s="14"/>
      <c r="N381" s="39"/>
      <c r="O381" s="39"/>
      <c r="P381" s="39"/>
      <c r="Q381" s="39"/>
      <c r="R381" s="39"/>
      <c r="S381" s="39"/>
      <c r="T381" s="39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  <c r="AN381" s="14"/>
      <c r="AO381" s="14"/>
      <c r="AP381" s="14"/>
    </row>
    <row r="382" spans="1:42" ht="13">
      <c r="A382" s="38"/>
      <c r="B382" s="14"/>
      <c r="C382" s="38"/>
      <c r="D382" s="38"/>
      <c r="E382" s="38"/>
      <c r="F382" s="38"/>
      <c r="G382" s="38"/>
      <c r="H382" s="14"/>
      <c r="I382" s="38"/>
      <c r="J382" s="38"/>
      <c r="K382" s="14"/>
      <c r="L382" s="14"/>
      <c r="M382" s="14"/>
      <c r="N382" s="39"/>
      <c r="O382" s="39"/>
      <c r="P382" s="39"/>
      <c r="Q382" s="39"/>
      <c r="R382" s="39"/>
      <c r="S382" s="39"/>
      <c r="T382" s="39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  <c r="AN382" s="14"/>
      <c r="AO382" s="14"/>
      <c r="AP382" s="14"/>
    </row>
    <row r="383" spans="1:42" ht="13">
      <c r="A383" s="38"/>
      <c r="B383" s="14"/>
      <c r="C383" s="38"/>
      <c r="D383" s="38"/>
      <c r="E383" s="38"/>
      <c r="F383" s="38"/>
      <c r="G383" s="38"/>
      <c r="H383" s="14"/>
      <c r="I383" s="38"/>
      <c r="J383" s="38"/>
      <c r="K383" s="14"/>
      <c r="L383" s="14"/>
      <c r="M383" s="14"/>
      <c r="N383" s="39"/>
      <c r="O383" s="39"/>
      <c r="P383" s="39"/>
      <c r="Q383" s="39"/>
      <c r="R383" s="39"/>
      <c r="S383" s="39"/>
      <c r="T383" s="39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  <c r="AO383" s="14"/>
      <c r="AP383" s="14"/>
    </row>
    <row r="384" spans="1:42" ht="13">
      <c r="A384" s="38"/>
      <c r="B384" s="14"/>
      <c r="C384" s="38"/>
      <c r="D384" s="38"/>
      <c r="E384" s="38"/>
      <c r="F384" s="38"/>
      <c r="G384" s="38"/>
      <c r="H384" s="14"/>
      <c r="I384" s="38"/>
      <c r="J384" s="38"/>
      <c r="K384" s="14"/>
      <c r="L384" s="14"/>
      <c r="M384" s="14"/>
      <c r="N384" s="39"/>
      <c r="O384" s="39"/>
      <c r="P384" s="39"/>
      <c r="Q384" s="39"/>
      <c r="R384" s="39"/>
      <c r="S384" s="39"/>
      <c r="T384" s="39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  <c r="AM384" s="14"/>
      <c r="AN384" s="14"/>
      <c r="AO384" s="14"/>
      <c r="AP384" s="14"/>
    </row>
    <row r="385" spans="1:42" ht="13">
      <c r="A385" s="38"/>
      <c r="B385" s="14"/>
      <c r="C385" s="38"/>
      <c r="D385" s="38"/>
      <c r="E385" s="38"/>
      <c r="F385" s="38"/>
      <c r="G385" s="38"/>
      <c r="H385" s="14"/>
      <c r="I385" s="38"/>
      <c r="J385" s="38"/>
      <c r="K385" s="14"/>
      <c r="L385" s="14"/>
      <c r="M385" s="14"/>
      <c r="N385" s="39"/>
      <c r="O385" s="39"/>
      <c r="P385" s="39"/>
      <c r="Q385" s="39"/>
      <c r="R385" s="39"/>
      <c r="S385" s="39"/>
      <c r="T385" s="39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  <c r="AN385" s="14"/>
      <c r="AO385" s="14"/>
      <c r="AP385" s="14"/>
    </row>
    <row r="386" spans="1:42" ht="13">
      <c r="A386" s="38"/>
      <c r="B386" s="14"/>
      <c r="C386" s="38"/>
      <c r="D386" s="38"/>
      <c r="E386" s="38"/>
      <c r="F386" s="38"/>
      <c r="G386" s="38"/>
      <c r="H386" s="14"/>
      <c r="I386" s="38"/>
      <c r="J386" s="38"/>
      <c r="K386" s="14"/>
      <c r="L386" s="14"/>
      <c r="M386" s="14"/>
      <c r="N386" s="39"/>
      <c r="O386" s="39"/>
      <c r="P386" s="39"/>
      <c r="Q386" s="39"/>
      <c r="R386" s="39"/>
      <c r="S386" s="39"/>
      <c r="T386" s="39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  <c r="AN386" s="14"/>
      <c r="AO386" s="14"/>
      <c r="AP386" s="14"/>
    </row>
    <row r="387" spans="1:42" ht="13">
      <c r="A387" s="38"/>
      <c r="B387" s="14"/>
      <c r="C387" s="38"/>
      <c r="D387" s="38"/>
      <c r="E387" s="38"/>
      <c r="F387" s="38"/>
      <c r="G387" s="38"/>
      <c r="H387" s="14"/>
      <c r="I387" s="38"/>
      <c r="J387" s="38"/>
      <c r="K387" s="14"/>
      <c r="L387" s="14"/>
      <c r="M387" s="14"/>
      <c r="N387" s="39"/>
      <c r="O387" s="39"/>
      <c r="P387" s="39"/>
      <c r="Q387" s="39"/>
      <c r="R387" s="39"/>
      <c r="S387" s="39"/>
      <c r="T387" s="39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  <c r="AN387" s="14"/>
      <c r="AO387" s="14"/>
      <c r="AP387" s="14"/>
    </row>
    <row r="388" spans="1:42" ht="13">
      <c r="A388" s="38"/>
      <c r="B388" s="14"/>
      <c r="C388" s="38"/>
      <c r="D388" s="38"/>
      <c r="E388" s="38"/>
      <c r="F388" s="38"/>
      <c r="G388" s="38"/>
      <c r="H388" s="14"/>
      <c r="I388" s="38"/>
      <c r="J388" s="38"/>
      <c r="K388" s="14"/>
      <c r="L388" s="14"/>
      <c r="M388" s="14"/>
      <c r="N388" s="39"/>
      <c r="O388" s="39"/>
      <c r="P388" s="39"/>
      <c r="Q388" s="39"/>
      <c r="R388" s="39"/>
      <c r="S388" s="39"/>
      <c r="T388" s="39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  <c r="AM388" s="14"/>
      <c r="AN388" s="14"/>
      <c r="AO388" s="14"/>
      <c r="AP388" s="14"/>
    </row>
    <row r="389" spans="1:42" ht="13">
      <c r="A389" s="38"/>
      <c r="B389" s="14"/>
      <c r="C389" s="38"/>
      <c r="D389" s="38"/>
      <c r="E389" s="38"/>
      <c r="F389" s="38"/>
      <c r="G389" s="38"/>
      <c r="H389" s="14"/>
      <c r="I389" s="38"/>
      <c r="J389" s="38"/>
      <c r="K389" s="14"/>
      <c r="L389" s="14"/>
      <c r="M389" s="14"/>
      <c r="N389" s="39"/>
      <c r="O389" s="39"/>
      <c r="P389" s="39"/>
      <c r="Q389" s="39"/>
      <c r="R389" s="39"/>
      <c r="S389" s="39"/>
      <c r="T389" s="39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  <c r="AN389" s="14"/>
      <c r="AO389" s="14"/>
      <c r="AP389" s="14"/>
    </row>
    <row r="390" spans="1:42" ht="13">
      <c r="A390" s="38"/>
      <c r="B390" s="14"/>
      <c r="C390" s="38"/>
      <c r="D390" s="38"/>
      <c r="E390" s="38"/>
      <c r="F390" s="38"/>
      <c r="G390" s="38"/>
      <c r="H390" s="14"/>
      <c r="I390" s="38"/>
      <c r="J390" s="38"/>
      <c r="K390" s="14"/>
      <c r="L390" s="14"/>
      <c r="M390" s="14"/>
      <c r="N390" s="39"/>
      <c r="O390" s="39"/>
      <c r="P390" s="39"/>
      <c r="Q390" s="39"/>
      <c r="R390" s="39"/>
      <c r="S390" s="39"/>
      <c r="T390" s="39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  <c r="AL390" s="14"/>
      <c r="AM390" s="14"/>
      <c r="AN390" s="14"/>
      <c r="AO390" s="14"/>
      <c r="AP390" s="14"/>
    </row>
    <row r="391" spans="1:42" ht="13">
      <c r="A391" s="38"/>
      <c r="B391" s="14"/>
      <c r="C391" s="38"/>
      <c r="D391" s="38"/>
      <c r="E391" s="38"/>
      <c r="F391" s="38"/>
      <c r="G391" s="38"/>
      <c r="H391" s="14"/>
      <c r="I391" s="38"/>
      <c r="J391" s="38"/>
      <c r="K391" s="14"/>
      <c r="L391" s="14"/>
      <c r="M391" s="14"/>
      <c r="N391" s="39"/>
      <c r="O391" s="39"/>
      <c r="P391" s="39"/>
      <c r="Q391" s="39"/>
      <c r="R391" s="39"/>
      <c r="S391" s="39"/>
      <c r="T391" s="39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  <c r="AN391" s="14"/>
      <c r="AO391" s="14"/>
      <c r="AP391" s="14"/>
    </row>
    <row r="392" spans="1:42" ht="13">
      <c r="A392" s="38"/>
      <c r="B392" s="14"/>
      <c r="C392" s="38"/>
      <c r="D392" s="38"/>
      <c r="E392" s="38"/>
      <c r="F392" s="38"/>
      <c r="G392" s="38"/>
      <c r="H392" s="14"/>
      <c r="I392" s="38"/>
      <c r="J392" s="38"/>
      <c r="K392" s="14"/>
      <c r="L392" s="14"/>
      <c r="M392" s="14"/>
      <c r="N392" s="39"/>
      <c r="O392" s="39"/>
      <c r="P392" s="39"/>
      <c r="Q392" s="39"/>
      <c r="R392" s="39"/>
      <c r="S392" s="39"/>
      <c r="T392" s="39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  <c r="AM392" s="14"/>
      <c r="AN392" s="14"/>
      <c r="AO392" s="14"/>
      <c r="AP392" s="14"/>
    </row>
    <row r="393" spans="1:42" ht="13">
      <c r="A393" s="38"/>
      <c r="B393" s="14"/>
      <c r="C393" s="38"/>
      <c r="D393" s="38"/>
      <c r="E393" s="38"/>
      <c r="F393" s="38"/>
      <c r="G393" s="38"/>
      <c r="H393" s="14"/>
      <c r="I393" s="38"/>
      <c r="J393" s="38"/>
      <c r="K393" s="14"/>
      <c r="L393" s="14"/>
      <c r="M393" s="14"/>
      <c r="N393" s="39"/>
      <c r="O393" s="39"/>
      <c r="P393" s="39"/>
      <c r="Q393" s="39"/>
      <c r="R393" s="39"/>
      <c r="S393" s="39"/>
      <c r="T393" s="39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  <c r="AO393" s="14"/>
      <c r="AP393" s="14"/>
    </row>
    <row r="394" spans="1:42" ht="13">
      <c r="A394" s="38"/>
      <c r="B394" s="14"/>
      <c r="C394" s="38"/>
      <c r="D394" s="38"/>
      <c r="E394" s="38"/>
      <c r="F394" s="38"/>
      <c r="G394" s="38"/>
      <c r="H394" s="14"/>
      <c r="I394" s="38"/>
      <c r="J394" s="38"/>
      <c r="K394" s="14"/>
      <c r="L394" s="14"/>
      <c r="M394" s="14"/>
      <c r="N394" s="39"/>
      <c r="O394" s="39"/>
      <c r="P394" s="39"/>
      <c r="Q394" s="39"/>
      <c r="R394" s="39"/>
      <c r="S394" s="39"/>
      <c r="T394" s="39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  <c r="AL394" s="14"/>
      <c r="AM394" s="14"/>
      <c r="AN394" s="14"/>
      <c r="AO394" s="14"/>
      <c r="AP394" s="14"/>
    </row>
    <row r="395" spans="1:42" ht="13">
      <c r="A395" s="38"/>
      <c r="B395" s="14"/>
      <c r="C395" s="38"/>
      <c r="D395" s="38"/>
      <c r="E395" s="38"/>
      <c r="F395" s="38"/>
      <c r="G395" s="38"/>
      <c r="H395" s="14"/>
      <c r="I395" s="38"/>
      <c r="J395" s="38"/>
      <c r="K395" s="14"/>
      <c r="L395" s="14"/>
      <c r="M395" s="14"/>
      <c r="N395" s="39"/>
      <c r="O395" s="39"/>
      <c r="P395" s="39"/>
      <c r="Q395" s="39"/>
      <c r="R395" s="39"/>
      <c r="S395" s="39"/>
      <c r="T395" s="39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  <c r="AN395" s="14"/>
      <c r="AO395" s="14"/>
      <c r="AP395" s="14"/>
    </row>
    <row r="396" spans="1:42" ht="13">
      <c r="A396" s="38"/>
      <c r="B396" s="14"/>
      <c r="C396" s="38"/>
      <c r="D396" s="38"/>
      <c r="E396" s="38"/>
      <c r="F396" s="38"/>
      <c r="G396" s="38"/>
      <c r="H396" s="14"/>
      <c r="I396" s="38"/>
      <c r="J396" s="38"/>
      <c r="K396" s="14"/>
      <c r="L396" s="14"/>
      <c r="M396" s="14"/>
      <c r="N396" s="39"/>
      <c r="O396" s="39"/>
      <c r="P396" s="39"/>
      <c r="Q396" s="39"/>
      <c r="R396" s="39"/>
      <c r="S396" s="39"/>
      <c r="T396" s="39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  <c r="AM396" s="14"/>
      <c r="AN396" s="14"/>
      <c r="AO396" s="14"/>
      <c r="AP396" s="14"/>
    </row>
    <row r="397" spans="1:42" ht="13">
      <c r="A397" s="38"/>
      <c r="B397" s="14"/>
      <c r="C397" s="38"/>
      <c r="D397" s="38"/>
      <c r="E397" s="38"/>
      <c r="F397" s="38"/>
      <c r="G397" s="38"/>
      <c r="H397" s="14"/>
      <c r="I397" s="38"/>
      <c r="J397" s="38"/>
      <c r="K397" s="14"/>
      <c r="L397" s="14"/>
      <c r="M397" s="14"/>
      <c r="N397" s="39"/>
      <c r="O397" s="39"/>
      <c r="P397" s="39"/>
      <c r="Q397" s="39"/>
      <c r="R397" s="39"/>
      <c r="S397" s="39"/>
      <c r="T397" s="39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  <c r="AO397" s="14"/>
      <c r="AP397" s="14"/>
    </row>
    <row r="398" spans="1:42" ht="13">
      <c r="A398" s="38"/>
      <c r="B398" s="14"/>
      <c r="C398" s="38"/>
      <c r="D398" s="38"/>
      <c r="E398" s="38"/>
      <c r="F398" s="38"/>
      <c r="G398" s="38"/>
      <c r="H398" s="14"/>
      <c r="I398" s="38"/>
      <c r="J398" s="38"/>
      <c r="K398" s="14"/>
      <c r="L398" s="14"/>
      <c r="M398" s="14"/>
      <c r="N398" s="39"/>
      <c r="O398" s="39"/>
      <c r="P398" s="39"/>
      <c r="Q398" s="39"/>
      <c r="R398" s="39"/>
      <c r="S398" s="39"/>
      <c r="T398" s="39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  <c r="AM398" s="14"/>
      <c r="AN398" s="14"/>
      <c r="AO398" s="14"/>
      <c r="AP398" s="14"/>
    </row>
    <row r="399" spans="1:42" ht="13">
      <c r="A399" s="38"/>
      <c r="B399" s="14"/>
      <c r="C399" s="38"/>
      <c r="D399" s="38"/>
      <c r="E399" s="38"/>
      <c r="F399" s="38"/>
      <c r="G399" s="38"/>
      <c r="H399" s="14"/>
      <c r="I399" s="38"/>
      <c r="J399" s="38"/>
      <c r="K399" s="14"/>
      <c r="L399" s="14"/>
      <c r="M399" s="14"/>
      <c r="N399" s="39"/>
      <c r="O399" s="39"/>
      <c r="P399" s="39"/>
      <c r="Q399" s="39"/>
      <c r="R399" s="39"/>
      <c r="S399" s="39"/>
      <c r="T399" s="39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  <c r="AO399" s="14"/>
      <c r="AP399" s="14"/>
    </row>
    <row r="400" spans="1:42" ht="13">
      <c r="A400" s="38"/>
      <c r="B400" s="14"/>
      <c r="C400" s="38"/>
      <c r="D400" s="38"/>
      <c r="E400" s="38"/>
      <c r="F400" s="38"/>
      <c r="G400" s="38"/>
      <c r="H400" s="14"/>
      <c r="I400" s="38"/>
      <c r="J400" s="38"/>
      <c r="K400" s="14"/>
      <c r="L400" s="14"/>
      <c r="M400" s="14"/>
      <c r="N400" s="39"/>
      <c r="O400" s="39"/>
      <c r="P400" s="39"/>
      <c r="Q400" s="39"/>
      <c r="R400" s="39"/>
      <c r="S400" s="39"/>
      <c r="T400" s="39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  <c r="AM400" s="14"/>
      <c r="AN400" s="14"/>
      <c r="AO400" s="14"/>
      <c r="AP400" s="14"/>
    </row>
    <row r="401" spans="1:42" ht="13">
      <c r="A401" s="38"/>
      <c r="B401" s="14"/>
      <c r="C401" s="38"/>
      <c r="D401" s="38"/>
      <c r="E401" s="38"/>
      <c r="F401" s="38"/>
      <c r="G401" s="38"/>
      <c r="H401" s="14"/>
      <c r="I401" s="38"/>
      <c r="J401" s="38"/>
      <c r="K401" s="14"/>
      <c r="L401" s="14"/>
      <c r="M401" s="14"/>
      <c r="N401" s="39"/>
      <c r="O401" s="39"/>
      <c r="P401" s="39"/>
      <c r="Q401" s="39"/>
      <c r="R401" s="39"/>
      <c r="S401" s="39"/>
      <c r="T401" s="39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  <c r="AO401" s="14"/>
      <c r="AP401" s="14"/>
    </row>
    <row r="402" spans="1:42" ht="13">
      <c r="A402" s="38"/>
      <c r="B402" s="14"/>
      <c r="C402" s="38"/>
      <c r="D402" s="38"/>
      <c r="E402" s="38"/>
      <c r="F402" s="38"/>
      <c r="G402" s="38"/>
      <c r="H402" s="14"/>
      <c r="I402" s="38"/>
      <c r="J402" s="38"/>
      <c r="K402" s="14"/>
      <c r="L402" s="14"/>
      <c r="M402" s="14"/>
      <c r="N402" s="39"/>
      <c r="O402" s="39"/>
      <c r="P402" s="39"/>
      <c r="Q402" s="39"/>
      <c r="R402" s="39"/>
      <c r="S402" s="39"/>
      <c r="T402" s="39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  <c r="AM402" s="14"/>
      <c r="AN402" s="14"/>
      <c r="AO402" s="14"/>
      <c r="AP402" s="14"/>
    </row>
    <row r="403" spans="1:42" ht="13">
      <c r="A403" s="38"/>
      <c r="B403" s="14"/>
      <c r="C403" s="38"/>
      <c r="D403" s="38"/>
      <c r="E403" s="38"/>
      <c r="F403" s="38"/>
      <c r="G403" s="38"/>
      <c r="H403" s="14"/>
      <c r="I403" s="38"/>
      <c r="J403" s="38"/>
      <c r="K403" s="14"/>
      <c r="L403" s="14"/>
      <c r="M403" s="14"/>
      <c r="N403" s="39"/>
      <c r="O403" s="39"/>
      <c r="P403" s="39"/>
      <c r="Q403" s="39"/>
      <c r="R403" s="39"/>
      <c r="S403" s="39"/>
      <c r="T403" s="39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  <c r="AN403" s="14"/>
      <c r="AO403" s="14"/>
      <c r="AP403" s="14"/>
    </row>
    <row r="404" spans="1:42" ht="13">
      <c r="A404" s="38"/>
      <c r="B404" s="14"/>
      <c r="C404" s="38"/>
      <c r="D404" s="38"/>
      <c r="E404" s="38"/>
      <c r="F404" s="38"/>
      <c r="G404" s="38"/>
      <c r="H404" s="14"/>
      <c r="I404" s="38"/>
      <c r="J404" s="38"/>
      <c r="K404" s="14"/>
      <c r="L404" s="14"/>
      <c r="M404" s="14"/>
      <c r="N404" s="39"/>
      <c r="O404" s="39"/>
      <c r="P404" s="39"/>
      <c r="Q404" s="39"/>
      <c r="R404" s="39"/>
      <c r="S404" s="39"/>
      <c r="T404" s="39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  <c r="AM404" s="14"/>
      <c r="AN404" s="14"/>
      <c r="AO404" s="14"/>
      <c r="AP404" s="14"/>
    </row>
    <row r="405" spans="1:42" ht="13">
      <c r="A405" s="38"/>
      <c r="B405" s="14"/>
      <c r="C405" s="38"/>
      <c r="D405" s="38"/>
      <c r="E405" s="38"/>
      <c r="F405" s="38"/>
      <c r="G405" s="38"/>
      <c r="H405" s="14"/>
      <c r="I405" s="38"/>
      <c r="J405" s="38"/>
      <c r="K405" s="14"/>
      <c r="L405" s="14"/>
      <c r="M405" s="14"/>
      <c r="N405" s="39"/>
      <c r="O405" s="39"/>
      <c r="P405" s="39"/>
      <c r="Q405" s="39"/>
      <c r="R405" s="39"/>
      <c r="S405" s="39"/>
      <c r="T405" s="39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  <c r="AN405" s="14"/>
      <c r="AO405" s="14"/>
      <c r="AP405" s="14"/>
    </row>
    <row r="406" spans="1:42" ht="13">
      <c r="A406" s="38"/>
      <c r="B406" s="14"/>
      <c r="C406" s="38"/>
      <c r="D406" s="38"/>
      <c r="E406" s="38"/>
      <c r="F406" s="38"/>
      <c r="G406" s="38"/>
      <c r="H406" s="14"/>
      <c r="I406" s="38"/>
      <c r="J406" s="38"/>
      <c r="K406" s="14"/>
      <c r="L406" s="14"/>
      <c r="M406" s="14"/>
      <c r="N406" s="39"/>
      <c r="O406" s="39"/>
      <c r="P406" s="39"/>
      <c r="Q406" s="39"/>
      <c r="R406" s="39"/>
      <c r="S406" s="39"/>
      <c r="T406" s="39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  <c r="AM406" s="14"/>
      <c r="AN406" s="14"/>
      <c r="AO406" s="14"/>
      <c r="AP406" s="14"/>
    </row>
    <row r="407" spans="1:42" ht="13">
      <c r="A407" s="38"/>
      <c r="B407" s="14"/>
      <c r="C407" s="38"/>
      <c r="D407" s="38"/>
      <c r="E407" s="38"/>
      <c r="F407" s="38"/>
      <c r="G407" s="38"/>
      <c r="H407" s="14"/>
      <c r="I407" s="38"/>
      <c r="J407" s="38"/>
      <c r="K407" s="14"/>
      <c r="L407" s="14"/>
      <c r="M407" s="14"/>
      <c r="N407" s="39"/>
      <c r="O407" s="39"/>
      <c r="P407" s="39"/>
      <c r="Q407" s="39"/>
      <c r="R407" s="39"/>
      <c r="S407" s="39"/>
      <c r="T407" s="39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  <c r="AN407" s="14"/>
      <c r="AO407" s="14"/>
      <c r="AP407" s="14"/>
    </row>
    <row r="408" spans="1:42" ht="13">
      <c r="A408" s="38"/>
      <c r="B408" s="14"/>
      <c r="C408" s="38"/>
      <c r="D408" s="38"/>
      <c r="E408" s="38"/>
      <c r="F408" s="38"/>
      <c r="G408" s="38"/>
      <c r="H408" s="14"/>
      <c r="I408" s="38"/>
      <c r="J408" s="38"/>
      <c r="K408" s="14"/>
      <c r="L408" s="14"/>
      <c r="M408" s="14"/>
      <c r="N408" s="39"/>
      <c r="O408" s="39"/>
      <c r="P408" s="39"/>
      <c r="Q408" s="39"/>
      <c r="R408" s="39"/>
      <c r="S408" s="39"/>
      <c r="T408" s="39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  <c r="AL408" s="14"/>
      <c r="AM408" s="14"/>
      <c r="AN408" s="14"/>
      <c r="AO408" s="14"/>
      <c r="AP408" s="14"/>
    </row>
    <row r="409" spans="1:42" ht="13">
      <c r="A409" s="38"/>
      <c r="B409" s="14"/>
      <c r="C409" s="38"/>
      <c r="D409" s="38"/>
      <c r="E409" s="38"/>
      <c r="F409" s="38"/>
      <c r="G409" s="38"/>
      <c r="H409" s="14"/>
      <c r="I409" s="38"/>
      <c r="J409" s="38"/>
      <c r="K409" s="14"/>
      <c r="L409" s="14"/>
      <c r="M409" s="14"/>
      <c r="N409" s="39"/>
      <c r="O409" s="39"/>
      <c r="P409" s="39"/>
      <c r="Q409" s="39"/>
      <c r="R409" s="39"/>
      <c r="S409" s="39"/>
      <c r="T409" s="39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14"/>
      <c r="AN409" s="14"/>
      <c r="AO409" s="14"/>
      <c r="AP409" s="14"/>
    </row>
    <row r="410" spans="1:42" ht="13">
      <c r="A410" s="38"/>
      <c r="B410" s="14"/>
      <c r="C410" s="38"/>
      <c r="D410" s="38"/>
      <c r="E410" s="38"/>
      <c r="F410" s="38"/>
      <c r="G410" s="38"/>
      <c r="H410" s="14"/>
      <c r="I410" s="38"/>
      <c r="J410" s="38"/>
      <c r="K410" s="14"/>
      <c r="L410" s="14"/>
      <c r="M410" s="14"/>
      <c r="N410" s="39"/>
      <c r="O410" s="39"/>
      <c r="P410" s="39"/>
      <c r="Q410" s="39"/>
      <c r="R410" s="39"/>
      <c r="S410" s="39"/>
      <c r="T410" s="39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  <c r="AL410" s="14"/>
      <c r="AM410" s="14"/>
      <c r="AN410" s="14"/>
      <c r="AO410" s="14"/>
      <c r="AP410" s="14"/>
    </row>
    <row r="411" spans="1:42" ht="13">
      <c r="A411" s="38"/>
      <c r="B411" s="14"/>
      <c r="C411" s="38"/>
      <c r="D411" s="38"/>
      <c r="E411" s="38"/>
      <c r="F411" s="38"/>
      <c r="G411" s="38"/>
      <c r="H411" s="14"/>
      <c r="I411" s="38"/>
      <c r="J411" s="38"/>
      <c r="K411" s="14"/>
      <c r="L411" s="14"/>
      <c r="M411" s="14"/>
      <c r="N411" s="39"/>
      <c r="O411" s="39"/>
      <c r="P411" s="39"/>
      <c r="Q411" s="39"/>
      <c r="R411" s="39"/>
      <c r="S411" s="39"/>
      <c r="T411" s="39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  <c r="AM411" s="14"/>
      <c r="AN411" s="14"/>
      <c r="AO411" s="14"/>
      <c r="AP411" s="14"/>
    </row>
    <row r="412" spans="1:42" ht="13">
      <c r="A412" s="38"/>
      <c r="B412" s="14"/>
      <c r="C412" s="38"/>
      <c r="D412" s="38"/>
      <c r="E412" s="38"/>
      <c r="F412" s="38"/>
      <c r="G412" s="38"/>
      <c r="H412" s="14"/>
      <c r="I412" s="38"/>
      <c r="J412" s="38"/>
      <c r="K412" s="14"/>
      <c r="L412" s="14"/>
      <c r="M412" s="14"/>
      <c r="N412" s="39"/>
      <c r="O412" s="39"/>
      <c r="P412" s="39"/>
      <c r="Q412" s="39"/>
      <c r="R412" s="39"/>
      <c r="S412" s="39"/>
      <c r="T412" s="39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  <c r="AL412" s="14"/>
      <c r="AM412" s="14"/>
      <c r="AN412" s="14"/>
      <c r="AO412" s="14"/>
      <c r="AP412" s="14"/>
    </row>
    <row r="413" spans="1:42" ht="13">
      <c r="A413" s="38"/>
      <c r="B413" s="14"/>
      <c r="C413" s="38"/>
      <c r="D413" s="38"/>
      <c r="E413" s="38"/>
      <c r="F413" s="38"/>
      <c r="G413" s="38"/>
      <c r="H413" s="14"/>
      <c r="I413" s="38"/>
      <c r="J413" s="38"/>
      <c r="K413" s="14"/>
      <c r="L413" s="14"/>
      <c r="M413" s="14"/>
      <c r="N413" s="39"/>
      <c r="O413" s="39"/>
      <c r="P413" s="39"/>
      <c r="Q413" s="39"/>
      <c r="R413" s="39"/>
      <c r="S413" s="39"/>
      <c r="T413" s="39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  <c r="AN413" s="14"/>
      <c r="AO413" s="14"/>
      <c r="AP413" s="14"/>
    </row>
    <row r="414" spans="1:42" ht="13">
      <c r="A414" s="38"/>
      <c r="B414" s="14"/>
      <c r="C414" s="38"/>
      <c r="D414" s="38"/>
      <c r="E414" s="38"/>
      <c r="F414" s="38"/>
      <c r="G414" s="38"/>
      <c r="H414" s="14"/>
      <c r="I414" s="38"/>
      <c r="J414" s="38"/>
      <c r="K414" s="14"/>
      <c r="L414" s="14"/>
      <c r="M414" s="14"/>
      <c r="N414" s="39"/>
      <c r="O414" s="39"/>
      <c r="P414" s="39"/>
      <c r="Q414" s="39"/>
      <c r="R414" s="39"/>
      <c r="S414" s="39"/>
      <c r="T414" s="39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  <c r="AL414" s="14"/>
      <c r="AM414" s="14"/>
      <c r="AN414" s="14"/>
      <c r="AO414" s="14"/>
      <c r="AP414" s="14"/>
    </row>
    <row r="415" spans="1:42" ht="13">
      <c r="A415" s="38"/>
      <c r="B415" s="14"/>
      <c r="C415" s="38"/>
      <c r="D415" s="38"/>
      <c r="E415" s="38"/>
      <c r="F415" s="38"/>
      <c r="G415" s="38"/>
      <c r="H415" s="14"/>
      <c r="I415" s="38"/>
      <c r="J415" s="38"/>
      <c r="K415" s="14"/>
      <c r="L415" s="14"/>
      <c r="M415" s="14"/>
      <c r="N415" s="39"/>
      <c r="O415" s="39"/>
      <c r="P415" s="39"/>
      <c r="Q415" s="39"/>
      <c r="R415" s="39"/>
      <c r="S415" s="39"/>
      <c r="T415" s="39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  <c r="AM415" s="14"/>
      <c r="AN415" s="14"/>
      <c r="AO415" s="14"/>
      <c r="AP415" s="14"/>
    </row>
    <row r="416" spans="1:42" ht="13">
      <c r="A416" s="38"/>
      <c r="B416" s="14"/>
      <c r="C416" s="38"/>
      <c r="D416" s="38"/>
      <c r="E416" s="38"/>
      <c r="F416" s="38"/>
      <c r="G416" s="38"/>
      <c r="H416" s="14"/>
      <c r="I416" s="38"/>
      <c r="J416" s="38"/>
      <c r="K416" s="14"/>
      <c r="L416" s="14"/>
      <c r="M416" s="14"/>
      <c r="N416" s="39"/>
      <c r="O416" s="39"/>
      <c r="P416" s="39"/>
      <c r="Q416" s="39"/>
      <c r="R416" s="39"/>
      <c r="S416" s="39"/>
      <c r="T416" s="39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  <c r="AL416" s="14"/>
      <c r="AM416" s="14"/>
      <c r="AN416" s="14"/>
      <c r="AO416" s="14"/>
      <c r="AP416" s="14"/>
    </row>
    <row r="417" spans="1:42" ht="13">
      <c r="A417" s="38"/>
      <c r="B417" s="14"/>
      <c r="C417" s="38"/>
      <c r="D417" s="38"/>
      <c r="E417" s="38"/>
      <c r="F417" s="38"/>
      <c r="G417" s="38"/>
      <c r="H417" s="14"/>
      <c r="I417" s="38"/>
      <c r="J417" s="38"/>
      <c r="K417" s="14"/>
      <c r="L417" s="14"/>
      <c r="M417" s="14"/>
      <c r="N417" s="39"/>
      <c r="O417" s="39"/>
      <c r="P417" s="39"/>
      <c r="Q417" s="39"/>
      <c r="R417" s="39"/>
      <c r="S417" s="39"/>
      <c r="T417" s="39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  <c r="AN417" s="14"/>
      <c r="AO417" s="14"/>
      <c r="AP417" s="14"/>
    </row>
    <row r="418" spans="1:42" ht="13">
      <c r="A418" s="38"/>
      <c r="B418" s="14"/>
      <c r="C418" s="38"/>
      <c r="D418" s="38"/>
      <c r="E418" s="38"/>
      <c r="F418" s="38"/>
      <c r="G418" s="38"/>
      <c r="H418" s="14"/>
      <c r="I418" s="38"/>
      <c r="J418" s="38"/>
      <c r="K418" s="14"/>
      <c r="L418" s="14"/>
      <c r="M418" s="14"/>
      <c r="N418" s="39"/>
      <c r="O418" s="39"/>
      <c r="P418" s="39"/>
      <c r="Q418" s="39"/>
      <c r="R418" s="39"/>
      <c r="S418" s="39"/>
      <c r="T418" s="39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  <c r="AM418" s="14"/>
      <c r="AN418" s="14"/>
      <c r="AO418" s="14"/>
      <c r="AP418" s="14"/>
    </row>
    <row r="419" spans="1:42" ht="13">
      <c r="A419" s="38"/>
      <c r="B419" s="14"/>
      <c r="C419" s="38"/>
      <c r="D419" s="38"/>
      <c r="E419" s="38"/>
      <c r="F419" s="38"/>
      <c r="G419" s="38"/>
      <c r="H419" s="14"/>
      <c r="I419" s="38"/>
      <c r="J419" s="38"/>
      <c r="K419" s="14"/>
      <c r="L419" s="14"/>
      <c r="M419" s="14"/>
      <c r="N419" s="39"/>
      <c r="O419" s="39"/>
      <c r="P419" s="39"/>
      <c r="Q419" s="39"/>
      <c r="R419" s="39"/>
      <c r="S419" s="39"/>
      <c r="T419" s="39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  <c r="AN419" s="14"/>
      <c r="AO419" s="14"/>
      <c r="AP419" s="14"/>
    </row>
    <row r="420" spans="1:42" ht="13">
      <c r="A420" s="38"/>
      <c r="B420" s="14"/>
      <c r="C420" s="38"/>
      <c r="D420" s="38"/>
      <c r="E420" s="38"/>
      <c r="F420" s="38"/>
      <c r="G420" s="38"/>
      <c r="H420" s="14"/>
      <c r="I420" s="38"/>
      <c r="J420" s="38"/>
      <c r="K420" s="14"/>
      <c r="L420" s="14"/>
      <c r="M420" s="14"/>
      <c r="N420" s="39"/>
      <c r="O420" s="39"/>
      <c r="P420" s="39"/>
      <c r="Q420" s="39"/>
      <c r="R420" s="39"/>
      <c r="S420" s="39"/>
      <c r="T420" s="39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  <c r="AM420" s="14"/>
      <c r="AN420" s="14"/>
      <c r="AO420" s="14"/>
      <c r="AP420" s="14"/>
    </row>
    <row r="421" spans="1:42" ht="13">
      <c r="A421" s="38"/>
      <c r="B421" s="14"/>
      <c r="C421" s="38"/>
      <c r="D421" s="38"/>
      <c r="E421" s="38"/>
      <c r="F421" s="38"/>
      <c r="G421" s="38"/>
      <c r="H421" s="14"/>
      <c r="I421" s="38"/>
      <c r="J421" s="38"/>
      <c r="K421" s="14"/>
      <c r="L421" s="14"/>
      <c r="M421" s="14"/>
      <c r="N421" s="39"/>
      <c r="O421" s="39"/>
      <c r="P421" s="39"/>
      <c r="Q421" s="39"/>
      <c r="R421" s="39"/>
      <c r="S421" s="39"/>
      <c r="T421" s="39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  <c r="AO421" s="14"/>
      <c r="AP421" s="14"/>
    </row>
    <row r="422" spans="1:42" ht="13">
      <c r="A422" s="38"/>
      <c r="B422" s="14"/>
      <c r="C422" s="38"/>
      <c r="D422" s="38"/>
      <c r="E422" s="38"/>
      <c r="F422" s="38"/>
      <c r="G422" s="38"/>
      <c r="H422" s="14"/>
      <c r="I422" s="38"/>
      <c r="J422" s="38"/>
      <c r="K422" s="14"/>
      <c r="L422" s="14"/>
      <c r="M422" s="14"/>
      <c r="N422" s="39"/>
      <c r="O422" s="39"/>
      <c r="P422" s="39"/>
      <c r="Q422" s="39"/>
      <c r="R422" s="39"/>
      <c r="S422" s="39"/>
      <c r="T422" s="39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  <c r="AN422" s="14"/>
      <c r="AO422" s="14"/>
      <c r="AP422" s="14"/>
    </row>
    <row r="423" spans="1:42" ht="13">
      <c r="A423" s="38"/>
      <c r="B423" s="14"/>
      <c r="C423" s="38"/>
      <c r="D423" s="38"/>
      <c r="E423" s="38"/>
      <c r="F423" s="38"/>
      <c r="G423" s="38"/>
      <c r="H423" s="14"/>
      <c r="I423" s="38"/>
      <c r="J423" s="38"/>
      <c r="K423" s="14"/>
      <c r="L423" s="14"/>
      <c r="M423" s="14"/>
      <c r="N423" s="39"/>
      <c r="O423" s="39"/>
      <c r="P423" s="39"/>
      <c r="Q423" s="39"/>
      <c r="R423" s="39"/>
      <c r="S423" s="39"/>
      <c r="T423" s="39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  <c r="AN423" s="14"/>
      <c r="AO423" s="14"/>
      <c r="AP423" s="14"/>
    </row>
    <row r="424" spans="1:42" ht="13">
      <c r="A424" s="38"/>
      <c r="B424" s="14"/>
      <c r="C424" s="38"/>
      <c r="D424" s="38"/>
      <c r="E424" s="38"/>
      <c r="F424" s="38"/>
      <c r="G424" s="38"/>
      <c r="H424" s="14"/>
      <c r="I424" s="38"/>
      <c r="J424" s="38"/>
      <c r="K424" s="14"/>
      <c r="L424" s="14"/>
      <c r="M424" s="14"/>
      <c r="N424" s="39"/>
      <c r="O424" s="39"/>
      <c r="P424" s="39"/>
      <c r="Q424" s="39"/>
      <c r="R424" s="39"/>
      <c r="S424" s="39"/>
      <c r="T424" s="39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  <c r="AM424" s="14"/>
      <c r="AN424" s="14"/>
      <c r="AO424" s="14"/>
      <c r="AP424" s="14"/>
    </row>
    <row r="425" spans="1:42" ht="13">
      <c r="A425" s="38"/>
      <c r="B425" s="14"/>
      <c r="C425" s="38"/>
      <c r="D425" s="38"/>
      <c r="E425" s="38"/>
      <c r="F425" s="38"/>
      <c r="G425" s="38"/>
      <c r="H425" s="14"/>
      <c r="I425" s="38"/>
      <c r="J425" s="38"/>
      <c r="K425" s="14"/>
      <c r="L425" s="14"/>
      <c r="M425" s="14"/>
      <c r="N425" s="39"/>
      <c r="O425" s="39"/>
      <c r="P425" s="39"/>
      <c r="Q425" s="39"/>
      <c r="R425" s="39"/>
      <c r="S425" s="39"/>
      <c r="T425" s="39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  <c r="AN425" s="14"/>
      <c r="AO425" s="14"/>
      <c r="AP425" s="14"/>
    </row>
    <row r="426" spans="1:42" ht="13">
      <c r="A426" s="38"/>
      <c r="B426" s="14"/>
      <c r="C426" s="38"/>
      <c r="D426" s="38"/>
      <c r="E426" s="38"/>
      <c r="F426" s="38"/>
      <c r="G426" s="38"/>
      <c r="H426" s="14"/>
      <c r="I426" s="38"/>
      <c r="J426" s="38"/>
      <c r="K426" s="14"/>
      <c r="L426" s="14"/>
      <c r="M426" s="14"/>
      <c r="N426" s="39"/>
      <c r="O426" s="39"/>
      <c r="P426" s="39"/>
      <c r="Q426" s="39"/>
      <c r="R426" s="39"/>
      <c r="S426" s="39"/>
      <c r="T426" s="39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  <c r="AN426" s="14"/>
      <c r="AO426" s="14"/>
      <c r="AP426" s="14"/>
    </row>
    <row r="427" spans="1:42" ht="13">
      <c r="A427" s="38"/>
      <c r="B427" s="14"/>
      <c r="C427" s="38"/>
      <c r="D427" s="38"/>
      <c r="E427" s="38"/>
      <c r="F427" s="38"/>
      <c r="G427" s="38"/>
      <c r="H427" s="14"/>
      <c r="I427" s="38"/>
      <c r="J427" s="38"/>
      <c r="K427" s="14"/>
      <c r="L427" s="14"/>
      <c r="M427" s="14"/>
      <c r="N427" s="39"/>
      <c r="O427" s="39"/>
      <c r="P427" s="39"/>
      <c r="Q427" s="39"/>
      <c r="R427" s="39"/>
      <c r="S427" s="39"/>
      <c r="T427" s="39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  <c r="AN427" s="14"/>
      <c r="AO427" s="14"/>
      <c r="AP427" s="14"/>
    </row>
    <row r="428" spans="1:42" ht="13">
      <c r="A428" s="38"/>
      <c r="B428" s="14"/>
      <c r="C428" s="38"/>
      <c r="D428" s="38"/>
      <c r="E428" s="38"/>
      <c r="F428" s="38"/>
      <c r="G428" s="38"/>
      <c r="H428" s="14"/>
      <c r="I428" s="38"/>
      <c r="J428" s="38"/>
      <c r="K428" s="14"/>
      <c r="L428" s="14"/>
      <c r="M428" s="14"/>
      <c r="N428" s="39"/>
      <c r="O428" s="39"/>
      <c r="P428" s="39"/>
      <c r="Q428" s="39"/>
      <c r="R428" s="39"/>
      <c r="S428" s="39"/>
      <c r="T428" s="39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  <c r="AL428" s="14"/>
      <c r="AM428" s="14"/>
      <c r="AN428" s="14"/>
      <c r="AO428" s="14"/>
      <c r="AP428" s="14"/>
    </row>
    <row r="429" spans="1:42" ht="13">
      <c r="A429" s="38"/>
      <c r="B429" s="14"/>
      <c r="C429" s="38"/>
      <c r="D429" s="38"/>
      <c r="E429" s="38"/>
      <c r="F429" s="38"/>
      <c r="G429" s="38"/>
      <c r="H429" s="14"/>
      <c r="I429" s="38"/>
      <c r="J429" s="38"/>
      <c r="K429" s="14"/>
      <c r="L429" s="14"/>
      <c r="M429" s="14"/>
      <c r="N429" s="39"/>
      <c r="O429" s="39"/>
      <c r="P429" s="39"/>
      <c r="Q429" s="39"/>
      <c r="R429" s="39"/>
      <c r="S429" s="39"/>
      <c r="T429" s="39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  <c r="AN429" s="14"/>
      <c r="AO429" s="14"/>
      <c r="AP429" s="14"/>
    </row>
    <row r="430" spans="1:42" ht="13">
      <c r="A430" s="38"/>
      <c r="B430" s="14"/>
      <c r="C430" s="38"/>
      <c r="D430" s="38"/>
      <c r="E430" s="38"/>
      <c r="F430" s="38"/>
      <c r="G430" s="38"/>
      <c r="H430" s="14"/>
      <c r="I430" s="38"/>
      <c r="J430" s="38"/>
      <c r="K430" s="14"/>
      <c r="L430" s="14"/>
      <c r="M430" s="14"/>
      <c r="N430" s="39"/>
      <c r="O430" s="39"/>
      <c r="P430" s="39"/>
      <c r="Q430" s="39"/>
      <c r="R430" s="39"/>
      <c r="S430" s="39"/>
      <c r="T430" s="39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  <c r="AL430" s="14"/>
      <c r="AM430" s="14"/>
      <c r="AN430" s="14"/>
      <c r="AO430" s="14"/>
      <c r="AP430" s="14"/>
    </row>
    <row r="431" spans="1:42" ht="13">
      <c r="A431" s="38"/>
      <c r="B431" s="14"/>
      <c r="C431" s="38"/>
      <c r="D431" s="38"/>
      <c r="E431" s="38"/>
      <c r="F431" s="38"/>
      <c r="G431" s="38"/>
      <c r="H431" s="14"/>
      <c r="I431" s="38"/>
      <c r="J431" s="38"/>
      <c r="K431" s="14"/>
      <c r="L431" s="14"/>
      <c r="M431" s="14"/>
      <c r="N431" s="39"/>
      <c r="O431" s="39"/>
      <c r="P431" s="39"/>
      <c r="Q431" s="39"/>
      <c r="R431" s="39"/>
      <c r="S431" s="39"/>
      <c r="T431" s="39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  <c r="AN431" s="14"/>
      <c r="AO431" s="14"/>
      <c r="AP431" s="14"/>
    </row>
    <row r="432" spans="1:42" ht="13">
      <c r="A432" s="38"/>
      <c r="B432" s="14"/>
      <c r="C432" s="38"/>
      <c r="D432" s="38"/>
      <c r="E432" s="38"/>
      <c r="F432" s="38"/>
      <c r="G432" s="38"/>
      <c r="H432" s="14"/>
      <c r="I432" s="38"/>
      <c r="J432" s="38"/>
      <c r="K432" s="14"/>
      <c r="L432" s="14"/>
      <c r="M432" s="14"/>
      <c r="N432" s="39"/>
      <c r="O432" s="39"/>
      <c r="P432" s="39"/>
      <c r="Q432" s="39"/>
      <c r="R432" s="39"/>
      <c r="S432" s="39"/>
      <c r="T432" s="39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  <c r="AL432" s="14"/>
      <c r="AM432" s="14"/>
      <c r="AN432" s="14"/>
      <c r="AO432" s="14"/>
      <c r="AP432" s="14"/>
    </row>
    <row r="433" spans="1:42" ht="13">
      <c r="A433" s="38"/>
      <c r="B433" s="14"/>
      <c r="C433" s="38"/>
      <c r="D433" s="38"/>
      <c r="E433" s="38"/>
      <c r="F433" s="38"/>
      <c r="G433" s="38"/>
      <c r="H433" s="14"/>
      <c r="I433" s="38"/>
      <c r="J433" s="38"/>
      <c r="K433" s="14"/>
      <c r="L433" s="14"/>
      <c r="M433" s="14"/>
      <c r="N433" s="39"/>
      <c r="O433" s="39"/>
      <c r="P433" s="39"/>
      <c r="Q433" s="39"/>
      <c r="R433" s="39"/>
      <c r="S433" s="39"/>
      <c r="T433" s="39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  <c r="AL433" s="14"/>
      <c r="AM433" s="14"/>
      <c r="AN433" s="14"/>
      <c r="AO433" s="14"/>
      <c r="AP433" s="14"/>
    </row>
    <row r="434" spans="1:42" ht="13">
      <c r="A434" s="38"/>
      <c r="B434" s="14"/>
      <c r="C434" s="38"/>
      <c r="D434" s="38"/>
      <c r="E434" s="38"/>
      <c r="F434" s="38"/>
      <c r="G434" s="38"/>
      <c r="H434" s="14"/>
      <c r="I434" s="38"/>
      <c r="J434" s="38"/>
      <c r="K434" s="14"/>
      <c r="L434" s="14"/>
      <c r="M434" s="14"/>
      <c r="N434" s="39"/>
      <c r="O434" s="39"/>
      <c r="P434" s="39"/>
      <c r="Q434" s="39"/>
      <c r="R434" s="39"/>
      <c r="S434" s="39"/>
      <c r="T434" s="39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  <c r="AL434" s="14"/>
      <c r="AM434" s="14"/>
      <c r="AN434" s="14"/>
      <c r="AO434" s="14"/>
      <c r="AP434" s="14"/>
    </row>
    <row r="435" spans="1:42" ht="13">
      <c r="A435" s="38"/>
      <c r="B435" s="14"/>
      <c r="C435" s="38"/>
      <c r="D435" s="38"/>
      <c r="E435" s="38"/>
      <c r="F435" s="38"/>
      <c r="G435" s="38"/>
      <c r="H435" s="14"/>
      <c r="I435" s="38"/>
      <c r="J435" s="38"/>
      <c r="K435" s="14"/>
      <c r="L435" s="14"/>
      <c r="M435" s="14"/>
      <c r="N435" s="39"/>
      <c r="O435" s="39"/>
      <c r="P435" s="39"/>
      <c r="Q435" s="39"/>
      <c r="R435" s="39"/>
      <c r="S435" s="39"/>
      <c r="T435" s="39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  <c r="AN435" s="14"/>
      <c r="AO435" s="14"/>
      <c r="AP435" s="14"/>
    </row>
    <row r="436" spans="1:42" ht="13">
      <c r="A436" s="38"/>
      <c r="B436" s="14"/>
      <c r="C436" s="38"/>
      <c r="D436" s="38"/>
      <c r="E436" s="38"/>
      <c r="F436" s="38"/>
      <c r="G436" s="38"/>
      <c r="H436" s="14"/>
      <c r="I436" s="38"/>
      <c r="J436" s="38"/>
      <c r="K436" s="14"/>
      <c r="L436" s="14"/>
      <c r="M436" s="14"/>
      <c r="N436" s="39"/>
      <c r="O436" s="39"/>
      <c r="P436" s="39"/>
      <c r="Q436" s="39"/>
      <c r="R436" s="39"/>
      <c r="S436" s="39"/>
      <c r="T436" s="39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  <c r="AL436" s="14"/>
      <c r="AM436" s="14"/>
      <c r="AN436" s="14"/>
      <c r="AO436" s="14"/>
      <c r="AP436" s="14"/>
    </row>
    <row r="437" spans="1:42" ht="13">
      <c r="A437" s="38"/>
      <c r="B437" s="14"/>
      <c r="C437" s="38"/>
      <c r="D437" s="38"/>
      <c r="E437" s="38"/>
      <c r="F437" s="38"/>
      <c r="G437" s="38"/>
      <c r="H437" s="14"/>
      <c r="I437" s="38"/>
      <c r="J437" s="38"/>
      <c r="K437" s="14"/>
      <c r="L437" s="14"/>
      <c r="M437" s="14"/>
      <c r="N437" s="39"/>
      <c r="O437" s="39"/>
      <c r="P437" s="39"/>
      <c r="Q437" s="39"/>
      <c r="R437" s="39"/>
      <c r="S437" s="39"/>
      <c r="T437" s="39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  <c r="AM437" s="14"/>
      <c r="AN437" s="14"/>
      <c r="AO437" s="14"/>
      <c r="AP437" s="14"/>
    </row>
    <row r="438" spans="1:42" ht="13">
      <c r="A438" s="38"/>
      <c r="B438" s="14"/>
      <c r="C438" s="38"/>
      <c r="D438" s="38"/>
      <c r="E438" s="38"/>
      <c r="F438" s="38"/>
      <c r="G438" s="38"/>
      <c r="H438" s="14"/>
      <c r="I438" s="38"/>
      <c r="J438" s="38"/>
      <c r="K438" s="14"/>
      <c r="L438" s="14"/>
      <c r="M438" s="14"/>
      <c r="N438" s="39"/>
      <c r="O438" s="39"/>
      <c r="P438" s="39"/>
      <c r="Q438" s="39"/>
      <c r="R438" s="39"/>
      <c r="S438" s="39"/>
      <c r="T438" s="39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  <c r="AM438" s="14"/>
      <c r="AN438" s="14"/>
      <c r="AO438" s="14"/>
      <c r="AP438" s="14"/>
    </row>
    <row r="439" spans="1:42" ht="13">
      <c r="A439" s="38"/>
      <c r="B439" s="14"/>
      <c r="C439" s="38"/>
      <c r="D439" s="38"/>
      <c r="E439" s="38"/>
      <c r="F439" s="38"/>
      <c r="G439" s="38"/>
      <c r="H439" s="14"/>
      <c r="I439" s="38"/>
      <c r="J439" s="38"/>
      <c r="K439" s="14"/>
      <c r="L439" s="14"/>
      <c r="M439" s="14"/>
      <c r="N439" s="39"/>
      <c r="O439" s="39"/>
      <c r="P439" s="39"/>
      <c r="Q439" s="39"/>
      <c r="R439" s="39"/>
      <c r="S439" s="39"/>
      <c r="T439" s="39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  <c r="AN439" s="14"/>
      <c r="AO439" s="14"/>
      <c r="AP439" s="14"/>
    </row>
    <row r="440" spans="1:42" ht="13">
      <c r="A440" s="38"/>
      <c r="B440" s="14"/>
      <c r="C440" s="38"/>
      <c r="D440" s="38"/>
      <c r="E440" s="38"/>
      <c r="F440" s="38"/>
      <c r="G440" s="38"/>
      <c r="H440" s="14"/>
      <c r="I440" s="38"/>
      <c r="J440" s="38"/>
      <c r="K440" s="14"/>
      <c r="L440" s="14"/>
      <c r="M440" s="14"/>
      <c r="N440" s="39"/>
      <c r="O440" s="39"/>
      <c r="P440" s="39"/>
      <c r="Q440" s="39"/>
      <c r="R440" s="39"/>
      <c r="S440" s="39"/>
      <c r="T440" s="39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  <c r="AL440" s="14"/>
      <c r="AM440" s="14"/>
      <c r="AN440" s="14"/>
      <c r="AO440" s="14"/>
      <c r="AP440" s="14"/>
    </row>
    <row r="441" spans="1:42" ht="13">
      <c r="A441" s="38"/>
      <c r="B441" s="14"/>
      <c r="C441" s="38"/>
      <c r="D441" s="38"/>
      <c r="E441" s="38"/>
      <c r="F441" s="38"/>
      <c r="G441" s="38"/>
      <c r="H441" s="14"/>
      <c r="I441" s="38"/>
      <c r="J441" s="38"/>
      <c r="K441" s="14"/>
      <c r="L441" s="14"/>
      <c r="M441" s="14"/>
      <c r="N441" s="39"/>
      <c r="O441" s="39"/>
      <c r="P441" s="39"/>
      <c r="Q441" s="39"/>
      <c r="R441" s="39"/>
      <c r="S441" s="39"/>
      <c r="T441" s="39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  <c r="AN441" s="14"/>
      <c r="AO441" s="14"/>
      <c r="AP441" s="14"/>
    </row>
    <row r="442" spans="1:42" ht="13">
      <c r="A442" s="38"/>
      <c r="B442" s="14"/>
      <c r="C442" s="38"/>
      <c r="D442" s="38"/>
      <c r="E442" s="38"/>
      <c r="F442" s="38"/>
      <c r="G442" s="38"/>
      <c r="H442" s="14"/>
      <c r="I442" s="38"/>
      <c r="J442" s="38"/>
      <c r="K442" s="14"/>
      <c r="L442" s="14"/>
      <c r="M442" s="14"/>
      <c r="N442" s="39"/>
      <c r="O442" s="39"/>
      <c r="P442" s="39"/>
      <c r="Q442" s="39"/>
      <c r="R442" s="39"/>
      <c r="S442" s="39"/>
      <c r="T442" s="39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  <c r="AL442" s="14"/>
      <c r="AM442" s="14"/>
      <c r="AN442" s="14"/>
      <c r="AO442" s="14"/>
      <c r="AP442" s="14"/>
    </row>
    <row r="443" spans="1:42" ht="13">
      <c r="A443" s="38"/>
      <c r="B443" s="14"/>
      <c r="C443" s="38"/>
      <c r="D443" s="38"/>
      <c r="E443" s="38"/>
      <c r="F443" s="38"/>
      <c r="G443" s="38"/>
      <c r="H443" s="14"/>
      <c r="I443" s="38"/>
      <c r="J443" s="38"/>
      <c r="K443" s="14"/>
      <c r="L443" s="14"/>
      <c r="M443" s="14"/>
      <c r="N443" s="39"/>
      <c r="O443" s="39"/>
      <c r="P443" s="39"/>
      <c r="Q443" s="39"/>
      <c r="R443" s="39"/>
      <c r="S443" s="39"/>
      <c r="T443" s="39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  <c r="AN443" s="14"/>
      <c r="AO443" s="14"/>
      <c r="AP443" s="14"/>
    </row>
    <row r="444" spans="1:42" ht="13">
      <c r="A444" s="38"/>
      <c r="B444" s="14"/>
      <c r="C444" s="38"/>
      <c r="D444" s="38"/>
      <c r="E444" s="38"/>
      <c r="F444" s="38"/>
      <c r="G444" s="38"/>
      <c r="H444" s="14"/>
      <c r="I444" s="38"/>
      <c r="J444" s="38"/>
      <c r="K444" s="14"/>
      <c r="L444" s="14"/>
      <c r="M444" s="14"/>
      <c r="N444" s="39"/>
      <c r="O444" s="39"/>
      <c r="P444" s="39"/>
      <c r="Q444" s="39"/>
      <c r="R444" s="39"/>
      <c r="S444" s="39"/>
      <c r="T444" s="39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  <c r="AL444" s="14"/>
      <c r="AM444" s="14"/>
      <c r="AN444" s="14"/>
      <c r="AO444" s="14"/>
      <c r="AP444" s="14"/>
    </row>
    <row r="445" spans="1:42" ht="13">
      <c r="A445" s="38"/>
      <c r="B445" s="14"/>
      <c r="C445" s="38"/>
      <c r="D445" s="38"/>
      <c r="E445" s="38"/>
      <c r="F445" s="38"/>
      <c r="G445" s="38"/>
      <c r="H445" s="14"/>
      <c r="I445" s="38"/>
      <c r="J445" s="38"/>
      <c r="K445" s="14"/>
      <c r="L445" s="14"/>
      <c r="M445" s="14"/>
      <c r="N445" s="39"/>
      <c r="O445" s="39"/>
      <c r="P445" s="39"/>
      <c r="Q445" s="39"/>
      <c r="R445" s="39"/>
      <c r="S445" s="39"/>
      <c r="T445" s="39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  <c r="AN445" s="14"/>
      <c r="AO445" s="14"/>
      <c r="AP445" s="14"/>
    </row>
    <row r="446" spans="1:42" ht="13">
      <c r="A446" s="38"/>
      <c r="B446" s="14"/>
      <c r="C446" s="38"/>
      <c r="D446" s="38"/>
      <c r="E446" s="38"/>
      <c r="F446" s="38"/>
      <c r="G446" s="38"/>
      <c r="H446" s="14"/>
      <c r="I446" s="38"/>
      <c r="J446" s="38"/>
      <c r="K446" s="14"/>
      <c r="L446" s="14"/>
      <c r="M446" s="14"/>
      <c r="N446" s="39"/>
      <c r="O446" s="39"/>
      <c r="P446" s="39"/>
      <c r="Q446" s="39"/>
      <c r="R446" s="39"/>
      <c r="S446" s="39"/>
      <c r="T446" s="39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  <c r="AM446" s="14"/>
      <c r="AN446" s="14"/>
      <c r="AO446" s="14"/>
      <c r="AP446" s="14"/>
    </row>
    <row r="447" spans="1:42" ht="13">
      <c r="A447" s="38"/>
      <c r="B447" s="14"/>
      <c r="C447" s="38"/>
      <c r="D447" s="38"/>
      <c r="E447" s="38"/>
      <c r="F447" s="38"/>
      <c r="G447" s="38"/>
      <c r="H447" s="14"/>
      <c r="I447" s="38"/>
      <c r="J447" s="38"/>
      <c r="K447" s="14"/>
      <c r="L447" s="14"/>
      <c r="M447" s="14"/>
      <c r="N447" s="39"/>
      <c r="O447" s="39"/>
      <c r="P447" s="39"/>
      <c r="Q447" s="39"/>
      <c r="R447" s="39"/>
      <c r="S447" s="39"/>
      <c r="T447" s="39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  <c r="AN447" s="14"/>
      <c r="AO447" s="14"/>
      <c r="AP447" s="14"/>
    </row>
    <row r="448" spans="1:42" ht="13">
      <c r="A448" s="38"/>
      <c r="B448" s="14"/>
      <c r="C448" s="38"/>
      <c r="D448" s="38"/>
      <c r="E448" s="38"/>
      <c r="F448" s="38"/>
      <c r="G448" s="38"/>
      <c r="H448" s="14"/>
      <c r="I448" s="38"/>
      <c r="J448" s="38"/>
      <c r="K448" s="14"/>
      <c r="L448" s="14"/>
      <c r="M448" s="14"/>
      <c r="N448" s="39"/>
      <c r="O448" s="39"/>
      <c r="P448" s="39"/>
      <c r="Q448" s="39"/>
      <c r="R448" s="39"/>
      <c r="S448" s="39"/>
      <c r="T448" s="39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4"/>
      <c r="AN448" s="14"/>
      <c r="AO448" s="14"/>
      <c r="AP448" s="14"/>
    </row>
    <row r="449" spans="1:42" ht="13">
      <c r="A449" s="38"/>
      <c r="B449" s="14"/>
      <c r="C449" s="38"/>
      <c r="D449" s="38"/>
      <c r="E449" s="38"/>
      <c r="F449" s="38"/>
      <c r="G449" s="38"/>
      <c r="H449" s="14"/>
      <c r="I449" s="38"/>
      <c r="J449" s="38"/>
      <c r="K449" s="14"/>
      <c r="L449" s="14"/>
      <c r="M449" s="14"/>
      <c r="N449" s="39"/>
      <c r="O449" s="39"/>
      <c r="P449" s="39"/>
      <c r="Q449" s="39"/>
      <c r="R449" s="39"/>
      <c r="S449" s="39"/>
      <c r="T449" s="39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  <c r="AN449" s="14"/>
      <c r="AO449" s="14"/>
      <c r="AP449" s="14"/>
    </row>
    <row r="450" spans="1:42" ht="13">
      <c r="A450" s="38"/>
      <c r="B450" s="14"/>
      <c r="C450" s="38"/>
      <c r="D450" s="38"/>
      <c r="E450" s="38"/>
      <c r="F450" s="38"/>
      <c r="G450" s="38"/>
      <c r="H450" s="14"/>
      <c r="I450" s="38"/>
      <c r="J450" s="38"/>
      <c r="K450" s="14"/>
      <c r="L450" s="14"/>
      <c r="M450" s="14"/>
      <c r="N450" s="39"/>
      <c r="O450" s="39"/>
      <c r="P450" s="39"/>
      <c r="Q450" s="39"/>
      <c r="R450" s="39"/>
      <c r="S450" s="39"/>
      <c r="T450" s="39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  <c r="AM450" s="14"/>
      <c r="AN450" s="14"/>
      <c r="AO450" s="14"/>
      <c r="AP450" s="14"/>
    </row>
    <row r="451" spans="1:42" ht="13">
      <c r="A451" s="38"/>
      <c r="B451" s="14"/>
      <c r="C451" s="38"/>
      <c r="D451" s="38"/>
      <c r="E451" s="38"/>
      <c r="F451" s="38"/>
      <c r="G451" s="38"/>
      <c r="H451" s="14"/>
      <c r="I451" s="38"/>
      <c r="J451" s="38"/>
      <c r="K451" s="14"/>
      <c r="L451" s="14"/>
      <c r="M451" s="14"/>
      <c r="N451" s="39"/>
      <c r="O451" s="39"/>
      <c r="P451" s="39"/>
      <c r="Q451" s="39"/>
      <c r="R451" s="39"/>
      <c r="S451" s="39"/>
      <c r="T451" s="39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14"/>
      <c r="AN451" s="14"/>
      <c r="AO451" s="14"/>
      <c r="AP451" s="14"/>
    </row>
    <row r="452" spans="1:42" ht="13">
      <c r="A452" s="38"/>
      <c r="B452" s="14"/>
      <c r="C452" s="38"/>
      <c r="D452" s="38"/>
      <c r="E452" s="38"/>
      <c r="F452" s="38"/>
      <c r="G452" s="38"/>
      <c r="H452" s="14"/>
      <c r="I452" s="38"/>
      <c r="J452" s="38"/>
      <c r="K452" s="14"/>
      <c r="L452" s="14"/>
      <c r="M452" s="14"/>
      <c r="N452" s="39"/>
      <c r="O452" s="39"/>
      <c r="P452" s="39"/>
      <c r="Q452" s="39"/>
      <c r="R452" s="39"/>
      <c r="S452" s="39"/>
      <c r="T452" s="39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  <c r="AL452" s="14"/>
      <c r="AM452" s="14"/>
      <c r="AN452" s="14"/>
      <c r="AO452" s="14"/>
      <c r="AP452" s="14"/>
    </row>
    <row r="453" spans="1:42" ht="13">
      <c r="A453" s="38"/>
      <c r="B453" s="14"/>
      <c r="C453" s="38"/>
      <c r="D453" s="38"/>
      <c r="E453" s="38"/>
      <c r="F453" s="38"/>
      <c r="G453" s="38"/>
      <c r="H453" s="14"/>
      <c r="I453" s="38"/>
      <c r="J453" s="38"/>
      <c r="K453" s="14"/>
      <c r="L453" s="14"/>
      <c r="M453" s="14"/>
      <c r="N453" s="39"/>
      <c r="O453" s="39"/>
      <c r="P453" s="39"/>
      <c r="Q453" s="39"/>
      <c r="R453" s="39"/>
      <c r="S453" s="39"/>
      <c r="T453" s="39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  <c r="AM453" s="14"/>
      <c r="AN453" s="14"/>
      <c r="AO453" s="14"/>
      <c r="AP453" s="14"/>
    </row>
    <row r="454" spans="1:42" ht="13">
      <c r="A454" s="38"/>
      <c r="B454" s="14"/>
      <c r="C454" s="38"/>
      <c r="D454" s="38"/>
      <c r="E454" s="38"/>
      <c r="F454" s="38"/>
      <c r="G454" s="38"/>
      <c r="H454" s="14"/>
      <c r="I454" s="38"/>
      <c r="J454" s="38"/>
      <c r="K454" s="14"/>
      <c r="L454" s="14"/>
      <c r="M454" s="14"/>
      <c r="N454" s="39"/>
      <c r="O454" s="39"/>
      <c r="P454" s="39"/>
      <c r="Q454" s="39"/>
      <c r="R454" s="39"/>
      <c r="S454" s="39"/>
      <c r="T454" s="39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  <c r="AL454" s="14"/>
      <c r="AM454" s="14"/>
      <c r="AN454" s="14"/>
      <c r="AO454" s="14"/>
      <c r="AP454" s="14"/>
    </row>
    <row r="455" spans="1:42" ht="13">
      <c r="A455" s="38"/>
      <c r="B455" s="14"/>
      <c r="C455" s="38"/>
      <c r="D455" s="38"/>
      <c r="E455" s="38"/>
      <c r="F455" s="38"/>
      <c r="G455" s="38"/>
      <c r="H455" s="14"/>
      <c r="I455" s="38"/>
      <c r="J455" s="38"/>
      <c r="K455" s="14"/>
      <c r="L455" s="14"/>
      <c r="M455" s="14"/>
      <c r="N455" s="39"/>
      <c r="O455" s="39"/>
      <c r="P455" s="39"/>
      <c r="Q455" s="39"/>
      <c r="R455" s="39"/>
      <c r="S455" s="39"/>
      <c r="T455" s="39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  <c r="AN455" s="14"/>
      <c r="AO455" s="14"/>
      <c r="AP455" s="14"/>
    </row>
    <row r="456" spans="1:42" ht="13">
      <c r="A456" s="38"/>
      <c r="B456" s="14"/>
      <c r="C456" s="38"/>
      <c r="D456" s="38"/>
      <c r="E456" s="38"/>
      <c r="F456" s="38"/>
      <c r="G456" s="38"/>
      <c r="H456" s="14"/>
      <c r="I456" s="38"/>
      <c r="J456" s="38"/>
      <c r="K456" s="14"/>
      <c r="L456" s="14"/>
      <c r="M456" s="14"/>
      <c r="N456" s="39"/>
      <c r="O456" s="39"/>
      <c r="P456" s="39"/>
      <c r="Q456" s="39"/>
      <c r="R456" s="39"/>
      <c r="S456" s="39"/>
      <c r="T456" s="39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  <c r="AM456" s="14"/>
      <c r="AN456" s="14"/>
      <c r="AO456" s="14"/>
      <c r="AP456" s="14"/>
    </row>
    <row r="457" spans="1:42" ht="13">
      <c r="A457" s="38"/>
      <c r="B457" s="14"/>
      <c r="C457" s="38"/>
      <c r="D457" s="38"/>
      <c r="E457" s="38"/>
      <c r="F457" s="38"/>
      <c r="G457" s="38"/>
      <c r="H457" s="14"/>
      <c r="I457" s="38"/>
      <c r="J457" s="38"/>
      <c r="K457" s="14"/>
      <c r="L457" s="14"/>
      <c r="M457" s="14"/>
      <c r="N457" s="39"/>
      <c r="O457" s="39"/>
      <c r="P457" s="39"/>
      <c r="Q457" s="39"/>
      <c r="R457" s="39"/>
      <c r="S457" s="39"/>
      <c r="T457" s="39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  <c r="AN457" s="14"/>
      <c r="AO457" s="14"/>
      <c r="AP457" s="14"/>
    </row>
    <row r="458" spans="1:42" ht="13">
      <c r="A458" s="38"/>
      <c r="B458" s="14"/>
      <c r="C458" s="38"/>
      <c r="D458" s="38"/>
      <c r="E458" s="38"/>
      <c r="F458" s="38"/>
      <c r="G458" s="38"/>
      <c r="H458" s="14"/>
      <c r="I458" s="38"/>
      <c r="J458" s="38"/>
      <c r="K458" s="14"/>
      <c r="L458" s="14"/>
      <c r="M458" s="14"/>
      <c r="N458" s="39"/>
      <c r="O458" s="39"/>
      <c r="P458" s="39"/>
      <c r="Q458" s="39"/>
      <c r="R458" s="39"/>
      <c r="S458" s="39"/>
      <c r="T458" s="39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  <c r="AM458" s="14"/>
      <c r="AN458" s="14"/>
      <c r="AO458" s="14"/>
      <c r="AP458" s="14"/>
    </row>
    <row r="459" spans="1:42" ht="13">
      <c r="A459" s="38"/>
      <c r="B459" s="14"/>
      <c r="C459" s="38"/>
      <c r="D459" s="38"/>
      <c r="E459" s="38"/>
      <c r="F459" s="38"/>
      <c r="G459" s="38"/>
      <c r="H459" s="14"/>
      <c r="I459" s="38"/>
      <c r="J459" s="38"/>
      <c r="K459" s="14"/>
      <c r="L459" s="14"/>
      <c r="M459" s="14"/>
      <c r="N459" s="39"/>
      <c r="O459" s="39"/>
      <c r="P459" s="39"/>
      <c r="Q459" s="39"/>
      <c r="R459" s="39"/>
      <c r="S459" s="39"/>
      <c r="T459" s="39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  <c r="AM459" s="14"/>
      <c r="AN459" s="14"/>
      <c r="AO459" s="14"/>
      <c r="AP459" s="14"/>
    </row>
    <row r="460" spans="1:42" ht="13">
      <c r="A460" s="38"/>
      <c r="B460" s="14"/>
      <c r="C460" s="38"/>
      <c r="D460" s="38"/>
      <c r="E460" s="38"/>
      <c r="F460" s="38"/>
      <c r="G460" s="38"/>
      <c r="H460" s="14"/>
      <c r="I460" s="38"/>
      <c r="J460" s="38"/>
      <c r="K460" s="14"/>
      <c r="L460" s="14"/>
      <c r="M460" s="14"/>
      <c r="N460" s="39"/>
      <c r="O460" s="39"/>
      <c r="P460" s="39"/>
      <c r="Q460" s="39"/>
      <c r="R460" s="39"/>
      <c r="S460" s="39"/>
      <c r="T460" s="39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  <c r="AL460" s="14"/>
      <c r="AM460" s="14"/>
      <c r="AN460" s="14"/>
      <c r="AO460" s="14"/>
      <c r="AP460" s="14"/>
    </row>
    <row r="461" spans="1:42" ht="13">
      <c r="A461" s="38"/>
      <c r="B461" s="14"/>
      <c r="C461" s="38"/>
      <c r="D461" s="38"/>
      <c r="E461" s="38"/>
      <c r="F461" s="38"/>
      <c r="G461" s="38"/>
      <c r="H461" s="14"/>
      <c r="I461" s="38"/>
      <c r="J461" s="38"/>
      <c r="K461" s="14"/>
      <c r="L461" s="14"/>
      <c r="M461" s="14"/>
      <c r="N461" s="39"/>
      <c r="O461" s="39"/>
      <c r="P461" s="39"/>
      <c r="Q461" s="39"/>
      <c r="R461" s="39"/>
      <c r="S461" s="39"/>
      <c r="T461" s="39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4"/>
      <c r="AN461" s="14"/>
      <c r="AO461" s="14"/>
      <c r="AP461" s="14"/>
    </row>
    <row r="462" spans="1:42" ht="13">
      <c r="A462" s="38"/>
      <c r="B462" s="14"/>
      <c r="C462" s="38"/>
      <c r="D462" s="38"/>
      <c r="E462" s="38"/>
      <c r="F462" s="38"/>
      <c r="G462" s="38"/>
      <c r="H462" s="14"/>
      <c r="I462" s="38"/>
      <c r="J462" s="38"/>
      <c r="K462" s="14"/>
      <c r="L462" s="14"/>
      <c r="M462" s="14"/>
      <c r="N462" s="39"/>
      <c r="O462" s="39"/>
      <c r="P462" s="39"/>
      <c r="Q462" s="39"/>
      <c r="R462" s="39"/>
      <c r="S462" s="39"/>
      <c r="T462" s="39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  <c r="AL462" s="14"/>
      <c r="AM462" s="14"/>
      <c r="AN462" s="14"/>
      <c r="AO462" s="14"/>
      <c r="AP462" s="14"/>
    </row>
    <row r="463" spans="1:42" ht="13">
      <c r="A463" s="38"/>
      <c r="B463" s="14"/>
      <c r="C463" s="38"/>
      <c r="D463" s="38"/>
      <c r="E463" s="38"/>
      <c r="F463" s="38"/>
      <c r="G463" s="38"/>
      <c r="H463" s="14"/>
      <c r="I463" s="38"/>
      <c r="J463" s="38"/>
      <c r="K463" s="14"/>
      <c r="L463" s="14"/>
      <c r="M463" s="14"/>
      <c r="N463" s="39"/>
      <c r="O463" s="39"/>
      <c r="P463" s="39"/>
      <c r="Q463" s="39"/>
      <c r="R463" s="39"/>
      <c r="S463" s="39"/>
      <c r="T463" s="39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  <c r="AM463" s="14"/>
      <c r="AN463" s="14"/>
      <c r="AO463" s="14"/>
      <c r="AP463" s="14"/>
    </row>
    <row r="464" spans="1:42" ht="13">
      <c r="A464" s="38"/>
      <c r="B464" s="14"/>
      <c r="C464" s="38"/>
      <c r="D464" s="38"/>
      <c r="E464" s="38"/>
      <c r="F464" s="38"/>
      <c r="G464" s="38"/>
      <c r="H464" s="14"/>
      <c r="I464" s="38"/>
      <c r="J464" s="38"/>
      <c r="K464" s="14"/>
      <c r="L464" s="14"/>
      <c r="M464" s="14"/>
      <c r="N464" s="39"/>
      <c r="O464" s="39"/>
      <c r="P464" s="39"/>
      <c r="Q464" s="39"/>
      <c r="R464" s="39"/>
      <c r="S464" s="39"/>
      <c r="T464" s="39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  <c r="AM464" s="14"/>
      <c r="AN464" s="14"/>
      <c r="AO464" s="14"/>
      <c r="AP464" s="14"/>
    </row>
    <row r="465" spans="1:42" ht="13">
      <c r="A465" s="38"/>
      <c r="B465" s="14"/>
      <c r="C465" s="38"/>
      <c r="D465" s="38"/>
      <c r="E465" s="38"/>
      <c r="F465" s="38"/>
      <c r="G465" s="38"/>
      <c r="H465" s="14"/>
      <c r="I465" s="38"/>
      <c r="J465" s="38"/>
      <c r="K465" s="14"/>
      <c r="L465" s="14"/>
      <c r="M465" s="14"/>
      <c r="N465" s="39"/>
      <c r="O465" s="39"/>
      <c r="P465" s="39"/>
      <c r="Q465" s="39"/>
      <c r="R465" s="39"/>
      <c r="S465" s="39"/>
      <c r="T465" s="39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  <c r="AM465" s="14"/>
      <c r="AN465" s="14"/>
      <c r="AO465" s="14"/>
      <c r="AP465" s="14"/>
    </row>
    <row r="466" spans="1:42" ht="13">
      <c r="A466" s="38"/>
      <c r="B466" s="14"/>
      <c r="C466" s="38"/>
      <c r="D466" s="38"/>
      <c r="E466" s="38"/>
      <c r="F466" s="38"/>
      <c r="G466" s="38"/>
      <c r="H466" s="14"/>
      <c r="I466" s="38"/>
      <c r="J466" s="38"/>
      <c r="K466" s="14"/>
      <c r="L466" s="14"/>
      <c r="M466" s="14"/>
      <c r="N466" s="39"/>
      <c r="O466" s="39"/>
      <c r="P466" s="39"/>
      <c r="Q466" s="39"/>
      <c r="R466" s="39"/>
      <c r="S466" s="39"/>
      <c r="T466" s="39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  <c r="AM466" s="14"/>
      <c r="AN466" s="14"/>
      <c r="AO466" s="14"/>
      <c r="AP466" s="14"/>
    </row>
    <row r="467" spans="1:42" ht="13">
      <c r="A467" s="38"/>
      <c r="B467" s="14"/>
      <c r="C467" s="38"/>
      <c r="D467" s="38"/>
      <c r="E467" s="38"/>
      <c r="F467" s="38"/>
      <c r="G467" s="38"/>
      <c r="H467" s="14"/>
      <c r="I467" s="38"/>
      <c r="J467" s="38"/>
      <c r="K467" s="14"/>
      <c r="L467" s="14"/>
      <c r="M467" s="14"/>
      <c r="N467" s="39"/>
      <c r="O467" s="39"/>
      <c r="P467" s="39"/>
      <c r="Q467" s="39"/>
      <c r="R467" s="39"/>
      <c r="S467" s="39"/>
      <c r="T467" s="39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  <c r="AL467" s="14"/>
      <c r="AM467" s="14"/>
      <c r="AN467" s="14"/>
      <c r="AO467" s="14"/>
      <c r="AP467" s="14"/>
    </row>
    <row r="468" spans="1:42" ht="13">
      <c r="A468" s="38"/>
      <c r="B468" s="14"/>
      <c r="C468" s="38"/>
      <c r="D468" s="38"/>
      <c r="E468" s="38"/>
      <c r="F468" s="38"/>
      <c r="G468" s="38"/>
      <c r="H468" s="14"/>
      <c r="I468" s="38"/>
      <c r="J468" s="38"/>
      <c r="K468" s="14"/>
      <c r="L468" s="14"/>
      <c r="M468" s="14"/>
      <c r="N468" s="39"/>
      <c r="O468" s="39"/>
      <c r="P468" s="39"/>
      <c r="Q468" s="39"/>
      <c r="R468" s="39"/>
      <c r="S468" s="39"/>
      <c r="T468" s="39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  <c r="AL468" s="14"/>
      <c r="AM468" s="14"/>
      <c r="AN468" s="14"/>
      <c r="AO468" s="14"/>
      <c r="AP468" s="14"/>
    </row>
    <row r="469" spans="1:42" ht="13">
      <c r="A469" s="38"/>
      <c r="B469" s="14"/>
      <c r="C469" s="38"/>
      <c r="D469" s="38"/>
      <c r="E469" s="38"/>
      <c r="F469" s="38"/>
      <c r="G469" s="38"/>
      <c r="H469" s="14"/>
      <c r="I469" s="38"/>
      <c r="J469" s="38"/>
      <c r="K469" s="14"/>
      <c r="L469" s="14"/>
      <c r="M469" s="14"/>
      <c r="N469" s="39"/>
      <c r="O469" s="39"/>
      <c r="P469" s="39"/>
      <c r="Q469" s="39"/>
      <c r="R469" s="39"/>
      <c r="S469" s="39"/>
      <c r="T469" s="39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  <c r="AM469" s="14"/>
      <c r="AN469" s="14"/>
      <c r="AO469" s="14"/>
      <c r="AP469" s="14"/>
    </row>
    <row r="470" spans="1:42" ht="13">
      <c r="A470" s="38"/>
      <c r="B470" s="14"/>
      <c r="C470" s="38"/>
      <c r="D470" s="38"/>
      <c r="E470" s="38"/>
      <c r="F470" s="38"/>
      <c r="G470" s="38"/>
      <c r="H470" s="14"/>
      <c r="I470" s="38"/>
      <c r="J470" s="38"/>
      <c r="K470" s="14"/>
      <c r="L470" s="14"/>
      <c r="M470" s="14"/>
      <c r="N470" s="39"/>
      <c r="O470" s="39"/>
      <c r="P470" s="39"/>
      <c r="Q470" s="39"/>
      <c r="R470" s="39"/>
      <c r="S470" s="39"/>
      <c r="T470" s="39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  <c r="AM470" s="14"/>
      <c r="AN470" s="14"/>
      <c r="AO470" s="14"/>
      <c r="AP470" s="14"/>
    </row>
    <row r="471" spans="1:42" ht="13">
      <c r="A471" s="38"/>
      <c r="B471" s="14"/>
      <c r="C471" s="38"/>
      <c r="D471" s="38"/>
      <c r="E471" s="38"/>
      <c r="F471" s="38"/>
      <c r="G471" s="38"/>
      <c r="H471" s="14"/>
      <c r="I471" s="38"/>
      <c r="J471" s="38"/>
      <c r="K471" s="14"/>
      <c r="L471" s="14"/>
      <c r="M471" s="14"/>
      <c r="N471" s="39"/>
      <c r="O471" s="39"/>
      <c r="P471" s="39"/>
      <c r="Q471" s="39"/>
      <c r="R471" s="39"/>
      <c r="S471" s="39"/>
      <c r="T471" s="39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  <c r="AM471" s="14"/>
      <c r="AN471" s="14"/>
      <c r="AO471" s="14"/>
      <c r="AP471" s="14"/>
    </row>
    <row r="472" spans="1:42" ht="13">
      <c r="A472" s="38"/>
      <c r="B472" s="14"/>
      <c r="C472" s="38"/>
      <c r="D472" s="38"/>
      <c r="E472" s="38"/>
      <c r="F472" s="38"/>
      <c r="G472" s="38"/>
      <c r="H472" s="14"/>
      <c r="I472" s="38"/>
      <c r="J472" s="38"/>
      <c r="K472" s="14"/>
      <c r="L472" s="14"/>
      <c r="M472" s="14"/>
      <c r="N472" s="39"/>
      <c r="O472" s="39"/>
      <c r="P472" s="39"/>
      <c r="Q472" s="39"/>
      <c r="R472" s="39"/>
      <c r="S472" s="39"/>
      <c r="T472" s="39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  <c r="AL472" s="14"/>
      <c r="AM472" s="14"/>
      <c r="AN472" s="14"/>
      <c r="AO472" s="14"/>
      <c r="AP472" s="14"/>
    </row>
    <row r="473" spans="1:42" ht="13">
      <c r="A473" s="38"/>
      <c r="B473" s="14"/>
      <c r="C473" s="38"/>
      <c r="D473" s="38"/>
      <c r="E473" s="38"/>
      <c r="F473" s="38"/>
      <c r="G473" s="38"/>
      <c r="H473" s="14"/>
      <c r="I473" s="38"/>
      <c r="J473" s="38"/>
      <c r="K473" s="14"/>
      <c r="L473" s="14"/>
      <c r="M473" s="14"/>
      <c r="N473" s="39"/>
      <c r="O473" s="39"/>
      <c r="P473" s="39"/>
      <c r="Q473" s="39"/>
      <c r="R473" s="39"/>
      <c r="S473" s="39"/>
      <c r="T473" s="39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  <c r="AL473" s="14"/>
      <c r="AM473" s="14"/>
      <c r="AN473" s="14"/>
      <c r="AO473" s="14"/>
      <c r="AP473" s="14"/>
    </row>
    <row r="474" spans="1:42" ht="13">
      <c r="A474" s="38"/>
      <c r="B474" s="14"/>
      <c r="C474" s="38"/>
      <c r="D474" s="38"/>
      <c r="E474" s="38"/>
      <c r="F474" s="38"/>
      <c r="G474" s="38"/>
      <c r="H474" s="14"/>
      <c r="I474" s="38"/>
      <c r="J474" s="38"/>
      <c r="K474" s="14"/>
      <c r="L474" s="14"/>
      <c r="M474" s="14"/>
      <c r="N474" s="39"/>
      <c r="O474" s="39"/>
      <c r="P474" s="39"/>
      <c r="Q474" s="39"/>
      <c r="R474" s="39"/>
      <c r="S474" s="39"/>
      <c r="T474" s="39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  <c r="AL474" s="14"/>
      <c r="AM474" s="14"/>
      <c r="AN474" s="14"/>
      <c r="AO474" s="14"/>
      <c r="AP474" s="14"/>
    </row>
    <row r="475" spans="1:42" ht="13">
      <c r="A475" s="38"/>
      <c r="B475" s="14"/>
      <c r="C475" s="38"/>
      <c r="D475" s="38"/>
      <c r="E475" s="38"/>
      <c r="F475" s="38"/>
      <c r="G475" s="38"/>
      <c r="H475" s="14"/>
      <c r="I475" s="38"/>
      <c r="J475" s="38"/>
      <c r="K475" s="14"/>
      <c r="L475" s="14"/>
      <c r="M475" s="14"/>
      <c r="N475" s="39"/>
      <c r="O475" s="39"/>
      <c r="P475" s="39"/>
      <c r="Q475" s="39"/>
      <c r="R475" s="39"/>
      <c r="S475" s="39"/>
      <c r="T475" s="39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  <c r="AL475" s="14"/>
      <c r="AM475" s="14"/>
      <c r="AN475" s="14"/>
      <c r="AO475" s="14"/>
      <c r="AP475" s="14"/>
    </row>
    <row r="476" spans="1:42" ht="13">
      <c r="A476" s="38"/>
      <c r="B476" s="14"/>
      <c r="C476" s="38"/>
      <c r="D476" s="38"/>
      <c r="E476" s="38"/>
      <c r="F476" s="38"/>
      <c r="G476" s="38"/>
      <c r="H476" s="14"/>
      <c r="I476" s="38"/>
      <c r="J476" s="38"/>
      <c r="K476" s="14"/>
      <c r="L476" s="14"/>
      <c r="M476" s="14"/>
      <c r="N476" s="39"/>
      <c r="O476" s="39"/>
      <c r="P476" s="39"/>
      <c r="Q476" s="39"/>
      <c r="R476" s="39"/>
      <c r="S476" s="39"/>
      <c r="T476" s="39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  <c r="AK476" s="14"/>
      <c r="AL476" s="14"/>
      <c r="AM476" s="14"/>
      <c r="AN476" s="14"/>
      <c r="AO476" s="14"/>
      <c r="AP476" s="14"/>
    </row>
    <row r="477" spans="1:42" ht="13">
      <c r="A477" s="38"/>
      <c r="B477" s="14"/>
      <c r="C477" s="38"/>
      <c r="D477" s="38"/>
      <c r="E477" s="38"/>
      <c r="F477" s="38"/>
      <c r="G477" s="38"/>
      <c r="H477" s="14"/>
      <c r="I477" s="38"/>
      <c r="J477" s="38"/>
      <c r="K477" s="14"/>
      <c r="L477" s="14"/>
      <c r="M477" s="14"/>
      <c r="N477" s="39"/>
      <c r="O477" s="39"/>
      <c r="P477" s="39"/>
      <c r="Q477" s="39"/>
      <c r="R477" s="39"/>
      <c r="S477" s="39"/>
      <c r="T477" s="39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  <c r="AL477" s="14"/>
      <c r="AM477" s="14"/>
      <c r="AN477" s="14"/>
      <c r="AO477" s="14"/>
      <c r="AP477" s="14"/>
    </row>
    <row r="478" spans="1:42" ht="13">
      <c r="A478" s="38"/>
      <c r="B478" s="14"/>
      <c r="C478" s="38"/>
      <c r="D478" s="38"/>
      <c r="E478" s="38"/>
      <c r="F478" s="38"/>
      <c r="G478" s="38"/>
      <c r="H478" s="14"/>
      <c r="I478" s="38"/>
      <c r="J478" s="38"/>
      <c r="K478" s="14"/>
      <c r="L478" s="14"/>
      <c r="M478" s="14"/>
      <c r="N478" s="39"/>
      <c r="O478" s="39"/>
      <c r="P478" s="39"/>
      <c r="Q478" s="39"/>
      <c r="R478" s="39"/>
      <c r="S478" s="39"/>
      <c r="T478" s="39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  <c r="AL478" s="14"/>
      <c r="AM478" s="14"/>
      <c r="AN478" s="14"/>
      <c r="AO478" s="14"/>
      <c r="AP478" s="14"/>
    </row>
    <row r="479" spans="1:42" ht="13">
      <c r="A479" s="38"/>
      <c r="B479" s="14"/>
      <c r="C479" s="38"/>
      <c r="D479" s="38"/>
      <c r="E479" s="38"/>
      <c r="F479" s="38"/>
      <c r="G479" s="38"/>
      <c r="H479" s="14"/>
      <c r="I479" s="38"/>
      <c r="J479" s="38"/>
      <c r="K479" s="14"/>
      <c r="L479" s="14"/>
      <c r="M479" s="14"/>
      <c r="N479" s="39"/>
      <c r="O479" s="39"/>
      <c r="P479" s="39"/>
      <c r="Q479" s="39"/>
      <c r="R479" s="39"/>
      <c r="S479" s="39"/>
      <c r="T479" s="39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  <c r="AL479" s="14"/>
      <c r="AM479" s="14"/>
      <c r="AN479" s="14"/>
      <c r="AO479" s="14"/>
      <c r="AP479" s="14"/>
    </row>
    <row r="480" spans="1:42" ht="13">
      <c r="A480" s="38"/>
      <c r="B480" s="14"/>
      <c r="C480" s="38"/>
      <c r="D480" s="38"/>
      <c r="E480" s="38"/>
      <c r="F480" s="38"/>
      <c r="G480" s="38"/>
      <c r="H480" s="14"/>
      <c r="I480" s="38"/>
      <c r="J480" s="38"/>
      <c r="K480" s="14"/>
      <c r="L480" s="14"/>
      <c r="M480" s="14"/>
      <c r="N480" s="39"/>
      <c r="O480" s="39"/>
      <c r="P480" s="39"/>
      <c r="Q480" s="39"/>
      <c r="R480" s="39"/>
      <c r="S480" s="39"/>
      <c r="T480" s="39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  <c r="AK480" s="14"/>
      <c r="AL480" s="14"/>
      <c r="AM480" s="14"/>
      <c r="AN480" s="14"/>
      <c r="AO480" s="14"/>
      <c r="AP480" s="14"/>
    </row>
    <row r="481" spans="1:42" ht="13">
      <c r="A481" s="38"/>
      <c r="B481" s="14"/>
      <c r="C481" s="38"/>
      <c r="D481" s="38"/>
      <c r="E481" s="38"/>
      <c r="F481" s="38"/>
      <c r="G481" s="38"/>
      <c r="H481" s="14"/>
      <c r="I481" s="38"/>
      <c r="J481" s="38"/>
      <c r="K481" s="14"/>
      <c r="L481" s="14"/>
      <c r="M481" s="14"/>
      <c r="N481" s="39"/>
      <c r="O481" s="39"/>
      <c r="P481" s="39"/>
      <c r="Q481" s="39"/>
      <c r="R481" s="39"/>
      <c r="S481" s="39"/>
      <c r="T481" s="39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  <c r="AL481" s="14"/>
      <c r="AM481" s="14"/>
      <c r="AN481" s="14"/>
      <c r="AO481" s="14"/>
      <c r="AP481" s="14"/>
    </row>
    <row r="482" spans="1:42" ht="13">
      <c r="A482" s="38"/>
      <c r="B482" s="14"/>
      <c r="C482" s="38"/>
      <c r="D482" s="38"/>
      <c r="E482" s="38"/>
      <c r="F482" s="38"/>
      <c r="G482" s="38"/>
      <c r="H482" s="14"/>
      <c r="I482" s="38"/>
      <c r="J482" s="38"/>
      <c r="K482" s="14"/>
      <c r="L482" s="14"/>
      <c r="M482" s="14"/>
      <c r="N482" s="39"/>
      <c r="O482" s="39"/>
      <c r="P482" s="39"/>
      <c r="Q482" s="39"/>
      <c r="R482" s="39"/>
      <c r="S482" s="39"/>
      <c r="T482" s="39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  <c r="AK482" s="14"/>
      <c r="AL482" s="14"/>
      <c r="AM482" s="14"/>
      <c r="AN482" s="14"/>
      <c r="AO482" s="14"/>
      <c r="AP482" s="14"/>
    </row>
    <row r="483" spans="1:42" ht="13">
      <c r="A483" s="38"/>
      <c r="B483" s="14"/>
      <c r="C483" s="38"/>
      <c r="D483" s="38"/>
      <c r="E483" s="38"/>
      <c r="F483" s="38"/>
      <c r="G483" s="38"/>
      <c r="H483" s="14"/>
      <c r="I483" s="38"/>
      <c r="J483" s="38"/>
      <c r="K483" s="14"/>
      <c r="L483" s="14"/>
      <c r="M483" s="14"/>
      <c r="N483" s="39"/>
      <c r="O483" s="39"/>
      <c r="P483" s="39"/>
      <c r="Q483" s="39"/>
      <c r="R483" s="39"/>
      <c r="S483" s="39"/>
      <c r="T483" s="39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  <c r="AL483" s="14"/>
      <c r="AM483" s="14"/>
      <c r="AN483" s="14"/>
      <c r="AO483" s="14"/>
      <c r="AP483" s="14"/>
    </row>
    <row r="484" spans="1:42" ht="13">
      <c r="A484" s="38"/>
      <c r="B484" s="14"/>
      <c r="C484" s="38"/>
      <c r="D484" s="38"/>
      <c r="E484" s="38"/>
      <c r="F484" s="38"/>
      <c r="G484" s="38"/>
      <c r="H484" s="14"/>
      <c r="I484" s="38"/>
      <c r="J484" s="38"/>
      <c r="K484" s="14"/>
      <c r="L484" s="14"/>
      <c r="M484" s="14"/>
      <c r="N484" s="39"/>
      <c r="O484" s="39"/>
      <c r="P484" s="39"/>
      <c r="Q484" s="39"/>
      <c r="R484" s="39"/>
      <c r="S484" s="39"/>
      <c r="T484" s="39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  <c r="AL484" s="14"/>
      <c r="AM484" s="14"/>
      <c r="AN484" s="14"/>
      <c r="AO484" s="14"/>
      <c r="AP484" s="14"/>
    </row>
    <row r="485" spans="1:42" ht="13">
      <c r="A485" s="38"/>
      <c r="B485" s="14"/>
      <c r="C485" s="38"/>
      <c r="D485" s="38"/>
      <c r="E485" s="38"/>
      <c r="F485" s="38"/>
      <c r="G485" s="38"/>
      <c r="H485" s="14"/>
      <c r="I485" s="38"/>
      <c r="J485" s="38"/>
      <c r="K485" s="14"/>
      <c r="L485" s="14"/>
      <c r="M485" s="14"/>
      <c r="N485" s="39"/>
      <c r="O485" s="39"/>
      <c r="P485" s="39"/>
      <c r="Q485" s="39"/>
      <c r="R485" s="39"/>
      <c r="S485" s="39"/>
      <c r="T485" s="39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  <c r="AL485" s="14"/>
      <c r="AM485" s="14"/>
      <c r="AN485" s="14"/>
      <c r="AO485" s="14"/>
      <c r="AP485" s="14"/>
    </row>
    <row r="486" spans="1:42" ht="13">
      <c r="A486" s="38"/>
      <c r="B486" s="14"/>
      <c r="C486" s="38"/>
      <c r="D486" s="38"/>
      <c r="E486" s="38"/>
      <c r="F486" s="38"/>
      <c r="G486" s="38"/>
      <c r="H486" s="14"/>
      <c r="I486" s="38"/>
      <c r="J486" s="38"/>
      <c r="K486" s="14"/>
      <c r="L486" s="14"/>
      <c r="M486" s="14"/>
      <c r="N486" s="39"/>
      <c r="O486" s="39"/>
      <c r="P486" s="39"/>
      <c r="Q486" s="39"/>
      <c r="R486" s="39"/>
      <c r="S486" s="39"/>
      <c r="T486" s="39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  <c r="AJ486" s="14"/>
      <c r="AK486" s="14"/>
      <c r="AL486" s="14"/>
      <c r="AM486" s="14"/>
      <c r="AN486" s="14"/>
      <c r="AO486" s="14"/>
      <c r="AP486" s="14"/>
    </row>
    <row r="487" spans="1:42" ht="13">
      <c r="A487" s="38"/>
      <c r="B487" s="14"/>
      <c r="C487" s="38"/>
      <c r="D487" s="38"/>
      <c r="E487" s="38"/>
      <c r="F487" s="38"/>
      <c r="G487" s="38"/>
      <c r="H487" s="14"/>
      <c r="I487" s="38"/>
      <c r="J487" s="38"/>
      <c r="K487" s="14"/>
      <c r="L487" s="14"/>
      <c r="M487" s="14"/>
      <c r="N487" s="39"/>
      <c r="O487" s="39"/>
      <c r="P487" s="39"/>
      <c r="Q487" s="39"/>
      <c r="R487" s="39"/>
      <c r="S487" s="39"/>
      <c r="T487" s="39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  <c r="AL487" s="14"/>
      <c r="AM487" s="14"/>
      <c r="AN487" s="14"/>
      <c r="AO487" s="14"/>
      <c r="AP487" s="14"/>
    </row>
    <row r="488" spans="1:42" ht="13">
      <c r="A488" s="38"/>
      <c r="B488" s="14"/>
      <c r="C488" s="38"/>
      <c r="D488" s="38"/>
      <c r="E488" s="38"/>
      <c r="F488" s="38"/>
      <c r="G488" s="38"/>
      <c r="H488" s="14"/>
      <c r="I488" s="38"/>
      <c r="J488" s="38"/>
      <c r="K488" s="14"/>
      <c r="L488" s="14"/>
      <c r="M488" s="14"/>
      <c r="N488" s="39"/>
      <c r="O488" s="39"/>
      <c r="P488" s="39"/>
      <c r="Q488" s="39"/>
      <c r="R488" s="39"/>
      <c r="S488" s="39"/>
      <c r="T488" s="39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  <c r="AL488" s="14"/>
      <c r="AM488" s="14"/>
      <c r="AN488" s="14"/>
      <c r="AO488" s="14"/>
      <c r="AP488" s="14"/>
    </row>
    <row r="489" spans="1:42" ht="13">
      <c r="A489" s="38"/>
      <c r="B489" s="14"/>
      <c r="C489" s="38"/>
      <c r="D489" s="38"/>
      <c r="E489" s="38"/>
      <c r="F489" s="38"/>
      <c r="G489" s="38"/>
      <c r="H489" s="14"/>
      <c r="I489" s="38"/>
      <c r="J489" s="38"/>
      <c r="K489" s="14"/>
      <c r="L489" s="14"/>
      <c r="M489" s="14"/>
      <c r="N489" s="39"/>
      <c r="O489" s="39"/>
      <c r="P489" s="39"/>
      <c r="Q489" s="39"/>
      <c r="R489" s="39"/>
      <c r="S489" s="39"/>
      <c r="T489" s="39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  <c r="AK489" s="14"/>
      <c r="AL489" s="14"/>
      <c r="AM489" s="14"/>
      <c r="AN489" s="14"/>
      <c r="AO489" s="14"/>
      <c r="AP489" s="14"/>
    </row>
    <row r="490" spans="1:42" ht="13">
      <c r="A490" s="38"/>
      <c r="B490" s="14"/>
      <c r="C490" s="38"/>
      <c r="D490" s="38"/>
      <c r="E490" s="38"/>
      <c r="F490" s="38"/>
      <c r="G490" s="38"/>
      <c r="H490" s="14"/>
      <c r="I490" s="38"/>
      <c r="J490" s="38"/>
      <c r="K490" s="14"/>
      <c r="L490" s="14"/>
      <c r="M490" s="14"/>
      <c r="N490" s="39"/>
      <c r="O490" s="39"/>
      <c r="P490" s="39"/>
      <c r="Q490" s="39"/>
      <c r="R490" s="39"/>
      <c r="S490" s="39"/>
      <c r="T490" s="39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  <c r="AJ490" s="14"/>
      <c r="AK490" s="14"/>
      <c r="AL490" s="14"/>
      <c r="AM490" s="14"/>
      <c r="AN490" s="14"/>
      <c r="AO490" s="14"/>
      <c r="AP490" s="14"/>
    </row>
    <row r="491" spans="1:42" ht="13">
      <c r="A491" s="38"/>
      <c r="B491" s="14"/>
      <c r="C491" s="38"/>
      <c r="D491" s="38"/>
      <c r="E491" s="38"/>
      <c r="F491" s="38"/>
      <c r="G491" s="38"/>
      <c r="H491" s="14"/>
      <c r="I491" s="38"/>
      <c r="J491" s="38"/>
      <c r="K491" s="14"/>
      <c r="L491" s="14"/>
      <c r="M491" s="14"/>
      <c r="N491" s="39"/>
      <c r="O491" s="39"/>
      <c r="P491" s="39"/>
      <c r="Q491" s="39"/>
      <c r="R491" s="39"/>
      <c r="S491" s="39"/>
      <c r="T491" s="39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  <c r="AK491" s="14"/>
      <c r="AL491" s="14"/>
      <c r="AM491" s="14"/>
      <c r="AN491" s="14"/>
      <c r="AO491" s="14"/>
      <c r="AP491" s="14"/>
    </row>
    <row r="492" spans="1:42" ht="13">
      <c r="A492" s="38"/>
      <c r="B492" s="14"/>
      <c r="C492" s="38"/>
      <c r="D492" s="38"/>
      <c r="E492" s="38"/>
      <c r="F492" s="38"/>
      <c r="G492" s="38"/>
      <c r="H492" s="14"/>
      <c r="I492" s="38"/>
      <c r="J492" s="38"/>
      <c r="K492" s="14"/>
      <c r="L492" s="14"/>
      <c r="M492" s="14"/>
      <c r="N492" s="39"/>
      <c r="O492" s="39"/>
      <c r="P492" s="39"/>
      <c r="Q492" s="39"/>
      <c r="R492" s="39"/>
      <c r="S492" s="39"/>
      <c r="T492" s="39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  <c r="AK492" s="14"/>
      <c r="AL492" s="14"/>
      <c r="AM492" s="14"/>
      <c r="AN492" s="14"/>
      <c r="AO492" s="14"/>
      <c r="AP492" s="14"/>
    </row>
    <row r="493" spans="1:42" ht="13">
      <c r="A493" s="38"/>
      <c r="B493" s="14"/>
      <c r="C493" s="38"/>
      <c r="D493" s="38"/>
      <c r="E493" s="38"/>
      <c r="F493" s="38"/>
      <c r="G493" s="38"/>
      <c r="H493" s="14"/>
      <c r="I493" s="38"/>
      <c r="J493" s="38"/>
      <c r="K493" s="14"/>
      <c r="L493" s="14"/>
      <c r="M493" s="14"/>
      <c r="N493" s="39"/>
      <c r="O493" s="39"/>
      <c r="P493" s="39"/>
      <c r="Q493" s="39"/>
      <c r="R493" s="39"/>
      <c r="S493" s="39"/>
      <c r="T493" s="39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  <c r="AL493" s="14"/>
      <c r="AM493" s="14"/>
      <c r="AN493" s="14"/>
      <c r="AO493" s="14"/>
      <c r="AP493" s="14"/>
    </row>
    <row r="494" spans="1:42" ht="13">
      <c r="A494" s="38"/>
      <c r="B494" s="14"/>
      <c r="C494" s="38"/>
      <c r="D494" s="38"/>
      <c r="E494" s="38"/>
      <c r="F494" s="38"/>
      <c r="G494" s="38"/>
      <c r="H494" s="14"/>
      <c r="I494" s="38"/>
      <c r="J494" s="38"/>
      <c r="K494" s="14"/>
      <c r="L494" s="14"/>
      <c r="M494" s="14"/>
      <c r="N494" s="39"/>
      <c r="O494" s="39"/>
      <c r="P494" s="39"/>
      <c r="Q494" s="39"/>
      <c r="R494" s="39"/>
      <c r="S494" s="39"/>
      <c r="T494" s="39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  <c r="AK494" s="14"/>
      <c r="AL494" s="14"/>
      <c r="AM494" s="14"/>
      <c r="AN494" s="14"/>
      <c r="AO494" s="14"/>
      <c r="AP494" s="14"/>
    </row>
    <row r="495" spans="1:42" ht="13">
      <c r="A495" s="38"/>
      <c r="B495" s="14"/>
      <c r="C495" s="38"/>
      <c r="D495" s="38"/>
      <c r="E495" s="38"/>
      <c r="F495" s="38"/>
      <c r="G495" s="38"/>
      <c r="H495" s="14"/>
      <c r="I495" s="38"/>
      <c r="J495" s="38"/>
      <c r="K495" s="14"/>
      <c r="L495" s="14"/>
      <c r="M495" s="14"/>
      <c r="N495" s="39"/>
      <c r="O495" s="39"/>
      <c r="P495" s="39"/>
      <c r="Q495" s="39"/>
      <c r="R495" s="39"/>
      <c r="S495" s="39"/>
      <c r="T495" s="39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  <c r="AL495" s="14"/>
      <c r="AM495" s="14"/>
      <c r="AN495" s="14"/>
      <c r="AO495" s="14"/>
      <c r="AP495" s="14"/>
    </row>
    <row r="496" spans="1:42" ht="13">
      <c r="A496" s="38"/>
      <c r="B496" s="14"/>
      <c r="C496" s="38"/>
      <c r="D496" s="38"/>
      <c r="E496" s="38"/>
      <c r="F496" s="38"/>
      <c r="G496" s="38"/>
      <c r="H496" s="14"/>
      <c r="I496" s="38"/>
      <c r="J496" s="38"/>
      <c r="K496" s="14"/>
      <c r="L496" s="14"/>
      <c r="M496" s="14"/>
      <c r="N496" s="39"/>
      <c r="O496" s="39"/>
      <c r="P496" s="39"/>
      <c r="Q496" s="39"/>
      <c r="R496" s="39"/>
      <c r="S496" s="39"/>
      <c r="T496" s="39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  <c r="AJ496" s="14"/>
      <c r="AK496" s="14"/>
      <c r="AL496" s="14"/>
      <c r="AM496" s="14"/>
      <c r="AN496" s="14"/>
      <c r="AO496" s="14"/>
      <c r="AP496" s="14"/>
    </row>
    <row r="497" spans="1:42" ht="13">
      <c r="A497" s="38"/>
      <c r="B497" s="14"/>
      <c r="C497" s="38"/>
      <c r="D497" s="38"/>
      <c r="E497" s="38"/>
      <c r="F497" s="38"/>
      <c r="G497" s="38"/>
      <c r="H497" s="14"/>
      <c r="I497" s="38"/>
      <c r="J497" s="38"/>
      <c r="K497" s="14"/>
      <c r="L497" s="14"/>
      <c r="M497" s="14"/>
      <c r="N497" s="39"/>
      <c r="O497" s="39"/>
      <c r="P497" s="39"/>
      <c r="Q497" s="39"/>
      <c r="R497" s="39"/>
      <c r="S497" s="39"/>
      <c r="T497" s="39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  <c r="AL497" s="14"/>
      <c r="AM497" s="14"/>
      <c r="AN497" s="14"/>
      <c r="AO497" s="14"/>
      <c r="AP497" s="14"/>
    </row>
    <row r="498" spans="1:42" ht="13">
      <c r="A498" s="38"/>
      <c r="B498" s="14"/>
      <c r="C498" s="38"/>
      <c r="D498" s="38"/>
      <c r="E498" s="38"/>
      <c r="F498" s="38"/>
      <c r="G498" s="38"/>
      <c r="H498" s="14"/>
      <c r="I498" s="38"/>
      <c r="J498" s="38"/>
      <c r="K498" s="14"/>
      <c r="L498" s="14"/>
      <c r="M498" s="14"/>
      <c r="N498" s="39"/>
      <c r="O498" s="39"/>
      <c r="P498" s="39"/>
      <c r="Q498" s="39"/>
      <c r="R498" s="39"/>
      <c r="S498" s="39"/>
      <c r="T498" s="39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  <c r="AL498" s="14"/>
      <c r="AM498" s="14"/>
      <c r="AN498" s="14"/>
      <c r="AO498" s="14"/>
      <c r="AP498" s="14"/>
    </row>
    <row r="499" spans="1:42" ht="13">
      <c r="A499" s="38"/>
      <c r="B499" s="14"/>
      <c r="C499" s="38"/>
      <c r="D499" s="38"/>
      <c r="E499" s="38"/>
      <c r="F499" s="38"/>
      <c r="G499" s="38"/>
      <c r="H499" s="14"/>
      <c r="I499" s="38"/>
      <c r="J499" s="38"/>
      <c r="K499" s="14"/>
      <c r="L499" s="14"/>
      <c r="M499" s="14"/>
      <c r="N499" s="39"/>
      <c r="O499" s="39"/>
      <c r="P499" s="39"/>
      <c r="Q499" s="39"/>
      <c r="R499" s="39"/>
      <c r="S499" s="39"/>
      <c r="T499" s="39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  <c r="AJ499" s="14"/>
      <c r="AK499" s="14"/>
      <c r="AL499" s="14"/>
      <c r="AM499" s="14"/>
      <c r="AN499" s="14"/>
      <c r="AO499" s="14"/>
      <c r="AP499" s="14"/>
    </row>
    <row r="500" spans="1:42" ht="13">
      <c r="A500" s="38"/>
      <c r="B500" s="14"/>
      <c r="C500" s="38"/>
      <c r="D500" s="38"/>
      <c r="E500" s="38"/>
      <c r="F500" s="38"/>
      <c r="G500" s="38"/>
      <c r="H500" s="14"/>
      <c r="I500" s="38"/>
      <c r="J500" s="38"/>
      <c r="K500" s="14"/>
      <c r="L500" s="14"/>
      <c r="M500" s="14"/>
      <c r="N500" s="39"/>
      <c r="O500" s="39"/>
      <c r="P500" s="39"/>
      <c r="Q500" s="39"/>
      <c r="R500" s="39"/>
      <c r="S500" s="39"/>
      <c r="T500" s="39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  <c r="AL500" s="14"/>
      <c r="AM500" s="14"/>
      <c r="AN500" s="14"/>
      <c r="AO500" s="14"/>
      <c r="AP500" s="14"/>
    </row>
    <row r="501" spans="1:42" ht="13">
      <c r="A501" s="38"/>
      <c r="B501" s="14"/>
      <c r="C501" s="38"/>
      <c r="D501" s="38"/>
      <c r="E501" s="38"/>
      <c r="F501" s="38"/>
      <c r="G501" s="38"/>
      <c r="H501" s="14"/>
      <c r="I501" s="38"/>
      <c r="J501" s="38"/>
      <c r="K501" s="14"/>
      <c r="L501" s="14"/>
      <c r="M501" s="14"/>
      <c r="N501" s="39"/>
      <c r="O501" s="39"/>
      <c r="P501" s="39"/>
      <c r="Q501" s="39"/>
      <c r="R501" s="39"/>
      <c r="S501" s="39"/>
      <c r="T501" s="39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  <c r="AJ501" s="14"/>
      <c r="AK501" s="14"/>
      <c r="AL501" s="14"/>
      <c r="AM501" s="14"/>
      <c r="AN501" s="14"/>
      <c r="AO501" s="14"/>
      <c r="AP501" s="14"/>
    </row>
    <row r="502" spans="1:42" ht="13">
      <c r="A502" s="38"/>
      <c r="B502" s="14"/>
      <c r="C502" s="38"/>
      <c r="D502" s="38"/>
      <c r="E502" s="38"/>
      <c r="F502" s="38"/>
      <c r="G502" s="38"/>
      <c r="H502" s="14"/>
      <c r="I502" s="38"/>
      <c r="J502" s="38"/>
      <c r="K502" s="14"/>
      <c r="L502" s="14"/>
      <c r="M502" s="14"/>
      <c r="N502" s="39"/>
      <c r="O502" s="39"/>
      <c r="P502" s="39"/>
      <c r="Q502" s="39"/>
      <c r="R502" s="39"/>
      <c r="S502" s="39"/>
      <c r="T502" s="39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  <c r="AI502" s="14"/>
      <c r="AJ502" s="14"/>
      <c r="AK502" s="14"/>
      <c r="AL502" s="14"/>
      <c r="AM502" s="14"/>
      <c r="AN502" s="14"/>
      <c r="AO502" s="14"/>
      <c r="AP502" s="14"/>
    </row>
    <row r="503" spans="1:42" ht="13">
      <c r="A503" s="38"/>
      <c r="B503" s="14"/>
      <c r="C503" s="38"/>
      <c r="D503" s="38"/>
      <c r="E503" s="38"/>
      <c r="F503" s="38"/>
      <c r="G503" s="38"/>
      <c r="H503" s="14"/>
      <c r="I503" s="38"/>
      <c r="J503" s="38"/>
      <c r="K503" s="14"/>
      <c r="L503" s="14"/>
      <c r="M503" s="14"/>
      <c r="N503" s="39"/>
      <c r="O503" s="39"/>
      <c r="P503" s="39"/>
      <c r="Q503" s="39"/>
      <c r="R503" s="39"/>
      <c r="S503" s="39"/>
      <c r="T503" s="39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  <c r="AJ503" s="14"/>
      <c r="AK503" s="14"/>
      <c r="AL503" s="14"/>
      <c r="AM503" s="14"/>
      <c r="AN503" s="14"/>
      <c r="AO503" s="14"/>
      <c r="AP503" s="14"/>
    </row>
    <row r="504" spans="1:42" ht="13">
      <c r="A504" s="38"/>
      <c r="B504" s="14"/>
      <c r="C504" s="38"/>
      <c r="D504" s="38"/>
      <c r="E504" s="38"/>
      <c r="F504" s="38"/>
      <c r="G504" s="38"/>
      <c r="H504" s="14"/>
      <c r="I504" s="38"/>
      <c r="J504" s="38"/>
      <c r="K504" s="14"/>
      <c r="L504" s="14"/>
      <c r="M504" s="14"/>
      <c r="N504" s="39"/>
      <c r="O504" s="39"/>
      <c r="P504" s="39"/>
      <c r="Q504" s="39"/>
      <c r="R504" s="39"/>
      <c r="S504" s="39"/>
      <c r="T504" s="39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  <c r="AI504" s="14"/>
      <c r="AJ504" s="14"/>
      <c r="AK504" s="14"/>
      <c r="AL504" s="14"/>
      <c r="AM504" s="14"/>
      <c r="AN504" s="14"/>
      <c r="AO504" s="14"/>
      <c r="AP504" s="14"/>
    </row>
    <row r="505" spans="1:42" ht="13">
      <c r="A505" s="38"/>
      <c r="B505" s="14"/>
      <c r="C505" s="38"/>
      <c r="D505" s="38"/>
      <c r="E505" s="38"/>
      <c r="F505" s="38"/>
      <c r="G505" s="38"/>
      <c r="H505" s="14"/>
      <c r="I505" s="38"/>
      <c r="J505" s="38"/>
      <c r="K505" s="14"/>
      <c r="L505" s="14"/>
      <c r="M505" s="14"/>
      <c r="N505" s="39"/>
      <c r="O505" s="39"/>
      <c r="P505" s="39"/>
      <c r="Q505" s="39"/>
      <c r="R505" s="39"/>
      <c r="S505" s="39"/>
      <c r="T505" s="39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  <c r="AJ505" s="14"/>
      <c r="AK505" s="14"/>
      <c r="AL505" s="14"/>
      <c r="AM505" s="14"/>
      <c r="AN505" s="14"/>
      <c r="AO505" s="14"/>
      <c r="AP505" s="14"/>
    </row>
    <row r="506" spans="1:42" ht="13">
      <c r="A506" s="38"/>
      <c r="B506" s="14"/>
      <c r="C506" s="38"/>
      <c r="D506" s="38"/>
      <c r="E506" s="38"/>
      <c r="F506" s="38"/>
      <c r="G506" s="38"/>
      <c r="H506" s="14"/>
      <c r="I506" s="38"/>
      <c r="J506" s="38"/>
      <c r="K506" s="14"/>
      <c r="L506" s="14"/>
      <c r="M506" s="14"/>
      <c r="N506" s="39"/>
      <c r="O506" s="39"/>
      <c r="P506" s="39"/>
      <c r="Q506" s="39"/>
      <c r="R506" s="39"/>
      <c r="S506" s="39"/>
      <c r="T506" s="39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  <c r="AJ506" s="14"/>
      <c r="AK506" s="14"/>
      <c r="AL506" s="14"/>
      <c r="AM506" s="14"/>
      <c r="AN506" s="14"/>
      <c r="AO506" s="14"/>
      <c r="AP506" s="14"/>
    </row>
    <row r="507" spans="1:42" ht="13">
      <c r="A507" s="38"/>
      <c r="B507" s="14"/>
      <c r="C507" s="38"/>
      <c r="D507" s="38"/>
      <c r="E507" s="38"/>
      <c r="F507" s="38"/>
      <c r="G507" s="38"/>
      <c r="H507" s="14"/>
      <c r="I507" s="38"/>
      <c r="J507" s="38"/>
      <c r="K507" s="14"/>
      <c r="L507" s="14"/>
      <c r="M507" s="14"/>
      <c r="N507" s="39"/>
      <c r="O507" s="39"/>
      <c r="P507" s="39"/>
      <c r="Q507" s="39"/>
      <c r="R507" s="39"/>
      <c r="S507" s="39"/>
      <c r="T507" s="39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  <c r="AJ507" s="14"/>
      <c r="AK507" s="14"/>
      <c r="AL507" s="14"/>
      <c r="AM507" s="14"/>
      <c r="AN507" s="14"/>
      <c r="AO507" s="14"/>
      <c r="AP507" s="14"/>
    </row>
    <row r="508" spans="1:42" ht="13">
      <c r="A508" s="38"/>
      <c r="B508" s="14"/>
      <c r="C508" s="38"/>
      <c r="D508" s="38"/>
      <c r="E508" s="38"/>
      <c r="F508" s="38"/>
      <c r="G508" s="38"/>
      <c r="H508" s="14"/>
      <c r="I508" s="38"/>
      <c r="J508" s="38"/>
      <c r="K508" s="14"/>
      <c r="L508" s="14"/>
      <c r="M508" s="14"/>
      <c r="N508" s="39"/>
      <c r="O508" s="39"/>
      <c r="P508" s="39"/>
      <c r="Q508" s="39"/>
      <c r="R508" s="39"/>
      <c r="S508" s="39"/>
      <c r="T508" s="39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  <c r="AI508" s="14"/>
      <c r="AJ508" s="14"/>
      <c r="AK508" s="14"/>
      <c r="AL508" s="14"/>
      <c r="AM508" s="14"/>
      <c r="AN508" s="14"/>
      <c r="AO508" s="14"/>
      <c r="AP508" s="14"/>
    </row>
    <row r="509" spans="1:42" ht="13">
      <c r="A509" s="38"/>
      <c r="B509" s="14"/>
      <c r="C509" s="38"/>
      <c r="D509" s="38"/>
      <c r="E509" s="38"/>
      <c r="F509" s="38"/>
      <c r="G509" s="38"/>
      <c r="H509" s="14"/>
      <c r="I509" s="38"/>
      <c r="J509" s="38"/>
      <c r="K509" s="14"/>
      <c r="L509" s="14"/>
      <c r="M509" s="14"/>
      <c r="N509" s="39"/>
      <c r="O509" s="39"/>
      <c r="P509" s="39"/>
      <c r="Q509" s="39"/>
      <c r="R509" s="39"/>
      <c r="S509" s="39"/>
      <c r="T509" s="39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  <c r="AJ509" s="14"/>
      <c r="AK509" s="14"/>
      <c r="AL509" s="14"/>
      <c r="AM509" s="14"/>
      <c r="AN509" s="14"/>
      <c r="AO509" s="14"/>
      <c r="AP509" s="14"/>
    </row>
    <row r="510" spans="1:42" ht="13">
      <c r="A510" s="38"/>
      <c r="B510" s="14"/>
      <c r="C510" s="38"/>
      <c r="D510" s="38"/>
      <c r="E510" s="38"/>
      <c r="F510" s="38"/>
      <c r="G510" s="38"/>
      <c r="H510" s="14"/>
      <c r="I510" s="38"/>
      <c r="J510" s="38"/>
      <c r="K510" s="14"/>
      <c r="L510" s="14"/>
      <c r="M510" s="14"/>
      <c r="N510" s="39"/>
      <c r="O510" s="39"/>
      <c r="P510" s="39"/>
      <c r="Q510" s="39"/>
      <c r="R510" s="39"/>
      <c r="S510" s="39"/>
      <c r="T510" s="39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  <c r="AI510" s="14"/>
      <c r="AJ510" s="14"/>
      <c r="AK510" s="14"/>
      <c r="AL510" s="14"/>
      <c r="AM510" s="14"/>
      <c r="AN510" s="14"/>
      <c r="AO510" s="14"/>
      <c r="AP510" s="14"/>
    </row>
    <row r="511" spans="1:42" ht="13">
      <c r="A511" s="38"/>
      <c r="B511" s="14"/>
      <c r="C511" s="38"/>
      <c r="D511" s="38"/>
      <c r="E511" s="38"/>
      <c r="F511" s="38"/>
      <c r="G511" s="38"/>
      <c r="H511" s="14"/>
      <c r="I511" s="38"/>
      <c r="J511" s="38"/>
      <c r="K511" s="14"/>
      <c r="L511" s="14"/>
      <c r="M511" s="14"/>
      <c r="N511" s="39"/>
      <c r="O511" s="39"/>
      <c r="P511" s="39"/>
      <c r="Q511" s="39"/>
      <c r="R511" s="39"/>
      <c r="S511" s="39"/>
      <c r="T511" s="39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  <c r="AL511" s="14"/>
      <c r="AM511" s="14"/>
      <c r="AN511" s="14"/>
      <c r="AO511" s="14"/>
      <c r="AP511" s="14"/>
    </row>
    <row r="512" spans="1:42" ht="13">
      <c r="A512" s="38"/>
      <c r="B512" s="14"/>
      <c r="C512" s="38"/>
      <c r="D512" s="38"/>
      <c r="E512" s="38"/>
      <c r="F512" s="38"/>
      <c r="G512" s="38"/>
      <c r="H512" s="14"/>
      <c r="I512" s="38"/>
      <c r="J512" s="38"/>
      <c r="K512" s="14"/>
      <c r="L512" s="14"/>
      <c r="M512" s="14"/>
      <c r="N512" s="39"/>
      <c r="O512" s="39"/>
      <c r="P512" s="39"/>
      <c r="Q512" s="39"/>
      <c r="R512" s="39"/>
      <c r="S512" s="39"/>
      <c r="T512" s="39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  <c r="AI512" s="14"/>
      <c r="AJ512" s="14"/>
      <c r="AK512" s="14"/>
      <c r="AL512" s="14"/>
      <c r="AM512" s="14"/>
      <c r="AN512" s="14"/>
      <c r="AO512" s="14"/>
      <c r="AP512" s="14"/>
    </row>
    <row r="513" spans="1:42" ht="13">
      <c r="A513" s="38"/>
      <c r="B513" s="14"/>
      <c r="C513" s="38"/>
      <c r="D513" s="38"/>
      <c r="E513" s="38"/>
      <c r="F513" s="38"/>
      <c r="G513" s="38"/>
      <c r="H513" s="14"/>
      <c r="I513" s="38"/>
      <c r="J513" s="38"/>
      <c r="K513" s="14"/>
      <c r="L513" s="14"/>
      <c r="M513" s="14"/>
      <c r="N513" s="39"/>
      <c r="O513" s="39"/>
      <c r="P513" s="39"/>
      <c r="Q513" s="39"/>
      <c r="R513" s="39"/>
      <c r="S513" s="39"/>
      <c r="T513" s="39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  <c r="AK513" s="14"/>
      <c r="AL513" s="14"/>
      <c r="AM513" s="14"/>
      <c r="AN513" s="14"/>
      <c r="AO513" s="14"/>
      <c r="AP513" s="14"/>
    </row>
    <row r="514" spans="1:42" ht="13">
      <c r="A514" s="38"/>
      <c r="B514" s="14"/>
      <c r="C514" s="38"/>
      <c r="D514" s="38"/>
      <c r="E514" s="38"/>
      <c r="F514" s="38"/>
      <c r="G514" s="38"/>
      <c r="H514" s="14"/>
      <c r="I514" s="38"/>
      <c r="J514" s="38"/>
      <c r="K514" s="14"/>
      <c r="L514" s="14"/>
      <c r="M514" s="14"/>
      <c r="N514" s="39"/>
      <c r="O514" s="39"/>
      <c r="P514" s="39"/>
      <c r="Q514" s="39"/>
      <c r="R514" s="39"/>
      <c r="S514" s="39"/>
      <c r="T514" s="39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  <c r="AI514" s="14"/>
      <c r="AJ514" s="14"/>
      <c r="AK514" s="14"/>
      <c r="AL514" s="14"/>
      <c r="AM514" s="14"/>
      <c r="AN514" s="14"/>
      <c r="AO514" s="14"/>
      <c r="AP514" s="14"/>
    </row>
    <row r="515" spans="1:42" ht="13">
      <c r="A515" s="38"/>
      <c r="B515" s="14"/>
      <c r="C515" s="38"/>
      <c r="D515" s="38"/>
      <c r="E515" s="38"/>
      <c r="F515" s="38"/>
      <c r="G515" s="38"/>
      <c r="H515" s="14"/>
      <c r="I515" s="38"/>
      <c r="J515" s="38"/>
      <c r="K515" s="14"/>
      <c r="L515" s="14"/>
      <c r="M515" s="14"/>
      <c r="N515" s="39"/>
      <c r="O515" s="39"/>
      <c r="P515" s="39"/>
      <c r="Q515" s="39"/>
      <c r="R515" s="39"/>
      <c r="S515" s="39"/>
      <c r="T515" s="39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  <c r="AK515" s="14"/>
      <c r="AL515" s="14"/>
      <c r="AM515" s="14"/>
      <c r="AN515" s="14"/>
      <c r="AO515" s="14"/>
      <c r="AP515" s="14"/>
    </row>
    <row r="516" spans="1:42" ht="13">
      <c r="A516" s="38"/>
      <c r="B516" s="14"/>
      <c r="C516" s="38"/>
      <c r="D516" s="38"/>
      <c r="E516" s="38"/>
      <c r="F516" s="38"/>
      <c r="G516" s="38"/>
      <c r="H516" s="14"/>
      <c r="I516" s="38"/>
      <c r="J516" s="38"/>
      <c r="K516" s="14"/>
      <c r="L516" s="14"/>
      <c r="M516" s="14"/>
      <c r="N516" s="39"/>
      <c r="O516" s="39"/>
      <c r="P516" s="39"/>
      <c r="Q516" s="39"/>
      <c r="R516" s="39"/>
      <c r="S516" s="39"/>
      <c r="T516" s="39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  <c r="AI516" s="14"/>
      <c r="AJ516" s="14"/>
      <c r="AK516" s="14"/>
      <c r="AL516" s="14"/>
      <c r="AM516" s="14"/>
      <c r="AN516" s="14"/>
      <c r="AO516" s="14"/>
      <c r="AP516" s="14"/>
    </row>
    <row r="517" spans="1:42" ht="13">
      <c r="A517" s="38"/>
      <c r="B517" s="14"/>
      <c r="C517" s="38"/>
      <c r="D517" s="38"/>
      <c r="E517" s="38"/>
      <c r="F517" s="38"/>
      <c r="G517" s="38"/>
      <c r="H517" s="14"/>
      <c r="I517" s="38"/>
      <c r="J517" s="38"/>
      <c r="K517" s="14"/>
      <c r="L517" s="14"/>
      <c r="M517" s="14"/>
      <c r="N517" s="39"/>
      <c r="O517" s="39"/>
      <c r="P517" s="39"/>
      <c r="Q517" s="39"/>
      <c r="R517" s="39"/>
      <c r="S517" s="39"/>
      <c r="T517" s="39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  <c r="AJ517" s="14"/>
      <c r="AK517" s="14"/>
      <c r="AL517" s="14"/>
      <c r="AM517" s="14"/>
      <c r="AN517" s="14"/>
      <c r="AO517" s="14"/>
      <c r="AP517" s="14"/>
    </row>
    <row r="518" spans="1:42" ht="13">
      <c r="A518" s="38"/>
      <c r="B518" s="14"/>
      <c r="C518" s="38"/>
      <c r="D518" s="38"/>
      <c r="E518" s="38"/>
      <c r="F518" s="38"/>
      <c r="G518" s="38"/>
      <c r="H518" s="14"/>
      <c r="I518" s="38"/>
      <c r="J518" s="38"/>
      <c r="K518" s="14"/>
      <c r="L518" s="14"/>
      <c r="M518" s="14"/>
      <c r="N518" s="39"/>
      <c r="O518" s="39"/>
      <c r="P518" s="39"/>
      <c r="Q518" s="39"/>
      <c r="R518" s="39"/>
      <c r="S518" s="39"/>
      <c r="T518" s="39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  <c r="AK518" s="14"/>
      <c r="AL518" s="14"/>
      <c r="AM518" s="14"/>
      <c r="AN518" s="14"/>
      <c r="AO518" s="14"/>
      <c r="AP518" s="14"/>
    </row>
    <row r="519" spans="1:42" ht="13">
      <c r="A519" s="38"/>
      <c r="B519" s="14"/>
      <c r="C519" s="38"/>
      <c r="D519" s="38"/>
      <c r="E519" s="38"/>
      <c r="F519" s="38"/>
      <c r="G519" s="38"/>
      <c r="H519" s="14"/>
      <c r="I519" s="38"/>
      <c r="J519" s="38"/>
      <c r="K519" s="14"/>
      <c r="L519" s="14"/>
      <c r="M519" s="14"/>
      <c r="N519" s="39"/>
      <c r="O519" s="39"/>
      <c r="P519" s="39"/>
      <c r="Q519" s="39"/>
      <c r="R519" s="39"/>
      <c r="S519" s="39"/>
      <c r="T519" s="39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  <c r="AJ519" s="14"/>
      <c r="AK519" s="14"/>
      <c r="AL519" s="14"/>
      <c r="AM519" s="14"/>
      <c r="AN519" s="14"/>
      <c r="AO519" s="14"/>
      <c r="AP519" s="14"/>
    </row>
    <row r="520" spans="1:42" ht="13">
      <c r="A520" s="38"/>
      <c r="B520" s="14"/>
      <c r="C520" s="38"/>
      <c r="D520" s="38"/>
      <c r="E520" s="38"/>
      <c r="F520" s="38"/>
      <c r="G520" s="38"/>
      <c r="H520" s="14"/>
      <c r="I520" s="38"/>
      <c r="J520" s="38"/>
      <c r="K520" s="14"/>
      <c r="L520" s="14"/>
      <c r="M520" s="14"/>
      <c r="N520" s="39"/>
      <c r="O520" s="39"/>
      <c r="P520" s="39"/>
      <c r="Q520" s="39"/>
      <c r="R520" s="39"/>
      <c r="S520" s="39"/>
      <c r="T520" s="39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  <c r="AI520" s="14"/>
      <c r="AJ520" s="14"/>
      <c r="AK520" s="14"/>
      <c r="AL520" s="14"/>
      <c r="AM520" s="14"/>
      <c r="AN520" s="14"/>
      <c r="AO520" s="14"/>
      <c r="AP520" s="14"/>
    </row>
    <row r="521" spans="1:42" ht="13">
      <c r="A521" s="38"/>
      <c r="B521" s="14"/>
      <c r="C521" s="38"/>
      <c r="D521" s="38"/>
      <c r="E521" s="38"/>
      <c r="F521" s="38"/>
      <c r="G521" s="38"/>
      <c r="H521" s="14"/>
      <c r="I521" s="38"/>
      <c r="J521" s="38"/>
      <c r="K521" s="14"/>
      <c r="L521" s="14"/>
      <c r="M521" s="14"/>
      <c r="N521" s="39"/>
      <c r="O521" s="39"/>
      <c r="P521" s="39"/>
      <c r="Q521" s="39"/>
      <c r="R521" s="39"/>
      <c r="S521" s="39"/>
      <c r="T521" s="39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  <c r="AL521" s="14"/>
      <c r="AM521" s="14"/>
      <c r="AN521" s="14"/>
      <c r="AO521" s="14"/>
      <c r="AP521" s="14"/>
    </row>
    <row r="522" spans="1:42" ht="13">
      <c r="A522" s="38"/>
      <c r="B522" s="14"/>
      <c r="C522" s="38"/>
      <c r="D522" s="38"/>
      <c r="E522" s="38"/>
      <c r="F522" s="38"/>
      <c r="G522" s="38"/>
      <c r="H522" s="14"/>
      <c r="I522" s="38"/>
      <c r="J522" s="38"/>
      <c r="K522" s="14"/>
      <c r="L522" s="14"/>
      <c r="M522" s="14"/>
      <c r="N522" s="39"/>
      <c r="O522" s="39"/>
      <c r="P522" s="39"/>
      <c r="Q522" s="39"/>
      <c r="R522" s="39"/>
      <c r="S522" s="39"/>
      <c r="T522" s="39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/>
      <c r="AJ522" s="14"/>
      <c r="AK522" s="14"/>
      <c r="AL522" s="14"/>
      <c r="AM522" s="14"/>
      <c r="AN522" s="14"/>
      <c r="AO522" s="14"/>
      <c r="AP522" s="14"/>
    </row>
    <row r="523" spans="1:42" ht="13">
      <c r="A523" s="38"/>
      <c r="B523" s="14"/>
      <c r="C523" s="38"/>
      <c r="D523" s="38"/>
      <c r="E523" s="38"/>
      <c r="F523" s="38"/>
      <c r="G523" s="38"/>
      <c r="H523" s="14"/>
      <c r="I523" s="38"/>
      <c r="J523" s="38"/>
      <c r="K523" s="14"/>
      <c r="L523" s="14"/>
      <c r="M523" s="14"/>
      <c r="N523" s="39"/>
      <c r="O523" s="39"/>
      <c r="P523" s="39"/>
      <c r="Q523" s="39"/>
      <c r="R523" s="39"/>
      <c r="S523" s="39"/>
      <c r="T523" s="39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  <c r="AJ523" s="14"/>
      <c r="AK523" s="14"/>
      <c r="AL523" s="14"/>
      <c r="AM523" s="14"/>
      <c r="AN523" s="14"/>
      <c r="AO523" s="14"/>
      <c r="AP523" s="14"/>
    </row>
    <row r="524" spans="1:42" ht="13">
      <c r="A524" s="38"/>
      <c r="B524" s="14"/>
      <c r="C524" s="38"/>
      <c r="D524" s="38"/>
      <c r="E524" s="38"/>
      <c r="F524" s="38"/>
      <c r="G524" s="38"/>
      <c r="H524" s="14"/>
      <c r="I524" s="38"/>
      <c r="J524" s="38"/>
      <c r="K524" s="14"/>
      <c r="L524" s="14"/>
      <c r="M524" s="14"/>
      <c r="N524" s="39"/>
      <c r="O524" s="39"/>
      <c r="P524" s="39"/>
      <c r="Q524" s="39"/>
      <c r="R524" s="39"/>
      <c r="S524" s="39"/>
      <c r="T524" s="39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  <c r="AI524" s="14"/>
      <c r="AJ524" s="14"/>
      <c r="AK524" s="14"/>
      <c r="AL524" s="14"/>
      <c r="AM524" s="14"/>
      <c r="AN524" s="14"/>
      <c r="AO524" s="14"/>
      <c r="AP524" s="14"/>
    </row>
    <row r="525" spans="1:42" ht="13">
      <c r="A525" s="38"/>
      <c r="B525" s="14"/>
      <c r="C525" s="38"/>
      <c r="D525" s="38"/>
      <c r="E525" s="38"/>
      <c r="F525" s="38"/>
      <c r="G525" s="38"/>
      <c r="H525" s="14"/>
      <c r="I525" s="38"/>
      <c r="J525" s="38"/>
      <c r="K525" s="14"/>
      <c r="L525" s="14"/>
      <c r="M525" s="14"/>
      <c r="N525" s="39"/>
      <c r="O525" s="39"/>
      <c r="P525" s="39"/>
      <c r="Q525" s="39"/>
      <c r="R525" s="39"/>
      <c r="S525" s="39"/>
      <c r="T525" s="39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  <c r="AJ525" s="14"/>
      <c r="AK525" s="14"/>
      <c r="AL525" s="14"/>
      <c r="AM525" s="14"/>
      <c r="AN525" s="14"/>
      <c r="AO525" s="14"/>
      <c r="AP525" s="14"/>
    </row>
    <row r="526" spans="1:42" ht="13">
      <c r="A526" s="38"/>
      <c r="B526" s="14"/>
      <c r="C526" s="38"/>
      <c r="D526" s="38"/>
      <c r="E526" s="38"/>
      <c r="F526" s="38"/>
      <c r="G526" s="38"/>
      <c r="H526" s="14"/>
      <c r="I526" s="38"/>
      <c r="J526" s="38"/>
      <c r="K526" s="14"/>
      <c r="L526" s="14"/>
      <c r="M526" s="14"/>
      <c r="N526" s="39"/>
      <c r="O526" s="39"/>
      <c r="P526" s="39"/>
      <c r="Q526" s="39"/>
      <c r="R526" s="39"/>
      <c r="S526" s="39"/>
      <c r="T526" s="39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  <c r="AJ526" s="14"/>
      <c r="AK526" s="14"/>
      <c r="AL526" s="14"/>
      <c r="AM526" s="14"/>
      <c r="AN526" s="14"/>
      <c r="AO526" s="14"/>
      <c r="AP526" s="14"/>
    </row>
    <row r="527" spans="1:42" ht="13">
      <c r="A527" s="38"/>
      <c r="B527" s="14"/>
      <c r="C527" s="38"/>
      <c r="D527" s="38"/>
      <c r="E527" s="38"/>
      <c r="F527" s="38"/>
      <c r="G527" s="38"/>
      <c r="H527" s="14"/>
      <c r="I527" s="38"/>
      <c r="J527" s="38"/>
      <c r="K527" s="14"/>
      <c r="L527" s="14"/>
      <c r="M527" s="14"/>
      <c r="N527" s="39"/>
      <c r="O527" s="39"/>
      <c r="P527" s="39"/>
      <c r="Q527" s="39"/>
      <c r="R527" s="39"/>
      <c r="S527" s="39"/>
      <c r="T527" s="39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  <c r="AJ527" s="14"/>
      <c r="AK527" s="14"/>
      <c r="AL527" s="14"/>
      <c r="AM527" s="14"/>
      <c r="AN527" s="14"/>
      <c r="AO527" s="14"/>
      <c r="AP527" s="14"/>
    </row>
    <row r="528" spans="1:42" ht="13">
      <c r="A528" s="38"/>
      <c r="B528" s="14"/>
      <c r="C528" s="38"/>
      <c r="D528" s="38"/>
      <c r="E528" s="38"/>
      <c r="F528" s="38"/>
      <c r="G528" s="38"/>
      <c r="H528" s="14"/>
      <c r="I528" s="38"/>
      <c r="J528" s="38"/>
      <c r="K528" s="14"/>
      <c r="L528" s="14"/>
      <c r="M528" s="14"/>
      <c r="N528" s="39"/>
      <c r="O528" s="39"/>
      <c r="P528" s="39"/>
      <c r="Q528" s="39"/>
      <c r="R528" s="39"/>
      <c r="S528" s="39"/>
      <c r="T528" s="39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  <c r="AI528" s="14"/>
      <c r="AJ528" s="14"/>
      <c r="AK528" s="14"/>
      <c r="AL528" s="14"/>
      <c r="AM528" s="14"/>
      <c r="AN528" s="14"/>
      <c r="AO528" s="14"/>
      <c r="AP528" s="14"/>
    </row>
    <row r="529" spans="1:42" ht="13">
      <c r="A529" s="38"/>
      <c r="B529" s="14"/>
      <c r="C529" s="38"/>
      <c r="D529" s="38"/>
      <c r="E529" s="38"/>
      <c r="F529" s="38"/>
      <c r="G529" s="38"/>
      <c r="H529" s="14"/>
      <c r="I529" s="38"/>
      <c r="J529" s="38"/>
      <c r="K529" s="14"/>
      <c r="L529" s="14"/>
      <c r="M529" s="14"/>
      <c r="N529" s="39"/>
      <c r="O529" s="39"/>
      <c r="P529" s="39"/>
      <c r="Q529" s="39"/>
      <c r="R529" s="39"/>
      <c r="S529" s="39"/>
      <c r="T529" s="39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  <c r="AJ529" s="14"/>
      <c r="AK529" s="14"/>
      <c r="AL529" s="14"/>
      <c r="AM529" s="14"/>
      <c r="AN529" s="14"/>
      <c r="AO529" s="14"/>
      <c r="AP529" s="14"/>
    </row>
    <row r="530" spans="1:42" ht="13">
      <c r="A530" s="38"/>
      <c r="B530" s="14"/>
      <c r="C530" s="38"/>
      <c r="D530" s="38"/>
      <c r="E530" s="38"/>
      <c r="F530" s="38"/>
      <c r="G530" s="38"/>
      <c r="H530" s="14"/>
      <c r="I530" s="38"/>
      <c r="J530" s="38"/>
      <c r="K530" s="14"/>
      <c r="L530" s="14"/>
      <c r="M530" s="14"/>
      <c r="N530" s="39"/>
      <c r="O530" s="39"/>
      <c r="P530" s="39"/>
      <c r="Q530" s="39"/>
      <c r="R530" s="39"/>
      <c r="S530" s="39"/>
      <c r="T530" s="39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  <c r="AJ530" s="14"/>
      <c r="AK530" s="14"/>
      <c r="AL530" s="14"/>
      <c r="AM530" s="14"/>
      <c r="AN530" s="14"/>
      <c r="AO530" s="14"/>
      <c r="AP530" s="14"/>
    </row>
    <row r="531" spans="1:42" ht="13">
      <c r="A531" s="38"/>
      <c r="B531" s="14"/>
      <c r="C531" s="38"/>
      <c r="D531" s="38"/>
      <c r="E531" s="38"/>
      <c r="F531" s="38"/>
      <c r="G531" s="38"/>
      <c r="H531" s="14"/>
      <c r="I531" s="38"/>
      <c r="J531" s="38"/>
      <c r="K531" s="14"/>
      <c r="L531" s="14"/>
      <c r="M531" s="14"/>
      <c r="N531" s="39"/>
      <c r="O531" s="39"/>
      <c r="P531" s="39"/>
      <c r="Q531" s="39"/>
      <c r="R531" s="39"/>
      <c r="S531" s="39"/>
      <c r="T531" s="39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  <c r="AK531" s="14"/>
      <c r="AL531" s="14"/>
      <c r="AM531" s="14"/>
      <c r="AN531" s="14"/>
      <c r="AO531" s="14"/>
      <c r="AP531" s="14"/>
    </row>
    <row r="532" spans="1:42" ht="13">
      <c r="A532" s="38"/>
      <c r="B532" s="14"/>
      <c r="C532" s="38"/>
      <c r="D532" s="38"/>
      <c r="E532" s="38"/>
      <c r="F532" s="38"/>
      <c r="G532" s="38"/>
      <c r="H532" s="14"/>
      <c r="I532" s="38"/>
      <c r="J532" s="38"/>
      <c r="K532" s="14"/>
      <c r="L532" s="14"/>
      <c r="M532" s="14"/>
      <c r="N532" s="39"/>
      <c r="O532" s="39"/>
      <c r="P532" s="39"/>
      <c r="Q532" s="39"/>
      <c r="R532" s="39"/>
      <c r="S532" s="39"/>
      <c r="T532" s="39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  <c r="AJ532" s="14"/>
      <c r="AK532" s="14"/>
      <c r="AL532" s="14"/>
      <c r="AM532" s="14"/>
      <c r="AN532" s="14"/>
      <c r="AO532" s="14"/>
      <c r="AP532" s="14"/>
    </row>
    <row r="533" spans="1:42" ht="13">
      <c r="A533" s="38"/>
      <c r="B533" s="14"/>
      <c r="C533" s="38"/>
      <c r="D533" s="38"/>
      <c r="E533" s="38"/>
      <c r="F533" s="38"/>
      <c r="G533" s="38"/>
      <c r="H533" s="14"/>
      <c r="I533" s="38"/>
      <c r="J533" s="38"/>
      <c r="K533" s="14"/>
      <c r="L533" s="14"/>
      <c r="M533" s="14"/>
      <c r="N533" s="39"/>
      <c r="O533" s="39"/>
      <c r="P533" s="39"/>
      <c r="Q533" s="39"/>
      <c r="R533" s="39"/>
      <c r="S533" s="39"/>
      <c r="T533" s="39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  <c r="AL533" s="14"/>
      <c r="AM533" s="14"/>
      <c r="AN533" s="14"/>
      <c r="AO533" s="14"/>
      <c r="AP533" s="14"/>
    </row>
    <row r="534" spans="1:42" ht="13">
      <c r="A534" s="38"/>
      <c r="B534" s="14"/>
      <c r="C534" s="38"/>
      <c r="D534" s="38"/>
      <c r="E534" s="38"/>
      <c r="F534" s="38"/>
      <c r="G534" s="38"/>
      <c r="H534" s="14"/>
      <c r="I534" s="38"/>
      <c r="J534" s="38"/>
      <c r="K534" s="14"/>
      <c r="L534" s="14"/>
      <c r="M534" s="14"/>
      <c r="N534" s="39"/>
      <c r="O534" s="39"/>
      <c r="P534" s="39"/>
      <c r="Q534" s="39"/>
      <c r="R534" s="39"/>
      <c r="S534" s="39"/>
      <c r="T534" s="39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  <c r="AJ534" s="14"/>
      <c r="AK534" s="14"/>
      <c r="AL534" s="14"/>
      <c r="AM534" s="14"/>
      <c r="AN534" s="14"/>
      <c r="AO534" s="14"/>
      <c r="AP534" s="14"/>
    </row>
    <row r="535" spans="1:42" ht="13">
      <c r="A535" s="38"/>
      <c r="B535" s="14"/>
      <c r="C535" s="38"/>
      <c r="D535" s="38"/>
      <c r="E535" s="38"/>
      <c r="F535" s="38"/>
      <c r="G535" s="38"/>
      <c r="H535" s="14"/>
      <c r="I535" s="38"/>
      <c r="J535" s="38"/>
      <c r="K535" s="14"/>
      <c r="L535" s="14"/>
      <c r="M535" s="14"/>
      <c r="N535" s="39"/>
      <c r="O535" s="39"/>
      <c r="P535" s="39"/>
      <c r="Q535" s="39"/>
      <c r="R535" s="39"/>
      <c r="S535" s="39"/>
      <c r="T535" s="39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  <c r="AL535" s="14"/>
      <c r="AM535" s="14"/>
      <c r="AN535" s="14"/>
      <c r="AO535" s="14"/>
      <c r="AP535" s="14"/>
    </row>
    <row r="536" spans="1:42" ht="13">
      <c r="A536" s="38"/>
      <c r="B536" s="14"/>
      <c r="C536" s="38"/>
      <c r="D536" s="38"/>
      <c r="E536" s="38"/>
      <c r="F536" s="38"/>
      <c r="G536" s="38"/>
      <c r="H536" s="14"/>
      <c r="I536" s="38"/>
      <c r="J536" s="38"/>
      <c r="K536" s="14"/>
      <c r="L536" s="14"/>
      <c r="M536" s="14"/>
      <c r="N536" s="39"/>
      <c r="O536" s="39"/>
      <c r="P536" s="39"/>
      <c r="Q536" s="39"/>
      <c r="R536" s="39"/>
      <c r="S536" s="39"/>
      <c r="T536" s="39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  <c r="AJ536" s="14"/>
      <c r="AK536" s="14"/>
      <c r="AL536" s="14"/>
      <c r="AM536" s="14"/>
      <c r="AN536" s="14"/>
      <c r="AO536" s="14"/>
      <c r="AP536" s="14"/>
    </row>
    <row r="537" spans="1:42" ht="13">
      <c r="A537" s="38"/>
      <c r="B537" s="14"/>
      <c r="C537" s="38"/>
      <c r="D537" s="38"/>
      <c r="E537" s="38"/>
      <c r="F537" s="38"/>
      <c r="G537" s="38"/>
      <c r="H537" s="14"/>
      <c r="I537" s="38"/>
      <c r="J537" s="38"/>
      <c r="K537" s="14"/>
      <c r="L537" s="14"/>
      <c r="M537" s="14"/>
      <c r="N537" s="39"/>
      <c r="O537" s="39"/>
      <c r="P537" s="39"/>
      <c r="Q537" s="39"/>
      <c r="R537" s="39"/>
      <c r="S537" s="39"/>
      <c r="T537" s="39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  <c r="AK537" s="14"/>
      <c r="AL537" s="14"/>
      <c r="AM537" s="14"/>
      <c r="AN537" s="14"/>
      <c r="AO537" s="14"/>
      <c r="AP537" s="14"/>
    </row>
    <row r="538" spans="1:42" ht="13">
      <c r="A538" s="38"/>
      <c r="B538" s="14"/>
      <c r="C538" s="38"/>
      <c r="D538" s="38"/>
      <c r="E538" s="38"/>
      <c r="F538" s="38"/>
      <c r="G538" s="38"/>
      <c r="H538" s="14"/>
      <c r="I538" s="38"/>
      <c r="J538" s="38"/>
      <c r="K538" s="14"/>
      <c r="L538" s="14"/>
      <c r="M538" s="14"/>
      <c r="N538" s="39"/>
      <c r="O538" s="39"/>
      <c r="P538" s="39"/>
      <c r="Q538" s="39"/>
      <c r="R538" s="39"/>
      <c r="S538" s="39"/>
      <c r="T538" s="39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  <c r="AJ538" s="14"/>
      <c r="AK538" s="14"/>
      <c r="AL538" s="14"/>
      <c r="AM538" s="14"/>
      <c r="AN538" s="14"/>
      <c r="AO538" s="14"/>
      <c r="AP538" s="14"/>
    </row>
    <row r="539" spans="1:42" ht="13">
      <c r="A539" s="38"/>
      <c r="B539" s="14"/>
      <c r="C539" s="38"/>
      <c r="D539" s="38"/>
      <c r="E539" s="38"/>
      <c r="F539" s="38"/>
      <c r="G539" s="38"/>
      <c r="H539" s="14"/>
      <c r="I539" s="38"/>
      <c r="J539" s="38"/>
      <c r="K539" s="14"/>
      <c r="L539" s="14"/>
      <c r="M539" s="14"/>
      <c r="N539" s="39"/>
      <c r="O539" s="39"/>
      <c r="P539" s="39"/>
      <c r="Q539" s="39"/>
      <c r="R539" s="39"/>
      <c r="S539" s="39"/>
      <c r="T539" s="39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  <c r="AK539" s="14"/>
      <c r="AL539" s="14"/>
      <c r="AM539" s="14"/>
      <c r="AN539" s="14"/>
      <c r="AO539" s="14"/>
      <c r="AP539" s="14"/>
    </row>
    <row r="540" spans="1:42" ht="13">
      <c r="A540" s="38"/>
      <c r="B540" s="14"/>
      <c r="C540" s="38"/>
      <c r="D540" s="38"/>
      <c r="E540" s="38"/>
      <c r="F540" s="38"/>
      <c r="G540" s="38"/>
      <c r="H540" s="14"/>
      <c r="I540" s="38"/>
      <c r="J540" s="38"/>
      <c r="K540" s="14"/>
      <c r="L540" s="14"/>
      <c r="M540" s="14"/>
      <c r="N540" s="39"/>
      <c r="O540" s="39"/>
      <c r="P540" s="39"/>
      <c r="Q540" s="39"/>
      <c r="R540" s="39"/>
      <c r="S540" s="39"/>
      <c r="T540" s="39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  <c r="AJ540" s="14"/>
      <c r="AK540" s="14"/>
      <c r="AL540" s="14"/>
      <c r="AM540" s="14"/>
      <c r="AN540" s="14"/>
      <c r="AO540" s="14"/>
      <c r="AP540" s="14"/>
    </row>
    <row r="541" spans="1:42" ht="13">
      <c r="A541" s="38"/>
      <c r="B541" s="14"/>
      <c r="C541" s="38"/>
      <c r="D541" s="38"/>
      <c r="E541" s="38"/>
      <c r="F541" s="38"/>
      <c r="G541" s="38"/>
      <c r="H541" s="14"/>
      <c r="I541" s="38"/>
      <c r="J541" s="38"/>
      <c r="K541" s="14"/>
      <c r="L541" s="14"/>
      <c r="M541" s="14"/>
      <c r="N541" s="39"/>
      <c r="O541" s="39"/>
      <c r="P541" s="39"/>
      <c r="Q541" s="39"/>
      <c r="R541" s="39"/>
      <c r="S541" s="39"/>
      <c r="T541" s="39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  <c r="AJ541" s="14"/>
      <c r="AK541" s="14"/>
      <c r="AL541" s="14"/>
      <c r="AM541" s="14"/>
      <c r="AN541" s="14"/>
      <c r="AO541" s="14"/>
      <c r="AP541" s="14"/>
    </row>
    <row r="542" spans="1:42" ht="13">
      <c r="A542" s="38"/>
      <c r="B542" s="14"/>
      <c r="C542" s="38"/>
      <c r="D542" s="38"/>
      <c r="E542" s="38"/>
      <c r="F542" s="38"/>
      <c r="G542" s="38"/>
      <c r="H542" s="14"/>
      <c r="I542" s="38"/>
      <c r="J542" s="38"/>
      <c r="K542" s="14"/>
      <c r="L542" s="14"/>
      <c r="M542" s="14"/>
      <c r="N542" s="39"/>
      <c r="O542" s="39"/>
      <c r="P542" s="39"/>
      <c r="Q542" s="39"/>
      <c r="R542" s="39"/>
      <c r="S542" s="39"/>
      <c r="T542" s="39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  <c r="AJ542" s="14"/>
      <c r="AK542" s="14"/>
      <c r="AL542" s="14"/>
      <c r="AM542" s="14"/>
      <c r="AN542" s="14"/>
      <c r="AO542" s="14"/>
      <c r="AP542" s="14"/>
    </row>
    <row r="543" spans="1:42" ht="13">
      <c r="A543" s="38"/>
      <c r="B543" s="14"/>
      <c r="C543" s="38"/>
      <c r="D543" s="38"/>
      <c r="E543" s="38"/>
      <c r="F543" s="38"/>
      <c r="G543" s="38"/>
      <c r="H543" s="14"/>
      <c r="I543" s="38"/>
      <c r="J543" s="38"/>
      <c r="K543" s="14"/>
      <c r="L543" s="14"/>
      <c r="M543" s="14"/>
      <c r="N543" s="39"/>
      <c r="O543" s="39"/>
      <c r="P543" s="39"/>
      <c r="Q543" s="39"/>
      <c r="R543" s="39"/>
      <c r="S543" s="39"/>
      <c r="T543" s="39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  <c r="AJ543" s="14"/>
      <c r="AK543" s="14"/>
      <c r="AL543" s="14"/>
      <c r="AM543" s="14"/>
      <c r="AN543" s="14"/>
      <c r="AO543" s="14"/>
      <c r="AP543" s="14"/>
    </row>
    <row r="544" spans="1:42" ht="13">
      <c r="A544" s="38"/>
      <c r="B544" s="14"/>
      <c r="C544" s="38"/>
      <c r="D544" s="38"/>
      <c r="E544" s="38"/>
      <c r="F544" s="38"/>
      <c r="G544" s="38"/>
      <c r="H544" s="14"/>
      <c r="I544" s="38"/>
      <c r="J544" s="38"/>
      <c r="K544" s="14"/>
      <c r="L544" s="14"/>
      <c r="M544" s="14"/>
      <c r="N544" s="39"/>
      <c r="O544" s="39"/>
      <c r="P544" s="39"/>
      <c r="Q544" s="39"/>
      <c r="R544" s="39"/>
      <c r="S544" s="39"/>
      <c r="T544" s="39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/>
      <c r="AJ544" s="14"/>
      <c r="AK544" s="14"/>
      <c r="AL544" s="14"/>
      <c r="AM544" s="14"/>
      <c r="AN544" s="14"/>
      <c r="AO544" s="14"/>
      <c r="AP544" s="14"/>
    </row>
    <row r="545" spans="1:42" ht="13">
      <c r="A545" s="38"/>
      <c r="B545" s="14"/>
      <c r="C545" s="38"/>
      <c r="D545" s="38"/>
      <c r="E545" s="38"/>
      <c r="F545" s="38"/>
      <c r="G545" s="38"/>
      <c r="H545" s="14"/>
      <c r="I545" s="38"/>
      <c r="J545" s="38"/>
      <c r="K545" s="14"/>
      <c r="L545" s="14"/>
      <c r="M545" s="14"/>
      <c r="N545" s="39"/>
      <c r="O545" s="39"/>
      <c r="P545" s="39"/>
      <c r="Q545" s="39"/>
      <c r="R545" s="39"/>
      <c r="S545" s="39"/>
      <c r="T545" s="39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  <c r="AK545" s="14"/>
      <c r="AL545" s="14"/>
      <c r="AM545" s="14"/>
      <c r="AN545" s="14"/>
      <c r="AO545" s="14"/>
      <c r="AP545" s="14"/>
    </row>
    <row r="546" spans="1:42" ht="13">
      <c r="A546" s="38"/>
      <c r="B546" s="14"/>
      <c r="C546" s="38"/>
      <c r="D546" s="38"/>
      <c r="E546" s="38"/>
      <c r="F546" s="38"/>
      <c r="G546" s="38"/>
      <c r="H546" s="14"/>
      <c r="I546" s="38"/>
      <c r="J546" s="38"/>
      <c r="K546" s="14"/>
      <c r="L546" s="14"/>
      <c r="M546" s="14"/>
      <c r="N546" s="39"/>
      <c r="O546" s="39"/>
      <c r="P546" s="39"/>
      <c r="Q546" s="39"/>
      <c r="R546" s="39"/>
      <c r="S546" s="39"/>
      <c r="T546" s="39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  <c r="AI546" s="14"/>
      <c r="AJ546" s="14"/>
      <c r="AK546" s="14"/>
      <c r="AL546" s="14"/>
      <c r="AM546" s="14"/>
      <c r="AN546" s="14"/>
      <c r="AO546" s="14"/>
      <c r="AP546" s="14"/>
    </row>
    <row r="547" spans="1:42" ht="13">
      <c r="A547" s="38"/>
      <c r="B547" s="14"/>
      <c r="C547" s="38"/>
      <c r="D547" s="38"/>
      <c r="E547" s="38"/>
      <c r="F547" s="38"/>
      <c r="G547" s="38"/>
      <c r="H547" s="14"/>
      <c r="I547" s="38"/>
      <c r="J547" s="38"/>
      <c r="K547" s="14"/>
      <c r="L547" s="14"/>
      <c r="M547" s="14"/>
      <c r="N547" s="39"/>
      <c r="O547" s="39"/>
      <c r="P547" s="39"/>
      <c r="Q547" s="39"/>
      <c r="R547" s="39"/>
      <c r="S547" s="39"/>
      <c r="T547" s="39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  <c r="AK547" s="14"/>
      <c r="AL547" s="14"/>
      <c r="AM547" s="14"/>
      <c r="AN547" s="14"/>
      <c r="AO547" s="14"/>
      <c r="AP547" s="14"/>
    </row>
    <row r="548" spans="1:42" ht="13">
      <c r="A548" s="38"/>
      <c r="B548" s="14"/>
      <c r="C548" s="38"/>
      <c r="D548" s="38"/>
      <c r="E548" s="38"/>
      <c r="F548" s="38"/>
      <c r="G548" s="38"/>
      <c r="H548" s="14"/>
      <c r="I548" s="38"/>
      <c r="J548" s="38"/>
      <c r="K548" s="14"/>
      <c r="L548" s="14"/>
      <c r="M548" s="14"/>
      <c r="N548" s="39"/>
      <c r="O548" s="39"/>
      <c r="P548" s="39"/>
      <c r="Q548" s="39"/>
      <c r="R548" s="39"/>
      <c r="S548" s="39"/>
      <c r="T548" s="39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/>
      <c r="AJ548" s="14"/>
      <c r="AK548" s="14"/>
      <c r="AL548" s="14"/>
      <c r="AM548" s="14"/>
      <c r="AN548" s="14"/>
      <c r="AO548" s="14"/>
      <c r="AP548" s="14"/>
    </row>
    <row r="549" spans="1:42" ht="13">
      <c r="A549" s="38"/>
      <c r="B549" s="14"/>
      <c r="C549" s="38"/>
      <c r="D549" s="38"/>
      <c r="E549" s="38"/>
      <c r="F549" s="38"/>
      <c r="G549" s="38"/>
      <c r="H549" s="14"/>
      <c r="I549" s="38"/>
      <c r="J549" s="38"/>
      <c r="K549" s="14"/>
      <c r="L549" s="14"/>
      <c r="M549" s="14"/>
      <c r="N549" s="39"/>
      <c r="O549" s="39"/>
      <c r="P549" s="39"/>
      <c r="Q549" s="39"/>
      <c r="R549" s="39"/>
      <c r="S549" s="39"/>
      <c r="T549" s="39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  <c r="AL549" s="14"/>
      <c r="AM549" s="14"/>
      <c r="AN549" s="14"/>
      <c r="AO549" s="14"/>
      <c r="AP549" s="14"/>
    </row>
    <row r="550" spans="1:42" ht="13">
      <c r="A550" s="38"/>
      <c r="B550" s="14"/>
      <c r="C550" s="38"/>
      <c r="D550" s="38"/>
      <c r="E550" s="38"/>
      <c r="F550" s="38"/>
      <c r="G550" s="38"/>
      <c r="H550" s="14"/>
      <c r="I550" s="38"/>
      <c r="J550" s="38"/>
      <c r="K550" s="14"/>
      <c r="L550" s="14"/>
      <c r="M550" s="14"/>
      <c r="N550" s="39"/>
      <c r="O550" s="39"/>
      <c r="P550" s="39"/>
      <c r="Q550" s="39"/>
      <c r="R550" s="39"/>
      <c r="S550" s="39"/>
      <c r="T550" s="39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  <c r="AJ550" s="14"/>
      <c r="AK550" s="14"/>
      <c r="AL550" s="14"/>
      <c r="AM550" s="14"/>
      <c r="AN550" s="14"/>
      <c r="AO550" s="14"/>
      <c r="AP550" s="14"/>
    </row>
    <row r="551" spans="1:42" ht="13">
      <c r="A551" s="38"/>
      <c r="B551" s="14"/>
      <c r="C551" s="38"/>
      <c r="D551" s="38"/>
      <c r="E551" s="38"/>
      <c r="F551" s="38"/>
      <c r="G551" s="38"/>
      <c r="H551" s="14"/>
      <c r="I551" s="38"/>
      <c r="J551" s="38"/>
      <c r="K551" s="14"/>
      <c r="L551" s="14"/>
      <c r="M551" s="14"/>
      <c r="N551" s="39"/>
      <c r="O551" s="39"/>
      <c r="P551" s="39"/>
      <c r="Q551" s="39"/>
      <c r="R551" s="39"/>
      <c r="S551" s="39"/>
      <c r="T551" s="39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  <c r="AL551" s="14"/>
      <c r="AM551" s="14"/>
      <c r="AN551" s="14"/>
      <c r="AO551" s="14"/>
      <c r="AP551" s="14"/>
    </row>
    <row r="552" spans="1:42" ht="13">
      <c r="A552" s="38"/>
      <c r="B552" s="14"/>
      <c r="C552" s="38"/>
      <c r="D552" s="38"/>
      <c r="E552" s="38"/>
      <c r="F552" s="38"/>
      <c r="G552" s="38"/>
      <c r="H552" s="14"/>
      <c r="I552" s="38"/>
      <c r="J552" s="38"/>
      <c r="K552" s="14"/>
      <c r="L552" s="14"/>
      <c r="M552" s="14"/>
      <c r="N552" s="39"/>
      <c r="O552" s="39"/>
      <c r="P552" s="39"/>
      <c r="Q552" s="39"/>
      <c r="R552" s="39"/>
      <c r="S552" s="39"/>
      <c r="T552" s="39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  <c r="AJ552" s="14"/>
      <c r="AK552" s="14"/>
      <c r="AL552" s="14"/>
      <c r="AM552" s="14"/>
      <c r="AN552" s="14"/>
      <c r="AO552" s="14"/>
      <c r="AP552" s="14"/>
    </row>
    <row r="553" spans="1:42" ht="13">
      <c r="A553" s="38"/>
      <c r="B553" s="14"/>
      <c r="C553" s="38"/>
      <c r="D553" s="38"/>
      <c r="E553" s="38"/>
      <c r="F553" s="38"/>
      <c r="G553" s="38"/>
      <c r="H553" s="14"/>
      <c r="I553" s="38"/>
      <c r="J553" s="38"/>
      <c r="K553" s="14"/>
      <c r="L553" s="14"/>
      <c r="M553" s="14"/>
      <c r="N553" s="39"/>
      <c r="O553" s="39"/>
      <c r="P553" s="39"/>
      <c r="Q553" s="39"/>
      <c r="R553" s="39"/>
      <c r="S553" s="39"/>
      <c r="T553" s="39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  <c r="AI553" s="14"/>
      <c r="AJ553" s="14"/>
      <c r="AK553" s="14"/>
      <c r="AL553" s="14"/>
      <c r="AM553" s="14"/>
      <c r="AN553" s="14"/>
      <c r="AO553" s="14"/>
      <c r="AP553" s="14"/>
    </row>
    <row r="554" spans="1:42" ht="13">
      <c r="A554" s="38"/>
      <c r="B554" s="14"/>
      <c r="C554" s="38"/>
      <c r="D554" s="38"/>
      <c r="E554" s="38"/>
      <c r="F554" s="38"/>
      <c r="G554" s="38"/>
      <c r="H554" s="14"/>
      <c r="I554" s="38"/>
      <c r="J554" s="38"/>
      <c r="K554" s="14"/>
      <c r="L554" s="14"/>
      <c r="M554" s="14"/>
      <c r="N554" s="39"/>
      <c r="O554" s="39"/>
      <c r="P554" s="39"/>
      <c r="Q554" s="39"/>
      <c r="R554" s="39"/>
      <c r="S554" s="39"/>
      <c r="T554" s="39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  <c r="AI554" s="14"/>
      <c r="AJ554" s="14"/>
      <c r="AK554" s="14"/>
      <c r="AL554" s="14"/>
      <c r="AM554" s="14"/>
      <c r="AN554" s="14"/>
      <c r="AO554" s="14"/>
      <c r="AP554" s="14"/>
    </row>
    <row r="555" spans="1:42" ht="13">
      <c r="A555" s="38"/>
      <c r="B555" s="14"/>
      <c r="C555" s="38"/>
      <c r="D555" s="38"/>
      <c r="E555" s="38"/>
      <c r="F555" s="38"/>
      <c r="G555" s="38"/>
      <c r="H555" s="14"/>
      <c r="I555" s="38"/>
      <c r="J555" s="38"/>
      <c r="K555" s="14"/>
      <c r="L555" s="14"/>
      <c r="M555" s="14"/>
      <c r="N555" s="39"/>
      <c r="O555" s="39"/>
      <c r="P555" s="39"/>
      <c r="Q555" s="39"/>
      <c r="R555" s="39"/>
      <c r="S555" s="39"/>
      <c r="T555" s="39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  <c r="AK555" s="14"/>
      <c r="AL555" s="14"/>
      <c r="AM555" s="14"/>
      <c r="AN555" s="14"/>
      <c r="AO555" s="14"/>
      <c r="AP555" s="14"/>
    </row>
    <row r="556" spans="1:42" ht="13">
      <c r="A556" s="38"/>
      <c r="B556" s="14"/>
      <c r="C556" s="38"/>
      <c r="D556" s="38"/>
      <c r="E556" s="38"/>
      <c r="F556" s="38"/>
      <c r="G556" s="38"/>
      <c r="H556" s="14"/>
      <c r="I556" s="38"/>
      <c r="J556" s="38"/>
      <c r="K556" s="14"/>
      <c r="L556" s="14"/>
      <c r="M556" s="14"/>
      <c r="N556" s="39"/>
      <c r="O556" s="39"/>
      <c r="P556" s="39"/>
      <c r="Q556" s="39"/>
      <c r="R556" s="39"/>
      <c r="S556" s="39"/>
      <c r="T556" s="39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  <c r="AI556" s="14"/>
      <c r="AJ556" s="14"/>
      <c r="AK556" s="14"/>
      <c r="AL556" s="14"/>
      <c r="AM556" s="14"/>
      <c r="AN556" s="14"/>
      <c r="AO556" s="14"/>
      <c r="AP556" s="14"/>
    </row>
    <row r="557" spans="1:42" ht="13">
      <c r="A557" s="38"/>
      <c r="B557" s="14"/>
      <c r="C557" s="38"/>
      <c r="D557" s="38"/>
      <c r="E557" s="38"/>
      <c r="F557" s="38"/>
      <c r="G557" s="38"/>
      <c r="H557" s="14"/>
      <c r="I557" s="38"/>
      <c r="J557" s="38"/>
      <c r="K557" s="14"/>
      <c r="L557" s="14"/>
      <c r="M557" s="14"/>
      <c r="N557" s="39"/>
      <c r="O557" s="39"/>
      <c r="P557" s="39"/>
      <c r="Q557" s="39"/>
      <c r="R557" s="39"/>
      <c r="S557" s="39"/>
      <c r="T557" s="39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  <c r="AJ557" s="14"/>
      <c r="AK557" s="14"/>
      <c r="AL557" s="14"/>
      <c r="AM557" s="14"/>
      <c r="AN557" s="14"/>
      <c r="AO557" s="14"/>
      <c r="AP557" s="14"/>
    </row>
    <row r="558" spans="1:42" ht="13">
      <c r="A558" s="38"/>
      <c r="B558" s="14"/>
      <c r="C558" s="38"/>
      <c r="D558" s="38"/>
      <c r="E558" s="38"/>
      <c r="F558" s="38"/>
      <c r="G558" s="38"/>
      <c r="H558" s="14"/>
      <c r="I558" s="38"/>
      <c r="J558" s="38"/>
      <c r="K558" s="14"/>
      <c r="L558" s="14"/>
      <c r="M558" s="14"/>
      <c r="N558" s="39"/>
      <c r="O558" s="39"/>
      <c r="P558" s="39"/>
      <c r="Q558" s="39"/>
      <c r="R558" s="39"/>
      <c r="S558" s="39"/>
      <c r="T558" s="39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  <c r="AJ558" s="14"/>
      <c r="AK558" s="14"/>
      <c r="AL558" s="14"/>
      <c r="AM558" s="14"/>
      <c r="AN558" s="14"/>
      <c r="AO558" s="14"/>
      <c r="AP558" s="14"/>
    </row>
    <row r="559" spans="1:42" ht="13">
      <c r="A559" s="38"/>
      <c r="B559" s="14"/>
      <c r="C559" s="38"/>
      <c r="D559" s="38"/>
      <c r="E559" s="38"/>
      <c r="F559" s="38"/>
      <c r="G559" s="38"/>
      <c r="H559" s="14"/>
      <c r="I559" s="38"/>
      <c r="J559" s="38"/>
      <c r="K559" s="14"/>
      <c r="L559" s="14"/>
      <c r="M559" s="14"/>
      <c r="N559" s="39"/>
      <c r="O559" s="39"/>
      <c r="P559" s="39"/>
      <c r="Q559" s="39"/>
      <c r="R559" s="39"/>
      <c r="S559" s="39"/>
      <c r="T559" s="39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  <c r="AJ559" s="14"/>
      <c r="AK559" s="14"/>
      <c r="AL559" s="14"/>
      <c r="AM559" s="14"/>
      <c r="AN559" s="14"/>
      <c r="AO559" s="14"/>
      <c r="AP559" s="14"/>
    </row>
    <row r="560" spans="1:42" ht="13">
      <c r="A560" s="38"/>
      <c r="B560" s="14"/>
      <c r="C560" s="38"/>
      <c r="D560" s="38"/>
      <c r="E560" s="38"/>
      <c r="F560" s="38"/>
      <c r="G560" s="38"/>
      <c r="H560" s="14"/>
      <c r="I560" s="38"/>
      <c r="J560" s="38"/>
      <c r="K560" s="14"/>
      <c r="L560" s="14"/>
      <c r="M560" s="14"/>
      <c r="N560" s="39"/>
      <c r="O560" s="39"/>
      <c r="P560" s="39"/>
      <c r="Q560" s="39"/>
      <c r="R560" s="39"/>
      <c r="S560" s="39"/>
      <c r="T560" s="39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  <c r="AI560" s="14"/>
      <c r="AJ560" s="14"/>
      <c r="AK560" s="14"/>
      <c r="AL560" s="14"/>
      <c r="AM560" s="14"/>
      <c r="AN560" s="14"/>
      <c r="AO560" s="14"/>
      <c r="AP560" s="14"/>
    </row>
    <row r="561" spans="1:42" ht="13">
      <c r="A561" s="38"/>
      <c r="B561" s="14"/>
      <c r="C561" s="38"/>
      <c r="D561" s="38"/>
      <c r="E561" s="38"/>
      <c r="F561" s="38"/>
      <c r="G561" s="38"/>
      <c r="H561" s="14"/>
      <c r="I561" s="38"/>
      <c r="J561" s="38"/>
      <c r="K561" s="14"/>
      <c r="L561" s="14"/>
      <c r="M561" s="14"/>
      <c r="N561" s="39"/>
      <c r="O561" s="39"/>
      <c r="P561" s="39"/>
      <c r="Q561" s="39"/>
      <c r="R561" s="39"/>
      <c r="S561" s="39"/>
      <c r="T561" s="39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  <c r="AJ561" s="14"/>
      <c r="AK561" s="14"/>
      <c r="AL561" s="14"/>
      <c r="AM561" s="14"/>
      <c r="AN561" s="14"/>
      <c r="AO561" s="14"/>
      <c r="AP561" s="14"/>
    </row>
    <row r="562" spans="1:42" ht="13">
      <c r="A562" s="38"/>
      <c r="B562" s="14"/>
      <c r="C562" s="38"/>
      <c r="D562" s="38"/>
      <c r="E562" s="38"/>
      <c r="F562" s="38"/>
      <c r="G562" s="38"/>
      <c r="H562" s="14"/>
      <c r="I562" s="38"/>
      <c r="J562" s="38"/>
      <c r="K562" s="14"/>
      <c r="L562" s="14"/>
      <c r="M562" s="14"/>
      <c r="N562" s="39"/>
      <c r="O562" s="39"/>
      <c r="P562" s="39"/>
      <c r="Q562" s="39"/>
      <c r="R562" s="39"/>
      <c r="S562" s="39"/>
      <c r="T562" s="39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  <c r="AI562" s="14"/>
      <c r="AJ562" s="14"/>
      <c r="AK562" s="14"/>
      <c r="AL562" s="14"/>
      <c r="AM562" s="14"/>
      <c r="AN562" s="14"/>
      <c r="AO562" s="14"/>
      <c r="AP562" s="14"/>
    </row>
    <row r="563" spans="1:42" ht="13">
      <c r="A563" s="38"/>
      <c r="B563" s="14"/>
      <c r="C563" s="38"/>
      <c r="D563" s="38"/>
      <c r="E563" s="38"/>
      <c r="F563" s="38"/>
      <c r="G563" s="38"/>
      <c r="H563" s="14"/>
      <c r="I563" s="38"/>
      <c r="J563" s="38"/>
      <c r="K563" s="14"/>
      <c r="L563" s="14"/>
      <c r="M563" s="14"/>
      <c r="N563" s="39"/>
      <c r="O563" s="39"/>
      <c r="P563" s="39"/>
      <c r="Q563" s="39"/>
      <c r="R563" s="39"/>
      <c r="S563" s="39"/>
      <c r="T563" s="39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  <c r="AJ563" s="14"/>
      <c r="AK563" s="14"/>
      <c r="AL563" s="14"/>
      <c r="AM563" s="14"/>
      <c r="AN563" s="14"/>
      <c r="AO563" s="14"/>
      <c r="AP563" s="14"/>
    </row>
    <row r="564" spans="1:42" ht="13">
      <c r="A564" s="38"/>
      <c r="B564" s="14"/>
      <c r="C564" s="38"/>
      <c r="D564" s="38"/>
      <c r="E564" s="38"/>
      <c r="F564" s="38"/>
      <c r="G564" s="38"/>
      <c r="H564" s="14"/>
      <c r="I564" s="38"/>
      <c r="J564" s="38"/>
      <c r="K564" s="14"/>
      <c r="L564" s="14"/>
      <c r="M564" s="14"/>
      <c r="N564" s="39"/>
      <c r="O564" s="39"/>
      <c r="P564" s="39"/>
      <c r="Q564" s="39"/>
      <c r="R564" s="39"/>
      <c r="S564" s="39"/>
      <c r="T564" s="39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  <c r="AI564" s="14"/>
      <c r="AJ564" s="14"/>
      <c r="AK564" s="14"/>
      <c r="AL564" s="14"/>
      <c r="AM564" s="14"/>
      <c r="AN564" s="14"/>
      <c r="AO564" s="14"/>
      <c r="AP564" s="14"/>
    </row>
    <row r="565" spans="1:42" ht="13">
      <c r="A565" s="38"/>
      <c r="B565" s="14"/>
      <c r="C565" s="38"/>
      <c r="D565" s="38"/>
      <c r="E565" s="38"/>
      <c r="F565" s="38"/>
      <c r="G565" s="38"/>
      <c r="H565" s="14"/>
      <c r="I565" s="38"/>
      <c r="J565" s="38"/>
      <c r="K565" s="14"/>
      <c r="L565" s="14"/>
      <c r="M565" s="14"/>
      <c r="N565" s="39"/>
      <c r="O565" s="39"/>
      <c r="P565" s="39"/>
      <c r="Q565" s="39"/>
      <c r="R565" s="39"/>
      <c r="S565" s="39"/>
      <c r="T565" s="39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  <c r="AK565" s="14"/>
      <c r="AL565" s="14"/>
      <c r="AM565" s="14"/>
      <c r="AN565" s="14"/>
      <c r="AO565" s="14"/>
      <c r="AP565" s="14"/>
    </row>
    <row r="566" spans="1:42" ht="13">
      <c r="A566" s="38"/>
      <c r="B566" s="14"/>
      <c r="C566" s="38"/>
      <c r="D566" s="38"/>
      <c r="E566" s="38"/>
      <c r="F566" s="38"/>
      <c r="G566" s="38"/>
      <c r="H566" s="14"/>
      <c r="I566" s="38"/>
      <c r="J566" s="38"/>
      <c r="K566" s="14"/>
      <c r="L566" s="14"/>
      <c r="M566" s="14"/>
      <c r="N566" s="39"/>
      <c r="O566" s="39"/>
      <c r="P566" s="39"/>
      <c r="Q566" s="39"/>
      <c r="R566" s="39"/>
      <c r="S566" s="39"/>
      <c r="T566" s="39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  <c r="AI566" s="14"/>
      <c r="AJ566" s="14"/>
      <c r="AK566" s="14"/>
      <c r="AL566" s="14"/>
      <c r="AM566" s="14"/>
      <c r="AN566" s="14"/>
      <c r="AO566" s="14"/>
      <c r="AP566" s="14"/>
    </row>
    <row r="567" spans="1:42" ht="13">
      <c r="A567" s="38"/>
      <c r="B567" s="14"/>
      <c r="C567" s="38"/>
      <c r="D567" s="38"/>
      <c r="E567" s="38"/>
      <c r="F567" s="38"/>
      <c r="G567" s="38"/>
      <c r="H567" s="14"/>
      <c r="I567" s="38"/>
      <c r="J567" s="38"/>
      <c r="K567" s="14"/>
      <c r="L567" s="14"/>
      <c r="M567" s="14"/>
      <c r="N567" s="39"/>
      <c r="O567" s="39"/>
      <c r="P567" s="39"/>
      <c r="Q567" s="39"/>
      <c r="R567" s="39"/>
      <c r="S567" s="39"/>
      <c r="T567" s="39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  <c r="AK567" s="14"/>
      <c r="AL567" s="14"/>
      <c r="AM567" s="14"/>
      <c r="AN567" s="14"/>
      <c r="AO567" s="14"/>
      <c r="AP567" s="14"/>
    </row>
    <row r="568" spans="1:42" ht="13">
      <c r="A568" s="38"/>
      <c r="B568" s="14"/>
      <c r="C568" s="38"/>
      <c r="D568" s="38"/>
      <c r="E568" s="38"/>
      <c r="F568" s="38"/>
      <c r="G568" s="38"/>
      <c r="H568" s="14"/>
      <c r="I568" s="38"/>
      <c r="J568" s="38"/>
      <c r="K568" s="14"/>
      <c r="L568" s="14"/>
      <c r="M568" s="14"/>
      <c r="N568" s="39"/>
      <c r="O568" s="39"/>
      <c r="P568" s="39"/>
      <c r="Q568" s="39"/>
      <c r="R568" s="39"/>
      <c r="S568" s="39"/>
      <c r="T568" s="39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  <c r="AI568" s="14"/>
      <c r="AJ568" s="14"/>
      <c r="AK568" s="14"/>
      <c r="AL568" s="14"/>
      <c r="AM568" s="14"/>
      <c r="AN568" s="14"/>
      <c r="AO568" s="14"/>
      <c r="AP568" s="14"/>
    </row>
    <row r="569" spans="1:42" ht="13">
      <c r="A569" s="38"/>
      <c r="B569" s="14"/>
      <c r="C569" s="38"/>
      <c r="D569" s="38"/>
      <c r="E569" s="38"/>
      <c r="F569" s="38"/>
      <c r="G569" s="38"/>
      <c r="H569" s="14"/>
      <c r="I569" s="38"/>
      <c r="J569" s="38"/>
      <c r="K569" s="14"/>
      <c r="L569" s="14"/>
      <c r="M569" s="14"/>
      <c r="N569" s="39"/>
      <c r="O569" s="39"/>
      <c r="P569" s="39"/>
      <c r="Q569" s="39"/>
      <c r="R569" s="39"/>
      <c r="S569" s="39"/>
      <c r="T569" s="39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  <c r="AJ569" s="14"/>
      <c r="AK569" s="14"/>
      <c r="AL569" s="14"/>
      <c r="AM569" s="14"/>
      <c r="AN569" s="14"/>
      <c r="AO569" s="14"/>
      <c r="AP569" s="14"/>
    </row>
    <row r="570" spans="1:42" ht="13">
      <c r="A570" s="38"/>
      <c r="B570" s="14"/>
      <c r="C570" s="38"/>
      <c r="D570" s="38"/>
      <c r="E570" s="38"/>
      <c r="F570" s="38"/>
      <c r="G570" s="38"/>
      <c r="H570" s="14"/>
      <c r="I570" s="38"/>
      <c r="J570" s="38"/>
      <c r="K570" s="14"/>
      <c r="L570" s="14"/>
      <c r="M570" s="14"/>
      <c r="N570" s="39"/>
      <c r="O570" s="39"/>
      <c r="P570" s="39"/>
      <c r="Q570" s="39"/>
      <c r="R570" s="39"/>
      <c r="S570" s="39"/>
      <c r="T570" s="39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  <c r="AI570" s="14"/>
      <c r="AJ570" s="14"/>
      <c r="AK570" s="14"/>
      <c r="AL570" s="14"/>
      <c r="AM570" s="14"/>
      <c r="AN570" s="14"/>
      <c r="AO570" s="14"/>
      <c r="AP570" s="14"/>
    </row>
    <row r="571" spans="1:42" ht="13">
      <c r="A571" s="38"/>
      <c r="B571" s="14"/>
      <c r="C571" s="38"/>
      <c r="D571" s="38"/>
      <c r="E571" s="38"/>
      <c r="F571" s="38"/>
      <c r="G571" s="38"/>
      <c r="H571" s="14"/>
      <c r="I571" s="38"/>
      <c r="J571" s="38"/>
      <c r="K571" s="14"/>
      <c r="L571" s="14"/>
      <c r="M571" s="14"/>
      <c r="N571" s="39"/>
      <c r="O571" s="39"/>
      <c r="P571" s="39"/>
      <c r="Q571" s="39"/>
      <c r="R571" s="39"/>
      <c r="S571" s="39"/>
      <c r="T571" s="39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  <c r="AJ571" s="14"/>
      <c r="AK571" s="14"/>
      <c r="AL571" s="14"/>
      <c r="AM571" s="14"/>
      <c r="AN571" s="14"/>
      <c r="AO571" s="14"/>
      <c r="AP571" s="14"/>
    </row>
    <row r="572" spans="1:42" ht="13">
      <c r="A572" s="38"/>
      <c r="B572" s="14"/>
      <c r="C572" s="38"/>
      <c r="D572" s="38"/>
      <c r="E572" s="38"/>
      <c r="F572" s="38"/>
      <c r="G572" s="38"/>
      <c r="H572" s="14"/>
      <c r="I572" s="38"/>
      <c r="J572" s="38"/>
      <c r="K572" s="14"/>
      <c r="L572" s="14"/>
      <c r="M572" s="14"/>
      <c r="N572" s="39"/>
      <c r="O572" s="39"/>
      <c r="P572" s="39"/>
      <c r="Q572" s="39"/>
      <c r="R572" s="39"/>
      <c r="S572" s="39"/>
      <c r="T572" s="39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  <c r="AI572" s="14"/>
      <c r="AJ572" s="14"/>
      <c r="AK572" s="14"/>
      <c r="AL572" s="14"/>
      <c r="AM572" s="14"/>
      <c r="AN572" s="14"/>
      <c r="AO572" s="14"/>
      <c r="AP572" s="14"/>
    </row>
    <row r="573" spans="1:42" ht="13">
      <c r="A573" s="38"/>
      <c r="B573" s="14"/>
      <c r="C573" s="38"/>
      <c r="D573" s="38"/>
      <c r="E573" s="38"/>
      <c r="F573" s="38"/>
      <c r="G573" s="38"/>
      <c r="H573" s="14"/>
      <c r="I573" s="38"/>
      <c r="J573" s="38"/>
      <c r="K573" s="14"/>
      <c r="L573" s="14"/>
      <c r="M573" s="14"/>
      <c r="N573" s="39"/>
      <c r="O573" s="39"/>
      <c r="P573" s="39"/>
      <c r="Q573" s="39"/>
      <c r="R573" s="39"/>
      <c r="S573" s="39"/>
      <c r="T573" s="39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  <c r="AJ573" s="14"/>
      <c r="AK573" s="14"/>
      <c r="AL573" s="14"/>
      <c r="AM573" s="14"/>
      <c r="AN573" s="14"/>
      <c r="AO573" s="14"/>
      <c r="AP573" s="14"/>
    </row>
    <row r="574" spans="1:42" ht="13">
      <c r="A574" s="38"/>
      <c r="B574" s="14"/>
      <c r="C574" s="38"/>
      <c r="D574" s="38"/>
      <c r="E574" s="38"/>
      <c r="F574" s="38"/>
      <c r="G574" s="38"/>
      <c r="H574" s="14"/>
      <c r="I574" s="38"/>
      <c r="J574" s="38"/>
      <c r="K574" s="14"/>
      <c r="L574" s="14"/>
      <c r="M574" s="14"/>
      <c r="N574" s="39"/>
      <c r="O574" s="39"/>
      <c r="P574" s="39"/>
      <c r="Q574" s="39"/>
      <c r="R574" s="39"/>
      <c r="S574" s="39"/>
      <c r="T574" s="39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  <c r="AI574" s="14"/>
      <c r="AJ574" s="14"/>
      <c r="AK574" s="14"/>
      <c r="AL574" s="14"/>
      <c r="AM574" s="14"/>
      <c r="AN574" s="14"/>
      <c r="AO574" s="14"/>
      <c r="AP574" s="14"/>
    </row>
    <row r="575" spans="1:42" ht="13">
      <c r="A575" s="38"/>
      <c r="B575" s="14"/>
      <c r="C575" s="38"/>
      <c r="D575" s="38"/>
      <c r="E575" s="38"/>
      <c r="F575" s="38"/>
      <c r="G575" s="38"/>
      <c r="H575" s="14"/>
      <c r="I575" s="38"/>
      <c r="J575" s="38"/>
      <c r="K575" s="14"/>
      <c r="L575" s="14"/>
      <c r="M575" s="14"/>
      <c r="N575" s="39"/>
      <c r="O575" s="39"/>
      <c r="P575" s="39"/>
      <c r="Q575" s="39"/>
      <c r="R575" s="39"/>
      <c r="S575" s="39"/>
      <c r="T575" s="39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  <c r="AJ575" s="14"/>
      <c r="AK575" s="14"/>
      <c r="AL575" s="14"/>
      <c r="AM575" s="14"/>
      <c r="AN575" s="14"/>
      <c r="AO575" s="14"/>
      <c r="AP575" s="14"/>
    </row>
    <row r="576" spans="1:42" ht="13">
      <c r="A576" s="38"/>
      <c r="B576" s="14"/>
      <c r="C576" s="38"/>
      <c r="D576" s="38"/>
      <c r="E576" s="38"/>
      <c r="F576" s="38"/>
      <c r="G576" s="38"/>
      <c r="H576" s="14"/>
      <c r="I576" s="38"/>
      <c r="J576" s="38"/>
      <c r="K576" s="14"/>
      <c r="L576" s="14"/>
      <c r="M576" s="14"/>
      <c r="N576" s="39"/>
      <c r="O576" s="39"/>
      <c r="P576" s="39"/>
      <c r="Q576" s="39"/>
      <c r="R576" s="39"/>
      <c r="S576" s="39"/>
      <c r="T576" s="39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/>
      <c r="AJ576" s="14"/>
      <c r="AK576" s="14"/>
      <c r="AL576" s="14"/>
      <c r="AM576" s="14"/>
      <c r="AN576" s="14"/>
      <c r="AO576" s="14"/>
      <c r="AP576" s="14"/>
    </row>
    <row r="577" spans="1:42" ht="13">
      <c r="A577" s="38"/>
      <c r="B577" s="14"/>
      <c r="C577" s="38"/>
      <c r="D577" s="38"/>
      <c r="E577" s="38"/>
      <c r="F577" s="38"/>
      <c r="G577" s="38"/>
      <c r="H577" s="14"/>
      <c r="I577" s="38"/>
      <c r="J577" s="38"/>
      <c r="K577" s="14"/>
      <c r="L577" s="14"/>
      <c r="M577" s="14"/>
      <c r="N577" s="39"/>
      <c r="O577" s="39"/>
      <c r="P577" s="39"/>
      <c r="Q577" s="39"/>
      <c r="R577" s="39"/>
      <c r="S577" s="39"/>
      <c r="T577" s="39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  <c r="AJ577" s="14"/>
      <c r="AK577" s="14"/>
      <c r="AL577" s="14"/>
      <c r="AM577" s="14"/>
      <c r="AN577" s="14"/>
      <c r="AO577" s="14"/>
      <c r="AP577" s="14"/>
    </row>
    <row r="578" spans="1:42" ht="13">
      <c r="A578" s="38"/>
      <c r="B578" s="14"/>
      <c r="C578" s="38"/>
      <c r="D578" s="38"/>
      <c r="E578" s="38"/>
      <c r="F578" s="38"/>
      <c r="G578" s="38"/>
      <c r="H578" s="14"/>
      <c r="I578" s="38"/>
      <c r="J578" s="38"/>
      <c r="K578" s="14"/>
      <c r="L578" s="14"/>
      <c r="M578" s="14"/>
      <c r="N578" s="39"/>
      <c r="O578" s="39"/>
      <c r="P578" s="39"/>
      <c r="Q578" s="39"/>
      <c r="R578" s="39"/>
      <c r="S578" s="39"/>
      <c r="T578" s="39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  <c r="AI578" s="14"/>
      <c r="AJ578" s="14"/>
      <c r="AK578" s="14"/>
      <c r="AL578" s="14"/>
      <c r="AM578" s="14"/>
      <c r="AN578" s="14"/>
      <c r="AO578" s="14"/>
      <c r="AP578" s="14"/>
    </row>
    <row r="579" spans="1:42" ht="13">
      <c r="A579" s="38"/>
      <c r="B579" s="14"/>
      <c r="C579" s="38"/>
      <c r="D579" s="38"/>
      <c r="E579" s="38"/>
      <c r="F579" s="38"/>
      <c r="G579" s="38"/>
      <c r="H579" s="14"/>
      <c r="I579" s="38"/>
      <c r="J579" s="38"/>
      <c r="K579" s="14"/>
      <c r="L579" s="14"/>
      <c r="M579" s="14"/>
      <c r="N579" s="39"/>
      <c r="O579" s="39"/>
      <c r="P579" s="39"/>
      <c r="Q579" s="39"/>
      <c r="R579" s="39"/>
      <c r="S579" s="39"/>
      <c r="T579" s="39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  <c r="AJ579" s="14"/>
      <c r="AK579" s="14"/>
      <c r="AL579" s="14"/>
      <c r="AM579" s="14"/>
      <c r="AN579" s="14"/>
      <c r="AO579" s="14"/>
      <c r="AP579" s="14"/>
    </row>
    <row r="580" spans="1:42" ht="13">
      <c r="A580" s="38"/>
      <c r="B580" s="14"/>
      <c r="C580" s="38"/>
      <c r="D580" s="38"/>
      <c r="E580" s="38"/>
      <c r="F580" s="38"/>
      <c r="G580" s="38"/>
      <c r="H580" s="14"/>
      <c r="I580" s="38"/>
      <c r="J580" s="38"/>
      <c r="K580" s="14"/>
      <c r="L580" s="14"/>
      <c r="M580" s="14"/>
      <c r="N580" s="39"/>
      <c r="O580" s="39"/>
      <c r="P580" s="39"/>
      <c r="Q580" s="39"/>
      <c r="R580" s="39"/>
      <c r="S580" s="39"/>
      <c r="T580" s="39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  <c r="AI580" s="14"/>
      <c r="AJ580" s="14"/>
      <c r="AK580" s="14"/>
      <c r="AL580" s="14"/>
      <c r="AM580" s="14"/>
      <c r="AN580" s="14"/>
      <c r="AO580" s="14"/>
      <c r="AP580" s="14"/>
    </row>
    <row r="581" spans="1:42" ht="13">
      <c r="A581" s="38"/>
      <c r="B581" s="14"/>
      <c r="C581" s="38"/>
      <c r="D581" s="38"/>
      <c r="E581" s="38"/>
      <c r="F581" s="38"/>
      <c r="G581" s="38"/>
      <c r="H581" s="14"/>
      <c r="I581" s="38"/>
      <c r="J581" s="38"/>
      <c r="K581" s="14"/>
      <c r="L581" s="14"/>
      <c r="M581" s="14"/>
      <c r="N581" s="39"/>
      <c r="O581" s="39"/>
      <c r="P581" s="39"/>
      <c r="Q581" s="39"/>
      <c r="R581" s="39"/>
      <c r="S581" s="39"/>
      <c r="T581" s="39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  <c r="AI581" s="14"/>
      <c r="AJ581" s="14"/>
      <c r="AK581" s="14"/>
      <c r="AL581" s="14"/>
      <c r="AM581" s="14"/>
      <c r="AN581" s="14"/>
      <c r="AO581" s="14"/>
      <c r="AP581" s="14"/>
    </row>
    <row r="582" spans="1:42" ht="13">
      <c r="A582" s="38"/>
      <c r="B582" s="14"/>
      <c r="C582" s="38"/>
      <c r="D582" s="38"/>
      <c r="E582" s="38"/>
      <c r="F582" s="38"/>
      <c r="G582" s="38"/>
      <c r="H582" s="14"/>
      <c r="I582" s="38"/>
      <c r="J582" s="38"/>
      <c r="K582" s="14"/>
      <c r="L582" s="14"/>
      <c r="M582" s="14"/>
      <c r="N582" s="39"/>
      <c r="O582" s="39"/>
      <c r="P582" s="39"/>
      <c r="Q582" s="39"/>
      <c r="R582" s="39"/>
      <c r="S582" s="39"/>
      <c r="T582" s="39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  <c r="AI582" s="14"/>
      <c r="AJ582" s="14"/>
      <c r="AK582" s="14"/>
      <c r="AL582" s="14"/>
      <c r="AM582" s="14"/>
      <c r="AN582" s="14"/>
      <c r="AO582" s="14"/>
      <c r="AP582" s="14"/>
    </row>
    <row r="583" spans="1:42" ht="13">
      <c r="A583" s="38"/>
      <c r="B583" s="14"/>
      <c r="C583" s="38"/>
      <c r="D583" s="38"/>
      <c r="E583" s="38"/>
      <c r="F583" s="38"/>
      <c r="G583" s="38"/>
      <c r="H583" s="14"/>
      <c r="I583" s="38"/>
      <c r="J583" s="38"/>
      <c r="K583" s="14"/>
      <c r="L583" s="14"/>
      <c r="M583" s="14"/>
      <c r="N583" s="39"/>
      <c r="O583" s="39"/>
      <c r="P583" s="39"/>
      <c r="Q583" s="39"/>
      <c r="R583" s="39"/>
      <c r="S583" s="39"/>
      <c r="T583" s="39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  <c r="AI583" s="14"/>
      <c r="AJ583" s="14"/>
      <c r="AK583" s="14"/>
      <c r="AL583" s="14"/>
      <c r="AM583" s="14"/>
      <c r="AN583" s="14"/>
      <c r="AO583" s="14"/>
      <c r="AP583" s="14"/>
    </row>
    <row r="584" spans="1:42" ht="13">
      <c r="A584" s="38"/>
      <c r="B584" s="14"/>
      <c r="C584" s="38"/>
      <c r="D584" s="38"/>
      <c r="E584" s="38"/>
      <c r="F584" s="38"/>
      <c r="G584" s="38"/>
      <c r="H584" s="14"/>
      <c r="I584" s="38"/>
      <c r="J584" s="38"/>
      <c r="K584" s="14"/>
      <c r="L584" s="14"/>
      <c r="M584" s="14"/>
      <c r="N584" s="39"/>
      <c r="O584" s="39"/>
      <c r="P584" s="39"/>
      <c r="Q584" s="39"/>
      <c r="R584" s="39"/>
      <c r="S584" s="39"/>
      <c r="T584" s="39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  <c r="AI584" s="14"/>
      <c r="AJ584" s="14"/>
      <c r="AK584" s="14"/>
      <c r="AL584" s="14"/>
      <c r="AM584" s="14"/>
      <c r="AN584" s="14"/>
      <c r="AO584" s="14"/>
      <c r="AP584" s="14"/>
    </row>
    <row r="585" spans="1:42" ht="13">
      <c r="A585" s="38"/>
      <c r="B585" s="14"/>
      <c r="C585" s="38"/>
      <c r="D585" s="38"/>
      <c r="E585" s="38"/>
      <c r="F585" s="38"/>
      <c r="G585" s="38"/>
      <c r="H585" s="14"/>
      <c r="I585" s="38"/>
      <c r="J585" s="38"/>
      <c r="K585" s="14"/>
      <c r="L585" s="14"/>
      <c r="M585" s="14"/>
      <c r="N585" s="39"/>
      <c r="O585" s="39"/>
      <c r="P585" s="39"/>
      <c r="Q585" s="39"/>
      <c r="R585" s="39"/>
      <c r="S585" s="39"/>
      <c r="T585" s="39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/>
      <c r="AJ585" s="14"/>
      <c r="AK585" s="14"/>
      <c r="AL585" s="14"/>
      <c r="AM585" s="14"/>
      <c r="AN585" s="14"/>
      <c r="AO585" s="14"/>
      <c r="AP585" s="14"/>
    </row>
    <row r="586" spans="1:42" ht="13">
      <c r="A586" s="38"/>
      <c r="B586" s="14"/>
      <c r="C586" s="38"/>
      <c r="D586" s="38"/>
      <c r="E586" s="38"/>
      <c r="F586" s="38"/>
      <c r="G586" s="38"/>
      <c r="H586" s="14"/>
      <c r="I586" s="38"/>
      <c r="J586" s="38"/>
      <c r="K586" s="14"/>
      <c r="L586" s="14"/>
      <c r="M586" s="14"/>
      <c r="N586" s="39"/>
      <c r="O586" s="39"/>
      <c r="P586" s="39"/>
      <c r="Q586" s="39"/>
      <c r="R586" s="39"/>
      <c r="S586" s="39"/>
      <c r="T586" s="39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  <c r="AI586" s="14"/>
      <c r="AJ586" s="14"/>
      <c r="AK586" s="14"/>
      <c r="AL586" s="14"/>
      <c r="AM586" s="14"/>
      <c r="AN586" s="14"/>
      <c r="AO586" s="14"/>
      <c r="AP586" s="14"/>
    </row>
    <row r="587" spans="1:42" ht="13">
      <c r="A587" s="38"/>
      <c r="B587" s="14"/>
      <c r="C587" s="38"/>
      <c r="D587" s="38"/>
      <c r="E587" s="38"/>
      <c r="F587" s="38"/>
      <c r="G587" s="38"/>
      <c r="H587" s="14"/>
      <c r="I587" s="38"/>
      <c r="J587" s="38"/>
      <c r="K587" s="14"/>
      <c r="L587" s="14"/>
      <c r="M587" s="14"/>
      <c r="N587" s="39"/>
      <c r="O587" s="39"/>
      <c r="P587" s="39"/>
      <c r="Q587" s="39"/>
      <c r="R587" s="39"/>
      <c r="S587" s="39"/>
      <c r="T587" s="39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  <c r="AJ587" s="14"/>
      <c r="AK587" s="14"/>
      <c r="AL587" s="14"/>
      <c r="AM587" s="14"/>
      <c r="AN587" s="14"/>
      <c r="AO587" s="14"/>
      <c r="AP587" s="14"/>
    </row>
    <row r="588" spans="1:42" ht="13">
      <c r="A588" s="38"/>
      <c r="B588" s="14"/>
      <c r="C588" s="38"/>
      <c r="D588" s="38"/>
      <c r="E588" s="38"/>
      <c r="F588" s="38"/>
      <c r="G588" s="38"/>
      <c r="H588" s="14"/>
      <c r="I588" s="38"/>
      <c r="J588" s="38"/>
      <c r="K588" s="14"/>
      <c r="L588" s="14"/>
      <c r="M588" s="14"/>
      <c r="N588" s="39"/>
      <c r="O588" s="39"/>
      <c r="P588" s="39"/>
      <c r="Q588" s="39"/>
      <c r="R588" s="39"/>
      <c r="S588" s="39"/>
      <c r="T588" s="39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  <c r="AI588" s="14"/>
      <c r="AJ588" s="14"/>
      <c r="AK588" s="14"/>
      <c r="AL588" s="14"/>
      <c r="AM588" s="14"/>
      <c r="AN588" s="14"/>
      <c r="AO588" s="14"/>
      <c r="AP588" s="14"/>
    </row>
    <row r="589" spans="1:42" ht="13">
      <c r="A589" s="38"/>
      <c r="B589" s="14"/>
      <c r="C589" s="38"/>
      <c r="D589" s="38"/>
      <c r="E589" s="38"/>
      <c r="F589" s="38"/>
      <c r="G589" s="38"/>
      <c r="H589" s="14"/>
      <c r="I589" s="38"/>
      <c r="J589" s="38"/>
      <c r="K589" s="14"/>
      <c r="L589" s="14"/>
      <c r="M589" s="14"/>
      <c r="N589" s="39"/>
      <c r="O589" s="39"/>
      <c r="P589" s="39"/>
      <c r="Q589" s="39"/>
      <c r="R589" s="39"/>
      <c r="S589" s="39"/>
      <c r="T589" s="39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  <c r="AI589" s="14"/>
      <c r="AJ589" s="14"/>
      <c r="AK589" s="14"/>
      <c r="AL589" s="14"/>
      <c r="AM589" s="14"/>
      <c r="AN589" s="14"/>
      <c r="AO589" s="14"/>
      <c r="AP589" s="14"/>
    </row>
    <row r="590" spans="1:42" ht="13">
      <c r="A590" s="38"/>
      <c r="B590" s="14"/>
      <c r="C590" s="38"/>
      <c r="D590" s="38"/>
      <c r="E590" s="38"/>
      <c r="F590" s="38"/>
      <c r="G590" s="38"/>
      <c r="H590" s="14"/>
      <c r="I590" s="38"/>
      <c r="J590" s="38"/>
      <c r="K590" s="14"/>
      <c r="L590" s="14"/>
      <c r="M590" s="14"/>
      <c r="N590" s="39"/>
      <c r="O590" s="39"/>
      <c r="P590" s="39"/>
      <c r="Q590" s="39"/>
      <c r="R590" s="39"/>
      <c r="S590" s="39"/>
      <c r="T590" s="39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  <c r="AI590" s="14"/>
      <c r="AJ590" s="14"/>
      <c r="AK590" s="14"/>
      <c r="AL590" s="14"/>
      <c r="AM590" s="14"/>
      <c r="AN590" s="14"/>
      <c r="AO590" s="14"/>
      <c r="AP590" s="14"/>
    </row>
    <row r="591" spans="1:42" ht="13">
      <c r="A591" s="38"/>
      <c r="B591" s="14"/>
      <c r="C591" s="38"/>
      <c r="D591" s="38"/>
      <c r="E591" s="38"/>
      <c r="F591" s="38"/>
      <c r="G591" s="38"/>
      <c r="H591" s="14"/>
      <c r="I591" s="38"/>
      <c r="J591" s="38"/>
      <c r="K591" s="14"/>
      <c r="L591" s="14"/>
      <c r="M591" s="14"/>
      <c r="N591" s="39"/>
      <c r="O591" s="39"/>
      <c r="P591" s="39"/>
      <c r="Q591" s="39"/>
      <c r="R591" s="39"/>
      <c r="S591" s="39"/>
      <c r="T591" s="39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  <c r="AJ591" s="14"/>
      <c r="AK591" s="14"/>
      <c r="AL591" s="14"/>
      <c r="AM591" s="14"/>
      <c r="AN591" s="14"/>
      <c r="AO591" s="14"/>
      <c r="AP591" s="14"/>
    </row>
    <row r="592" spans="1:42" ht="13">
      <c r="A592" s="38"/>
      <c r="B592" s="14"/>
      <c r="C592" s="38"/>
      <c r="D592" s="38"/>
      <c r="E592" s="38"/>
      <c r="F592" s="38"/>
      <c r="G592" s="38"/>
      <c r="H592" s="14"/>
      <c r="I592" s="38"/>
      <c r="J592" s="38"/>
      <c r="K592" s="14"/>
      <c r="L592" s="14"/>
      <c r="M592" s="14"/>
      <c r="N592" s="39"/>
      <c r="O592" s="39"/>
      <c r="P592" s="39"/>
      <c r="Q592" s="39"/>
      <c r="R592" s="39"/>
      <c r="S592" s="39"/>
      <c r="T592" s="39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  <c r="AI592" s="14"/>
      <c r="AJ592" s="14"/>
      <c r="AK592" s="14"/>
      <c r="AL592" s="14"/>
      <c r="AM592" s="14"/>
      <c r="AN592" s="14"/>
      <c r="AO592" s="14"/>
      <c r="AP592" s="14"/>
    </row>
    <row r="593" spans="1:42" ht="13">
      <c r="A593" s="38"/>
      <c r="B593" s="14"/>
      <c r="C593" s="38"/>
      <c r="D593" s="38"/>
      <c r="E593" s="38"/>
      <c r="F593" s="38"/>
      <c r="G593" s="38"/>
      <c r="H593" s="14"/>
      <c r="I593" s="38"/>
      <c r="J593" s="38"/>
      <c r="K593" s="14"/>
      <c r="L593" s="14"/>
      <c r="M593" s="14"/>
      <c r="N593" s="39"/>
      <c r="O593" s="39"/>
      <c r="P593" s="39"/>
      <c r="Q593" s="39"/>
      <c r="R593" s="39"/>
      <c r="S593" s="39"/>
      <c r="T593" s="39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  <c r="AK593" s="14"/>
      <c r="AL593" s="14"/>
      <c r="AM593" s="14"/>
      <c r="AN593" s="14"/>
      <c r="AO593" s="14"/>
      <c r="AP593" s="14"/>
    </row>
    <row r="594" spans="1:42" ht="13">
      <c r="A594" s="38"/>
      <c r="B594" s="14"/>
      <c r="C594" s="38"/>
      <c r="D594" s="38"/>
      <c r="E594" s="38"/>
      <c r="F594" s="38"/>
      <c r="G594" s="38"/>
      <c r="H594" s="14"/>
      <c r="I594" s="38"/>
      <c r="J594" s="38"/>
      <c r="K594" s="14"/>
      <c r="L594" s="14"/>
      <c r="M594" s="14"/>
      <c r="N594" s="39"/>
      <c r="O594" s="39"/>
      <c r="P594" s="39"/>
      <c r="Q594" s="39"/>
      <c r="R594" s="39"/>
      <c r="S594" s="39"/>
      <c r="T594" s="39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  <c r="AI594" s="14"/>
      <c r="AJ594" s="14"/>
      <c r="AK594" s="14"/>
      <c r="AL594" s="14"/>
      <c r="AM594" s="14"/>
      <c r="AN594" s="14"/>
      <c r="AO594" s="14"/>
      <c r="AP594" s="14"/>
    </row>
    <row r="595" spans="1:42" ht="13">
      <c r="A595" s="38"/>
      <c r="B595" s="14"/>
      <c r="C595" s="38"/>
      <c r="D595" s="38"/>
      <c r="E595" s="38"/>
      <c r="F595" s="38"/>
      <c r="G595" s="38"/>
      <c r="H595" s="14"/>
      <c r="I595" s="38"/>
      <c r="J595" s="38"/>
      <c r="K595" s="14"/>
      <c r="L595" s="14"/>
      <c r="M595" s="14"/>
      <c r="N595" s="39"/>
      <c r="O595" s="39"/>
      <c r="P595" s="39"/>
      <c r="Q595" s="39"/>
      <c r="R595" s="39"/>
      <c r="S595" s="39"/>
      <c r="T595" s="39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  <c r="AI595" s="14"/>
      <c r="AJ595" s="14"/>
      <c r="AK595" s="14"/>
      <c r="AL595" s="14"/>
      <c r="AM595" s="14"/>
      <c r="AN595" s="14"/>
      <c r="AO595" s="14"/>
      <c r="AP595" s="14"/>
    </row>
    <row r="596" spans="1:42" ht="13">
      <c r="A596" s="38"/>
      <c r="B596" s="14"/>
      <c r="C596" s="38"/>
      <c r="D596" s="38"/>
      <c r="E596" s="38"/>
      <c r="F596" s="38"/>
      <c r="G596" s="38"/>
      <c r="H596" s="14"/>
      <c r="I596" s="38"/>
      <c r="J596" s="38"/>
      <c r="K596" s="14"/>
      <c r="L596" s="14"/>
      <c r="M596" s="14"/>
      <c r="N596" s="39"/>
      <c r="O596" s="39"/>
      <c r="P596" s="39"/>
      <c r="Q596" s="39"/>
      <c r="R596" s="39"/>
      <c r="S596" s="39"/>
      <c r="T596" s="39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  <c r="AH596" s="14"/>
      <c r="AI596" s="14"/>
      <c r="AJ596" s="14"/>
      <c r="AK596" s="14"/>
      <c r="AL596" s="14"/>
      <c r="AM596" s="14"/>
      <c r="AN596" s="14"/>
      <c r="AO596" s="14"/>
      <c r="AP596" s="14"/>
    </row>
    <row r="597" spans="1:42" ht="13">
      <c r="A597" s="38"/>
      <c r="B597" s="14"/>
      <c r="C597" s="38"/>
      <c r="D597" s="38"/>
      <c r="E597" s="38"/>
      <c r="F597" s="38"/>
      <c r="G597" s="38"/>
      <c r="H597" s="14"/>
      <c r="I597" s="38"/>
      <c r="J597" s="38"/>
      <c r="K597" s="14"/>
      <c r="L597" s="14"/>
      <c r="M597" s="14"/>
      <c r="N597" s="39"/>
      <c r="O597" s="39"/>
      <c r="P597" s="39"/>
      <c r="Q597" s="39"/>
      <c r="R597" s="39"/>
      <c r="S597" s="39"/>
      <c r="T597" s="39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4"/>
      <c r="AI597" s="14"/>
      <c r="AJ597" s="14"/>
      <c r="AK597" s="14"/>
      <c r="AL597" s="14"/>
      <c r="AM597" s="14"/>
      <c r="AN597" s="14"/>
      <c r="AO597" s="14"/>
      <c r="AP597" s="14"/>
    </row>
    <row r="598" spans="1:42" ht="13">
      <c r="A598" s="38"/>
      <c r="B598" s="14"/>
      <c r="C598" s="38"/>
      <c r="D598" s="38"/>
      <c r="E598" s="38"/>
      <c r="F598" s="38"/>
      <c r="G598" s="38"/>
      <c r="H598" s="14"/>
      <c r="I598" s="38"/>
      <c r="J598" s="38"/>
      <c r="K598" s="14"/>
      <c r="L598" s="14"/>
      <c r="M598" s="14"/>
      <c r="N598" s="39"/>
      <c r="O598" s="39"/>
      <c r="P598" s="39"/>
      <c r="Q598" s="39"/>
      <c r="R598" s="39"/>
      <c r="S598" s="39"/>
      <c r="T598" s="39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  <c r="AH598" s="14"/>
      <c r="AI598" s="14"/>
      <c r="AJ598" s="14"/>
      <c r="AK598" s="14"/>
      <c r="AL598" s="14"/>
      <c r="AM598" s="14"/>
      <c r="AN598" s="14"/>
      <c r="AO598" s="14"/>
      <c r="AP598" s="14"/>
    </row>
    <row r="599" spans="1:42" ht="13">
      <c r="A599" s="38"/>
      <c r="B599" s="14"/>
      <c r="C599" s="38"/>
      <c r="D599" s="38"/>
      <c r="E599" s="38"/>
      <c r="F599" s="38"/>
      <c r="G599" s="38"/>
      <c r="H599" s="14"/>
      <c r="I599" s="38"/>
      <c r="J599" s="38"/>
      <c r="K599" s="14"/>
      <c r="L599" s="14"/>
      <c r="M599" s="14"/>
      <c r="N599" s="39"/>
      <c r="O599" s="39"/>
      <c r="P599" s="39"/>
      <c r="Q599" s="39"/>
      <c r="R599" s="39"/>
      <c r="S599" s="39"/>
      <c r="T599" s="39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  <c r="AI599" s="14"/>
      <c r="AJ599" s="14"/>
      <c r="AK599" s="14"/>
      <c r="AL599" s="14"/>
      <c r="AM599" s="14"/>
      <c r="AN599" s="14"/>
      <c r="AO599" s="14"/>
      <c r="AP599" s="14"/>
    </row>
    <row r="600" spans="1:42" ht="13">
      <c r="A600" s="38"/>
      <c r="B600" s="14"/>
      <c r="C600" s="38"/>
      <c r="D600" s="38"/>
      <c r="E600" s="38"/>
      <c r="F600" s="38"/>
      <c r="G600" s="38"/>
      <c r="H600" s="14"/>
      <c r="I600" s="38"/>
      <c r="J600" s="38"/>
      <c r="K600" s="14"/>
      <c r="L600" s="14"/>
      <c r="M600" s="14"/>
      <c r="N600" s="39"/>
      <c r="O600" s="39"/>
      <c r="P600" s="39"/>
      <c r="Q600" s="39"/>
      <c r="R600" s="39"/>
      <c r="S600" s="39"/>
      <c r="T600" s="39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  <c r="AH600" s="14"/>
      <c r="AI600" s="14"/>
      <c r="AJ600" s="14"/>
      <c r="AK600" s="14"/>
      <c r="AL600" s="14"/>
      <c r="AM600" s="14"/>
      <c r="AN600" s="14"/>
      <c r="AO600" s="14"/>
      <c r="AP600" s="14"/>
    </row>
    <row r="601" spans="1:42" ht="13">
      <c r="A601" s="38"/>
      <c r="B601" s="14"/>
      <c r="C601" s="38"/>
      <c r="D601" s="38"/>
      <c r="E601" s="38"/>
      <c r="F601" s="38"/>
      <c r="G601" s="38"/>
      <c r="H601" s="14"/>
      <c r="I601" s="38"/>
      <c r="J601" s="38"/>
      <c r="K601" s="14"/>
      <c r="L601" s="14"/>
      <c r="M601" s="14"/>
      <c r="N601" s="39"/>
      <c r="O601" s="39"/>
      <c r="P601" s="39"/>
      <c r="Q601" s="39"/>
      <c r="R601" s="39"/>
      <c r="S601" s="39"/>
      <c r="T601" s="39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  <c r="AH601" s="14"/>
      <c r="AI601" s="14"/>
      <c r="AJ601" s="14"/>
      <c r="AK601" s="14"/>
      <c r="AL601" s="14"/>
      <c r="AM601" s="14"/>
      <c r="AN601" s="14"/>
      <c r="AO601" s="14"/>
      <c r="AP601" s="14"/>
    </row>
    <row r="602" spans="1:42" ht="13">
      <c r="A602" s="38"/>
      <c r="B602" s="14"/>
      <c r="C602" s="38"/>
      <c r="D602" s="38"/>
      <c r="E602" s="38"/>
      <c r="F602" s="38"/>
      <c r="G602" s="38"/>
      <c r="H602" s="14"/>
      <c r="I602" s="38"/>
      <c r="J602" s="38"/>
      <c r="K602" s="14"/>
      <c r="L602" s="14"/>
      <c r="M602" s="14"/>
      <c r="N602" s="39"/>
      <c r="O602" s="39"/>
      <c r="P602" s="39"/>
      <c r="Q602" s="39"/>
      <c r="R602" s="39"/>
      <c r="S602" s="39"/>
      <c r="T602" s="39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  <c r="AH602" s="14"/>
      <c r="AI602" s="14"/>
      <c r="AJ602" s="14"/>
      <c r="AK602" s="14"/>
      <c r="AL602" s="14"/>
      <c r="AM602" s="14"/>
      <c r="AN602" s="14"/>
      <c r="AO602" s="14"/>
      <c r="AP602" s="14"/>
    </row>
    <row r="603" spans="1:42" ht="13">
      <c r="A603" s="38"/>
      <c r="B603" s="14"/>
      <c r="C603" s="38"/>
      <c r="D603" s="38"/>
      <c r="E603" s="38"/>
      <c r="F603" s="38"/>
      <c r="G603" s="38"/>
      <c r="H603" s="14"/>
      <c r="I603" s="38"/>
      <c r="J603" s="38"/>
      <c r="K603" s="14"/>
      <c r="L603" s="14"/>
      <c r="M603" s="14"/>
      <c r="N603" s="39"/>
      <c r="O603" s="39"/>
      <c r="P603" s="39"/>
      <c r="Q603" s="39"/>
      <c r="R603" s="39"/>
      <c r="S603" s="39"/>
      <c r="T603" s="39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  <c r="AI603" s="14"/>
      <c r="AJ603" s="14"/>
      <c r="AK603" s="14"/>
      <c r="AL603" s="14"/>
      <c r="AM603" s="14"/>
      <c r="AN603" s="14"/>
      <c r="AO603" s="14"/>
      <c r="AP603" s="14"/>
    </row>
    <row r="604" spans="1:42" ht="13">
      <c r="A604" s="38"/>
      <c r="B604" s="14"/>
      <c r="C604" s="38"/>
      <c r="D604" s="38"/>
      <c r="E604" s="38"/>
      <c r="F604" s="38"/>
      <c r="G604" s="38"/>
      <c r="H604" s="14"/>
      <c r="I604" s="38"/>
      <c r="J604" s="38"/>
      <c r="K604" s="14"/>
      <c r="L604" s="14"/>
      <c r="M604" s="14"/>
      <c r="N604" s="39"/>
      <c r="O604" s="39"/>
      <c r="P604" s="39"/>
      <c r="Q604" s="39"/>
      <c r="R604" s="39"/>
      <c r="S604" s="39"/>
      <c r="T604" s="39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  <c r="AH604" s="14"/>
      <c r="AI604" s="14"/>
      <c r="AJ604" s="14"/>
      <c r="AK604" s="14"/>
      <c r="AL604" s="14"/>
      <c r="AM604" s="14"/>
      <c r="AN604" s="14"/>
      <c r="AO604" s="14"/>
      <c r="AP604" s="14"/>
    </row>
    <row r="605" spans="1:42" ht="13">
      <c r="A605" s="38"/>
      <c r="B605" s="14"/>
      <c r="C605" s="38"/>
      <c r="D605" s="38"/>
      <c r="E605" s="38"/>
      <c r="F605" s="38"/>
      <c r="G605" s="38"/>
      <c r="H605" s="14"/>
      <c r="I605" s="38"/>
      <c r="J605" s="38"/>
      <c r="K605" s="14"/>
      <c r="L605" s="14"/>
      <c r="M605" s="14"/>
      <c r="N605" s="39"/>
      <c r="O605" s="39"/>
      <c r="P605" s="39"/>
      <c r="Q605" s="39"/>
      <c r="R605" s="39"/>
      <c r="S605" s="39"/>
      <c r="T605" s="39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  <c r="AI605" s="14"/>
      <c r="AJ605" s="14"/>
      <c r="AK605" s="14"/>
      <c r="AL605" s="14"/>
      <c r="AM605" s="14"/>
      <c r="AN605" s="14"/>
      <c r="AO605" s="14"/>
      <c r="AP605" s="14"/>
    </row>
    <row r="606" spans="1:42" ht="13">
      <c r="A606" s="38"/>
      <c r="B606" s="14"/>
      <c r="C606" s="38"/>
      <c r="D606" s="38"/>
      <c r="E606" s="38"/>
      <c r="F606" s="38"/>
      <c r="G606" s="38"/>
      <c r="H606" s="14"/>
      <c r="I606" s="38"/>
      <c r="J606" s="38"/>
      <c r="K606" s="14"/>
      <c r="L606" s="14"/>
      <c r="M606" s="14"/>
      <c r="N606" s="39"/>
      <c r="O606" s="39"/>
      <c r="P606" s="39"/>
      <c r="Q606" s="39"/>
      <c r="R606" s="39"/>
      <c r="S606" s="39"/>
      <c r="T606" s="39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  <c r="AH606" s="14"/>
      <c r="AI606" s="14"/>
      <c r="AJ606" s="14"/>
      <c r="AK606" s="14"/>
      <c r="AL606" s="14"/>
      <c r="AM606" s="14"/>
      <c r="AN606" s="14"/>
      <c r="AO606" s="14"/>
      <c r="AP606" s="14"/>
    </row>
    <row r="607" spans="1:42" ht="13">
      <c r="A607" s="38"/>
      <c r="B607" s="14"/>
      <c r="C607" s="38"/>
      <c r="D607" s="38"/>
      <c r="E607" s="38"/>
      <c r="F607" s="38"/>
      <c r="G607" s="38"/>
      <c r="H607" s="14"/>
      <c r="I607" s="38"/>
      <c r="J607" s="38"/>
      <c r="K607" s="14"/>
      <c r="L607" s="14"/>
      <c r="M607" s="14"/>
      <c r="N607" s="39"/>
      <c r="O607" s="39"/>
      <c r="P607" s="39"/>
      <c r="Q607" s="39"/>
      <c r="R607" s="39"/>
      <c r="S607" s="39"/>
      <c r="T607" s="39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  <c r="AH607" s="14"/>
      <c r="AI607" s="14"/>
      <c r="AJ607" s="14"/>
      <c r="AK607" s="14"/>
      <c r="AL607" s="14"/>
      <c r="AM607" s="14"/>
      <c r="AN607" s="14"/>
      <c r="AO607" s="14"/>
      <c r="AP607" s="14"/>
    </row>
    <row r="608" spans="1:42" ht="13">
      <c r="A608" s="38"/>
      <c r="B608" s="14"/>
      <c r="C608" s="38"/>
      <c r="D608" s="38"/>
      <c r="E608" s="38"/>
      <c r="F608" s="38"/>
      <c r="G608" s="38"/>
      <c r="H608" s="14"/>
      <c r="I608" s="38"/>
      <c r="J608" s="38"/>
      <c r="K608" s="14"/>
      <c r="L608" s="14"/>
      <c r="M608" s="14"/>
      <c r="N608" s="39"/>
      <c r="O608" s="39"/>
      <c r="P608" s="39"/>
      <c r="Q608" s="39"/>
      <c r="R608" s="39"/>
      <c r="S608" s="39"/>
      <c r="T608" s="39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  <c r="AH608" s="14"/>
      <c r="AI608" s="14"/>
      <c r="AJ608" s="14"/>
      <c r="AK608" s="14"/>
      <c r="AL608" s="14"/>
      <c r="AM608" s="14"/>
      <c r="AN608" s="14"/>
      <c r="AO608" s="14"/>
      <c r="AP608" s="14"/>
    </row>
    <row r="609" spans="1:42" ht="13">
      <c r="A609" s="38"/>
      <c r="B609" s="14"/>
      <c r="C609" s="38"/>
      <c r="D609" s="38"/>
      <c r="E609" s="38"/>
      <c r="F609" s="38"/>
      <c r="G609" s="38"/>
      <c r="H609" s="14"/>
      <c r="I609" s="38"/>
      <c r="J609" s="38"/>
      <c r="K609" s="14"/>
      <c r="L609" s="14"/>
      <c r="M609" s="14"/>
      <c r="N609" s="39"/>
      <c r="O609" s="39"/>
      <c r="P609" s="39"/>
      <c r="Q609" s="39"/>
      <c r="R609" s="39"/>
      <c r="S609" s="39"/>
      <c r="T609" s="39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  <c r="AH609" s="14"/>
      <c r="AI609" s="14"/>
      <c r="AJ609" s="14"/>
      <c r="AK609" s="14"/>
      <c r="AL609" s="14"/>
      <c r="AM609" s="14"/>
      <c r="AN609" s="14"/>
      <c r="AO609" s="14"/>
      <c r="AP609" s="14"/>
    </row>
    <row r="610" spans="1:42" ht="13">
      <c r="A610" s="38"/>
      <c r="B610" s="14"/>
      <c r="C610" s="38"/>
      <c r="D610" s="38"/>
      <c r="E610" s="38"/>
      <c r="F610" s="38"/>
      <c r="G610" s="38"/>
      <c r="H610" s="14"/>
      <c r="I610" s="38"/>
      <c r="J610" s="38"/>
      <c r="K610" s="14"/>
      <c r="L610" s="14"/>
      <c r="M610" s="14"/>
      <c r="N610" s="39"/>
      <c r="O610" s="39"/>
      <c r="P610" s="39"/>
      <c r="Q610" s="39"/>
      <c r="R610" s="39"/>
      <c r="S610" s="39"/>
      <c r="T610" s="39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  <c r="AH610" s="14"/>
      <c r="AI610" s="14"/>
      <c r="AJ610" s="14"/>
      <c r="AK610" s="14"/>
      <c r="AL610" s="14"/>
      <c r="AM610" s="14"/>
      <c r="AN610" s="14"/>
      <c r="AO610" s="14"/>
      <c r="AP610" s="14"/>
    </row>
    <row r="611" spans="1:42" ht="13">
      <c r="A611" s="38"/>
      <c r="B611" s="14"/>
      <c r="C611" s="38"/>
      <c r="D611" s="38"/>
      <c r="E611" s="38"/>
      <c r="F611" s="38"/>
      <c r="G611" s="38"/>
      <c r="H611" s="14"/>
      <c r="I611" s="38"/>
      <c r="J611" s="38"/>
      <c r="K611" s="14"/>
      <c r="L611" s="14"/>
      <c r="M611" s="14"/>
      <c r="N611" s="39"/>
      <c r="O611" s="39"/>
      <c r="P611" s="39"/>
      <c r="Q611" s="39"/>
      <c r="R611" s="39"/>
      <c r="S611" s="39"/>
      <c r="T611" s="39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  <c r="AH611" s="14"/>
      <c r="AI611" s="14"/>
      <c r="AJ611" s="14"/>
      <c r="AK611" s="14"/>
      <c r="AL611" s="14"/>
      <c r="AM611" s="14"/>
      <c r="AN611" s="14"/>
      <c r="AO611" s="14"/>
      <c r="AP611" s="14"/>
    </row>
    <row r="612" spans="1:42" ht="13">
      <c r="A612" s="38"/>
      <c r="B612" s="14"/>
      <c r="C612" s="38"/>
      <c r="D612" s="38"/>
      <c r="E612" s="38"/>
      <c r="F612" s="38"/>
      <c r="G612" s="38"/>
      <c r="H612" s="14"/>
      <c r="I612" s="38"/>
      <c r="J612" s="38"/>
      <c r="K612" s="14"/>
      <c r="L612" s="14"/>
      <c r="M612" s="14"/>
      <c r="N612" s="39"/>
      <c r="O612" s="39"/>
      <c r="P612" s="39"/>
      <c r="Q612" s="39"/>
      <c r="R612" s="39"/>
      <c r="S612" s="39"/>
      <c r="T612" s="39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  <c r="AH612" s="14"/>
      <c r="AI612" s="14"/>
      <c r="AJ612" s="14"/>
      <c r="AK612" s="14"/>
      <c r="AL612" s="14"/>
      <c r="AM612" s="14"/>
      <c r="AN612" s="14"/>
      <c r="AO612" s="14"/>
      <c r="AP612" s="14"/>
    </row>
    <row r="613" spans="1:42" ht="13">
      <c r="A613" s="38"/>
      <c r="B613" s="14"/>
      <c r="C613" s="38"/>
      <c r="D613" s="38"/>
      <c r="E613" s="38"/>
      <c r="F613" s="38"/>
      <c r="G613" s="38"/>
      <c r="H613" s="14"/>
      <c r="I613" s="38"/>
      <c r="J613" s="38"/>
      <c r="K613" s="14"/>
      <c r="L613" s="14"/>
      <c r="M613" s="14"/>
      <c r="N613" s="39"/>
      <c r="O613" s="39"/>
      <c r="P613" s="39"/>
      <c r="Q613" s="39"/>
      <c r="R613" s="39"/>
      <c r="S613" s="39"/>
      <c r="T613" s="39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  <c r="AH613" s="14"/>
      <c r="AI613" s="14"/>
      <c r="AJ613" s="14"/>
      <c r="AK613" s="14"/>
      <c r="AL613" s="14"/>
      <c r="AM613" s="14"/>
      <c r="AN613" s="14"/>
      <c r="AO613" s="14"/>
      <c r="AP613" s="14"/>
    </row>
    <row r="614" spans="1:42" ht="13">
      <c r="A614" s="38"/>
      <c r="B614" s="14"/>
      <c r="C614" s="38"/>
      <c r="D614" s="38"/>
      <c r="E614" s="38"/>
      <c r="F614" s="38"/>
      <c r="G614" s="38"/>
      <c r="H614" s="14"/>
      <c r="I614" s="38"/>
      <c r="J614" s="38"/>
      <c r="K614" s="14"/>
      <c r="L614" s="14"/>
      <c r="M614" s="14"/>
      <c r="N614" s="39"/>
      <c r="O614" s="39"/>
      <c r="P614" s="39"/>
      <c r="Q614" s="39"/>
      <c r="R614" s="39"/>
      <c r="S614" s="39"/>
      <c r="T614" s="39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  <c r="AH614" s="14"/>
      <c r="AI614" s="14"/>
      <c r="AJ614" s="14"/>
      <c r="AK614" s="14"/>
      <c r="AL614" s="14"/>
      <c r="AM614" s="14"/>
      <c r="AN614" s="14"/>
      <c r="AO614" s="14"/>
      <c r="AP614" s="14"/>
    </row>
    <row r="615" spans="1:42" ht="13">
      <c r="A615" s="38"/>
      <c r="B615" s="14"/>
      <c r="C615" s="38"/>
      <c r="D615" s="38"/>
      <c r="E615" s="38"/>
      <c r="F615" s="38"/>
      <c r="G615" s="38"/>
      <c r="H615" s="14"/>
      <c r="I615" s="38"/>
      <c r="J615" s="38"/>
      <c r="K615" s="14"/>
      <c r="L615" s="14"/>
      <c r="M615" s="14"/>
      <c r="N615" s="39"/>
      <c r="O615" s="39"/>
      <c r="P615" s="39"/>
      <c r="Q615" s="39"/>
      <c r="R615" s="39"/>
      <c r="S615" s="39"/>
      <c r="T615" s="39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  <c r="AH615" s="14"/>
      <c r="AI615" s="14"/>
      <c r="AJ615" s="14"/>
      <c r="AK615" s="14"/>
      <c r="AL615" s="14"/>
      <c r="AM615" s="14"/>
      <c r="AN615" s="14"/>
      <c r="AO615" s="14"/>
      <c r="AP615" s="14"/>
    </row>
    <row r="616" spans="1:42" ht="13">
      <c r="A616" s="38"/>
      <c r="B616" s="14"/>
      <c r="C616" s="38"/>
      <c r="D616" s="38"/>
      <c r="E616" s="38"/>
      <c r="F616" s="38"/>
      <c r="G616" s="38"/>
      <c r="H616" s="14"/>
      <c r="I616" s="38"/>
      <c r="J616" s="38"/>
      <c r="K616" s="14"/>
      <c r="L616" s="14"/>
      <c r="M616" s="14"/>
      <c r="N616" s="39"/>
      <c r="O616" s="39"/>
      <c r="P616" s="39"/>
      <c r="Q616" s="39"/>
      <c r="R616" s="39"/>
      <c r="S616" s="39"/>
      <c r="T616" s="39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  <c r="AH616" s="14"/>
      <c r="AI616" s="14"/>
      <c r="AJ616" s="14"/>
      <c r="AK616" s="14"/>
      <c r="AL616" s="14"/>
      <c r="AM616" s="14"/>
      <c r="AN616" s="14"/>
      <c r="AO616" s="14"/>
      <c r="AP616" s="14"/>
    </row>
    <row r="617" spans="1:42" ht="13">
      <c r="A617" s="38"/>
      <c r="B617" s="14"/>
      <c r="C617" s="38"/>
      <c r="D617" s="38"/>
      <c r="E617" s="38"/>
      <c r="F617" s="38"/>
      <c r="G617" s="38"/>
      <c r="H617" s="14"/>
      <c r="I617" s="38"/>
      <c r="J617" s="38"/>
      <c r="K617" s="14"/>
      <c r="L617" s="14"/>
      <c r="M617" s="14"/>
      <c r="N617" s="39"/>
      <c r="O617" s="39"/>
      <c r="P617" s="39"/>
      <c r="Q617" s="39"/>
      <c r="R617" s="39"/>
      <c r="S617" s="39"/>
      <c r="T617" s="39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  <c r="AI617" s="14"/>
      <c r="AJ617" s="14"/>
      <c r="AK617" s="14"/>
      <c r="AL617" s="14"/>
      <c r="AM617" s="14"/>
      <c r="AN617" s="14"/>
      <c r="AO617" s="14"/>
      <c r="AP617" s="14"/>
    </row>
    <row r="618" spans="1:42" ht="13">
      <c r="A618" s="38"/>
      <c r="B618" s="14"/>
      <c r="C618" s="38"/>
      <c r="D618" s="38"/>
      <c r="E618" s="38"/>
      <c r="F618" s="38"/>
      <c r="G618" s="38"/>
      <c r="H618" s="14"/>
      <c r="I618" s="38"/>
      <c r="J618" s="38"/>
      <c r="K618" s="14"/>
      <c r="L618" s="14"/>
      <c r="M618" s="14"/>
      <c r="N618" s="39"/>
      <c r="O618" s="39"/>
      <c r="P618" s="39"/>
      <c r="Q618" s="39"/>
      <c r="R618" s="39"/>
      <c r="S618" s="39"/>
      <c r="T618" s="39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  <c r="AH618" s="14"/>
      <c r="AI618" s="14"/>
      <c r="AJ618" s="14"/>
      <c r="AK618" s="14"/>
      <c r="AL618" s="14"/>
      <c r="AM618" s="14"/>
      <c r="AN618" s="14"/>
      <c r="AO618" s="14"/>
      <c r="AP618" s="14"/>
    </row>
    <row r="619" spans="1:42" ht="13">
      <c r="A619" s="38"/>
      <c r="B619" s="14"/>
      <c r="C619" s="38"/>
      <c r="D619" s="38"/>
      <c r="E619" s="38"/>
      <c r="F619" s="38"/>
      <c r="G619" s="38"/>
      <c r="H619" s="14"/>
      <c r="I619" s="38"/>
      <c r="J619" s="38"/>
      <c r="K619" s="14"/>
      <c r="L619" s="14"/>
      <c r="M619" s="14"/>
      <c r="N619" s="39"/>
      <c r="O619" s="39"/>
      <c r="P619" s="39"/>
      <c r="Q619" s="39"/>
      <c r="R619" s="39"/>
      <c r="S619" s="39"/>
      <c r="T619" s="39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  <c r="AI619" s="14"/>
      <c r="AJ619" s="14"/>
      <c r="AK619" s="14"/>
      <c r="AL619" s="14"/>
      <c r="AM619" s="14"/>
      <c r="AN619" s="14"/>
      <c r="AO619" s="14"/>
      <c r="AP619" s="14"/>
    </row>
    <row r="620" spans="1:42" ht="13">
      <c r="A620" s="38"/>
      <c r="B620" s="14"/>
      <c r="C620" s="38"/>
      <c r="D620" s="38"/>
      <c r="E620" s="38"/>
      <c r="F620" s="38"/>
      <c r="G620" s="38"/>
      <c r="H620" s="14"/>
      <c r="I620" s="38"/>
      <c r="J620" s="38"/>
      <c r="K620" s="14"/>
      <c r="L620" s="14"/>
      <c r="M620" s="14"/>
      <c r="N620" s="39"/>
      <c r="O620" s="39"/>
      <c r="P620" s="39"/>
      <c r="Q620" s="39"/>
      <c r="R620" s="39"/>
      <c r="S620" s="39"/>
      <c r="T620" s="39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  <c r="AH620" s="14"/>
      <c r="AI620" s="14"/>
      <c r="AJ620" s="14"/>
      <c r="AK620" s="14"/>
      <c r="AL620" s="14"/>
      <c r="AM620" s="14"/>
      <c r="AN620" s="14"/>
      <c r="AO620" s="14"/>
      <c r="AP620" s="14"/>
    </row>
    <row r="621" spans="1:42" ht="13">
      <c r="A621" s="38"/>
      <c r="B621" s="14"/>
      <c r="C621" s="38"/>
      <c r="D621" s="38"/>
      <c r="E621" s="38"/>
      <c r="F621" s="38"/>
      <c r="G621" s="38"/>
      <c r="H621" s="14"/>
      <c r="I621" s="38"/>
      <c r="J621" s="38"/>
      <c r="K621" s="14"/>
      <c r="L621" s="14"/>
      <c r="M621" s="14"/>
      <c r="N621" s="39"/>
      <c r="O621" s="39"/>
      <c r="P621" s="39"/>
      <c r="Q621" s="39"/>
      <c r="R621" s="39"/>
      <c r="S621" s="39"/>
      <c r="T621" s="39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  <c r="AH621" s="14"/>
      <c r="AI621" s="14"/>
      <c r="AJ621" s="14"/>
      <c r="AK621" s="14"/>
      <c r="AL621" s="14"/>
      <c r="AM621" s="14"/>
      <c r="AN621" s="14"/>
      <c r="AO621" s="14"/>
      <c r="AP621" s="14"/>
    </row>
    <row r="622" spans="1:42" ht="13">
      <c r="A622" s="38"/>
      <c r="B622" s="14"/>
      <c r="C622" s="38"/>
      <c r="D622" s="38"/>
      <c r="E622" s="38"/>
      <c r="F622" s="38"/>
      <c r="G622" s="38"/>
      <c r="H622" s="14"/>
      <c r="I622" s="38"/>
      <c r="J622" s="38"/>
      <c r="K622" s="14"/>
      <c r="L622" s="14"/>
      <c r="M622" s="14"/>
      <c r="N622" s="39"/>
      <c r="O622" s="39"/>
      <c r="P622" s="39"/>
      <c r="Q622" s="39"/>
      <c r="R622" s="39"/>
      <c r="S622" s="39"/>
      <c r="T622" s="39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  <c r="AH622" s="14"/>
      <c r="AI622" s="14"/>
      <c r="AJ622" s="14"/>
      <c r="AK622" s="14"/>
      <c r="AL622" s="14"/>
      <c r="AM622" s="14"/>
      <c r="AN622" s="14"/>
      <c r="AO622" s="14"/>
      <c r="AP622" s="14"/>
    </row>
    <row r="623" spans="1:42" ht="13">
      <c r="A623" s="38"/>
      <c r="B623" s="14"/>
      <c r="C623" s="38"/>
      <c r="D623" s="38"/>
      <c r="E623" s="38"/>
      <c r="F623" s="38"/>
      <c r="G623" s="38"/>
      <c r="H623" s="14"/>
      <c r="I623" s="38"/>
      <c r="J623" s="38"/>
      <c r="K623" s="14"/>
      <c r="L623" s="14"/>
      <c r="M623" s="14"/>
      <c r="N623" s="39"/>
      <c r="O623" s="39"/>
      <c r="P623" s="39"/>
      <c r="Q623" s="39"/>
      <c r="R623" s="39"/>
      <c r="S623" s="39"/>
      <c r="T623" s="39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  <c r="AH623" s="14"/>
      <c r="AI623" s="14"/>
      <c r="AJ623" s="14"/>
      <c r="AK623" s="14"/>
      <c r="AL623" s="14"/>
      <c r="AM623" s="14"/>
      <c r="AN623" s="14"/>
      <c r="AO623" s="14"/>
      <c r="AP623" s="14"/>
    </row>
    <row r="624" spans="1:42" ht="13">
      <c r="A624" s="38"/>
      <c r="B624" s="14"/>
      <c r="C624" s="38"/>
      <c r="D624" s="38"/>
      <c r="E624" s="38"/>
      <c r="F624" s="38"/>
      <c r="G624" s="38"/>
      <c r="H624" s="14"/>
      <c r="I624" s="38"/>
      <c r="J624" s="38"/>
      <c r="K624" s="14"/>
      <c r="L624" s="14"/>
      <c r="M624" s="14"/>
      <c r="N624" s="39"/>
      <c r="O624" s="39"/>
      <c r="P624" s="39"/>
      <c r="Q624" s="39"/>
      <c r="R624" s="39"/>
      <c r="S624" s="39"/>
      <c r="T624" s="39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  <c r="AH624" s="14"/>
      <c r="AI624" s="14"/>
      <c r="AJ624" s="14"/>
      <c r="AK624" s="14"/>
      <c r="AL624" s="14"/>
      <c r="AM624" s="14"/>
      <c r="AN624" s="14"/>
      <c r="AO624" s="14"/>
      <c r="AP624" s="14"/>
    </row>
    <row r="625" spans="1:42" ht="13">
      <c r="A625" s="38"/>
      <c r="B625" s="14"/>
      <c r="C625" s="38"/>
      <c r="D625" s="38"/>
      <c r="E625" s="38"/>
      <c r="F625" s="38"/>
      <c r="G625" s="38"/>
      <c r="H625" s="14"/>
      <c r="I625" s="38"/>
      <c r="J625" s="38"/>
      <c r="K625" s="14"/>
      <c r="L625" s="14"/>
      <c r="M625" s="14"/>
      <c r="N625" s="39"/>
      <c r="O625" s="39"/>
      <c r="P625" s="39"/>
      <c r="Q625" s="39"/>
      <c r="R625" s="39"/>
      <c r="S625" s="39"/>
      <c r="T625" s="39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  <c r="AH625" s="14"/>
      <c r="AI625" s="14"/>
      <c r="AJ625" s="14"/>
      <c r="AK625" s="14"/>
      <c r="AL625" s="14"/>
      <c r="AM625" s="14"/>
      <c r="AN625" s="14"/>
      <c r="AO625" s="14"/>
      <c r="AP625" s="14"/>
    </row>
    <row r="626" spans="1:42" ht="13">
      <c r="A626" s="38"/>
      <c r="B626" s="14"/>
      <c r="C626" s="38"/>
      <c r="D626" s="38"/>
      <c r="E626" s="38"/>
      <c r="F626" s="38"/>
      <c r="G626" s="38"/>
      <c r="H626" s="14"/>
      <c r="I626" s="38"/>
      <c r="J626" s="38"/>
      <c r="K626" s="14"/>
      <c r="L626" s="14"/>
      <c r="M626" s="14"/>
      <c r="N626" s="39"/>
      <c r="O626" s="39"/>
      <c r="P626" s="39"/>
      <c r="Q626" s="39"/>
      <c r="R626" s="39"/>
      <c r="S626" s="39"/>
      <c r="T626" s="39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  <c r="AH626" s="14"/>
      <c r="AI626" s="14"/>
      <c r="AJ626" s="14"/>
      <c r="AK626" s="14"/>
      <c r="AL626" s="14"/>
      <c r="AM626" s="14"/>
      <c r="AN626" s="14"/>
      <c r="AO626" s="14"/>
      <c r="AP626" s="14"/>
    </row>
    <row r="627" spans="1:42" ht="13">
      <c r="A627" s="38"/>
      <c r="B627" s="14"/>
      <c r="C627" s="38"/>
      <c r="D627" s="38"/>
      <c r="E627" s="38"/>
      <c r="F627" s="38"/>
      <c r="G627" s="38"/>
      <c r="H627" s="14"/>
      <c r="I627" s="38"/>
      <c r="J627" s="38"/>
      <c r="K627" s="14"/>
      <c r="L627" s="14"/>
      <c r="M627" s="14"/>
      <c r="N627" s="39"/>
      <c r="O627" s="39"/>
      <c r="P627" s="39"/>
      <c r="Q627" s="39"/>
      <c r="R627" s="39"/>
      <c r="S627" s="39"/>
      <c r="T627" s="39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  <c r="AH627" s="14"/>
      <c r="AI627" s="14"/>
      <c r="AJ627" s="14"/>
      <c r="AK627" s="14"/>
      <c r="AL627" s="14"/>
      <c r="AM627" s="14"/>
      <c r="AN627" s="14"/>
      <c r="AO627" s="14"/>
      <c r="AP627" s="14"/>
    </row>
    <row r="628" spans="1:42" ht="13">
      <c r="A628" s="38"/>
      <c r="B628" s="14"/>
      <c r="C628" s="38"/>
      <c r="D628" s="38"/>
      <c r="E628" s="38"/>
      <c r="F628" s="38"/>
      <c r="G628" s="38"/>
      <c r="H628" s="14"/>
      <c r="I628" s="38"/>
      <c r="J628" s="38"/>
      <c r="K628" s="14"/>
      <c r="L628" s="14"/>
      <c r="M628" s="14"/>
      <c r="N628" s="39"/>
      <c r="O628" s="39"/>
      <c r="P628" s="39"/>
      <c r="Q628" s="39"/>
      <c r="R628" s="39"/>
      <c r="S628" s="39"/>
      <c r="T628" s="39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  <c r="AH628" s="14"/>
      <c r="AI628" s="14"/>
      <c r="AJ628" s="14"/>
      <c r="AK628" s="14"/>
      <c r="AL628" s="14"/>
      <c r="AM628" s="14"/>
      <c r="AN628" s="14"/>
      <c r="AO628" s="14"/>
      <c r="AP628" s="14"/>
    </row>
    <row r="629" spans="1:42" ht="13">
      <c r="A629" s="38"/>
      <c r="B629" s="14"/>
      <c r="C629" s="38"/>
      <c r="D629" s="38"/>
      <c r="E629" s="38"/>
      <c r="F629" s="38"/>
      <c r="G629" s="38"/>
      <c r="H629" s="14"/>
      <c r="I629" s="38"/>
      <c r="J629" s="38"/>
      <c r="K629" s="14"/>
      <c r="L629" s="14"/>
      <c r="M629" s="14"/>
      <c r="N629" s="39"/>
      <c r="O629" s="39"/>
      <c r="P629" s="39"/>
      <c r="Q629" s="39"/>
      <c r="R629" s="39"/>
      <c r="S629" s="39"/>
      <c r="T629" s="39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  <c r="AH629" s="14"/>
      <c r="AI629" s="14"/>
      <c r="AJ629" s="14"/>
      <c r="AK629" s="14"/>
      <c r="AL629" s="14"/>
      <c r="AM629" s="14"/>
      <c r="AN629" s="14"/>
      <c r="AO629" s="14"/>
      <c r="AP629" s="14"/>
    </row>
    <row r="630" spans="1:42" ht="13">
      <c r="A630" s="38"/>
      <c r="B630" s="14"/>
      <c r="C630" s="38"/>
      <c r="D630" s="38"/>
      <c r="E630" s="38"/>
      <c r="F630" s="38"/>
      <c r="G630" s="38"/>
      <c r="H630" s="14"/>
      <c r="I630" s="38"/>
      <c r="J630" s="38"/>
      <c r="K630" s="14"/>
      <c r="L630" s="14"/>
      <c r="M630" s="14"/>
      <c r="N630" s="39"/>
      <c r="O630" s="39"/>
      <c r="P630" s="39"/>
      <c r="Q630" s="39"/>
      <c r="R630" s="39"/>
      <c r="S630" s="39"/>
      <c r="T630" s="39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  <c r="AH630" s="14"/>
      <c r="AI630" s="14"/>
      <c r="AJ630" s="14"/>
      <c r="AK630" s="14"/>
      <c r="AL630" s="14"/>
      <c r="AM630" s="14"/>
      <c r="AN630" s="14"/>
      <c r="AO630" s="14"/>
      <c r="AP630" s="14"/>
    </row>
    <row r="631" spans="1:42" ht="13">
      <c r="A631" s="38"/>
      <c r="B631" s="14"/>
      <c r="C631" s="38"/>
      <c r="D631" s="38"/>
      <c r="E631" s="38"/>
      <c r="F631" s="38"/>
      <c r="G631" s="38"/>
      <c r="H631" s="14"/>
      <c r="I631" s="38"/>
      <c r="J631" s="38"/>
      <c r="K631" s="14"/>
      <c r="L631" s="14"/>
      <c r="M631" s="14"/>
      <c r="N631" s="39"/>
      <c r="O631" s="39"/>
      <c r="P631" s="39"/>
      <c r="Q631" s="39"/>
      <c r="R631" s="39"/>
      <c r="S631" s="39"/>
      <c r="T631" s="39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  <c r="AH631" s="14"/>
      <c r="AI631" s="14"/>
      <c r="AJ631" s="14"/>
      <c r="AK631" s="14"/>
      <c r="AL631" s="14"/>
      <c r="AM631" s="14"/>
      <c r="AN631" s="14"/>
      <c r="AO631" s="14"/>
      <c r="AP631" s="14"/>
    </row>
    <row r="632" spans="1:42" ht="13">
      <c r="A632" s="38"/>
      <c r="B632" s="14"/>
      <c r="C632" s="38"/>
      <c r="D632" s="38"/>
      <c r="E632" s="38"/>
      <c r="F632" s="38"/>
      <c r="G632" s="38"/>
      <c r="H632" s="14"/>
      <c r="I632" s="38"/>
      <c r="J632" s="38"/>
      <c r="K632" s="14"/>
      <c r="L632" s="14"/>
      <c r="M632" s="14"/>
      <c r="N632" s="39"/>
      <c r="O632" s="39"/>
      <c r="P632" s="39"/>
      <c r="Q632" s="39"/>
      <c r="R632" s="39"/>
      <c r="S632" s="39"/>
      <c r="T632" s="39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  <c r="AH632" s="14"/>
      <c r="AI632" s="14"/>
      <c r="AJ632" s="14"/>
      <c r="AK632" s="14"/>
      <c r="AL632" s="14"/>
      <c r="AM632" s="14"/>
      <c r="AN632" s="14"/>
      <c r="AO632" s="14"/>
      <c r="AP632" s="14"/>
    </row>
    <row r="633" spans="1:42" ht="13">
      <c r="A633" s="38"/>
      <c r="B633" s="14"/>
      <c r="C633" s="38"/>
      <c r="D633" s="38"/>
      <c r="E633" s="38"/>
      <c r="F633" s="38"/>
      <c r="G633" s="38"/>
      <c r="H633" s="14"/>
      <c r="I633" s="38"/>
      <c r="J633" s="38"/>
      <c r="K633" s="14"/>
      <c r="L633" s="14"/>
      <c r="M633" s="14"/>
      <c r="N633" s="39"/>
      <c r="O633" s="39"/>
      <c r="P633" s="39"/>
      <c r="Q633" s="39"/>
      <c r="R633" s="39"/>
      <c r="S633" s="39"/>
      <c r="T633" s="39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  <c r="AH633" s="14"/>
      <c r="AI633" s="14"/>
      <c r="AJ633" s="14"/>
      <c r="AK633" s="14"/>
      <c r="AL633" s="14"/>
      <c r="AM633" s="14"/>
      <c r="AN633" s="14"/>
      <c r="AO633" s="14"/>
      <c r="AP633" s="14"/>
    </row>
    <row r="634" spans="1:42" ht="13">
      <c r="A634" s="38"/>
      <c r="B634" s="14"/>
      <c r="C634" s="38"/>
      <c r="D634" s="38"/>
      <c r="E634" s="38"/>
      <c r="F634" s="38"/>
      <c r="G634" s="38"/>
      <c r="H634" s="14"/>
      <c r="I634" s="38"/>
      <c r="J634" s="38"/>
      <c r="K634" s="14"/>
      <c r="L634" s="14"/>
      <c r="M634" s="14"/>
      <c r="N634" s="39"/>
      <c r="O634" s="39"/>
      <c r="P634" s="39"/>
      <c r="Q634" s="39"/>
      <c r="R634" s="39"/>
      <c r="S634" s="39"/>
      <c r="T634" s="39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  <c r="AH634" s="14"/>
      <c r="AI634" s="14"/>
      <c r="AJ634" s="14"/>
      <c r="AK634" s="14"/>
      <c r="AL634" s="14"/>
      <c r="AM634" s="14"/>
      <c r="AN634" s="14"/>
      <c r="AO634" s="14"/>
      <c r="AP634" s="14"/>
    </row>
    <row r="635" spans="1:42" ht="13">
      <c r="A635" s="38"/>
      <c r="B635" s="14"/>
      <c r="C635" s="38"/>
      <c r="D635" s="38"/>
      <c r="E635" s="38"/>
      <c r="F635" s="38"/>
      <c r="G635" s="38"/>
      <c r="H635" s="14"/>
      <c r="I635" s="38"/>
      <c r="J635" s="38"/>
      <c r="K635" s="14"/>
      <c r="L635" s="14"/>
      <c r="M635" s="14"/>
      <c r="N635" s="39"/>
      <c r="O635" s="39"/>
      <c r="P635" s="39"/>
      <c r="Q635" s="39"/>
      <c r="R635" s="39"/>
      <c r="S635" s="39"/>
      <c r="T635" s="39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  <c r="AI635" s="14"/>
      <c r="AJ635" s="14"/>
      <c r="AK635" s="14"/>
      <c r="AL635" s="14"/>
      <c r="AM635" s="14"/>
      <c r="AN635" s="14"/>
      <c r="AO635" s="14"/>
      <c r="AP635" s="14"/>
    </row>
    <row r="636" spans="1:42" ht="13">
      <c r="A636" s="38"/>
      <c r="B636" s="14"/>
      <c r="C636" s="38"/>
      <c r="D636" s="38"/>
      <c r="E636" s="38"/>
      <c r="F636" s="38"/>
      <c r="G636" s="38"/>
      <c r="H636" s="14"/>
      <c r="I636" s="38"/>
      <c r="J636" s="38"/>
      <c r="K636" s="14"/>
      <c r="L636" s="14"/>
      <c r="M636" s="14"/>
      <c r="N636" s="39"/>
      <c r="O636" s="39"/>
      <c r="P636" s="39"/>
      <c r="Q636" s="39"/>
      <c r="R636" s="39"/>
      <c r="S636" s="39"/>
      <c r="T636" s="39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  <c r="AH636" s="14"/>
      <c r="AI636" s="14"/>
      <c r="AJ636" s="14"/>
      <c r="AK636" s="14"/>
      <c r="AL636" s="14"/>
      <c r="AM636" s="14"/>
      <c r="AN636" s="14"/>
      <c r="AO636" s="14"/>
      <c r="AP636" s="14"/>
    </row>
    <row r="637" spans="1:42" ht="13">
      <c r="A637" s="38"/>
      <c r="B637" s="14"/>
      <c r="C637" s="38"/>
      <c r="D637" s="38"/>
      <c r="E637" s="38"/>
      <c r="F637" s="38"/>
      <c r="G637" s="38"/>
      <c r="H637" s="14"/>
      <c r="I637" s="38"/>
      <c r="J637" s="38"/>
      <c r="K637" s="14"/>
      <c r="L637" s="14"/>
      <c r="M637" s="14"/>
      <c r="N637" s="39"/>
      <c r="O637" s="39"/>
      <c r="P637" s="39"/>
      <c r="Q637" s="39"/>
      <c r="R637" s="39"/>
      <c r="S637" s="39"/>
      <c r="T637" s="39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  <c r="AH637" s="14"/>
      <c r="AI637" s="14"/>
      <c r="AJ637" s="14"/>
      <c r="AK637" s="14"/>
      <c r="AL637" s="14"/>
      <c r="AM637" s="14"/>
      <c r="AN637" s="14"/>
      <c r="AO637" s="14"/>
      <c r="AP637" s="14"/>
    </row>
    <row r="638" spans="1:42" ht="13">
      <c r="A638" s="38"/>
      <c r="B638" s="14"/>
      <c r="C638" s="38"/>
      <c r="D638" s="38"/>
      <c r="E638" s="38"/>
      <c r="F638" s="38"/>
      <c r="G638" s="38"/>
      <c r="H638" s="14"/>
      <c r="I638" s="38"/>
      <c r="J638" s="38"/>
      <c r="K638" s="14"/>
      <c r="L638" s="14"/>
      <c r="M638" s="14"/>
      <c r="N638" s="39"/>
      <c r="O638" s="39"/>
      <c r="P638" s="39"/>
      <c r="Q638" s="39"/>
      <c r="R638" s="39"/>
      <c r="S638" s="39"/>
      <c r="T638" s="39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  <c r="AH638" s="14"/>
      <c r="AI638" s="14"/>
      <c r="AJ638" s="14"/>
      <c r="AK638" s="14"/>
      <c r="AL638" s="14"/>
      <c r="AM638" s="14"/>
      <c r="AN638" s="14"/>
      <c r="AO638" s="14"/>
      <c r="AP638" s="14"/>
    </row>
    <row r="639" spans="1:42" ht="13">
      <c r="A639" s="38"/>
      <c r="B639" s="14"/>
      <c r="C639" s="38"/>
      <c r="D639" s="38"/>
      <c r="E639" s="38"/>
      <c r="F639" s="38"/>
      <c r="G639" s="38"/>
      <c r="H639" s="14"/>
      <c r="I639" s="38"/>
      <c r="J639" s="38"/>
      <c r="K639" s="14"/>
      <c r="L639" s="14"/>
      <c r="M639" s="14"/>
      <c r="N639" s="39"/>
      <c r="O639" s="39"/>
      <c r="P639" s="39"/>
      <c r="Q639" s="39"/>
      <c r="R639" s="39"/>
      <c r="S639" s="39"/>
      <c r="T639" s="39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  <c r="AH639" s="14"/>
      <c r="AI639" s="14"/>
      <c r="AJ639" s="14"/>
      <c r="AK639" s="14"/>
      <c r="AL639" s="14"/>
      <c r="AM639" s="14"/>
      <c r="AN639" s="14"/>
      <c r="AO639" s="14"/>
      <c r="AP639" s="14"/>
    </row>
    <row r="640" spans="1:42" ht="13">
      <c r="A640" s="38"/>
      <c r="B640" s="14"/>
      <c r="C640" s="38"/>
      <c r="D640" s="38"/>
      <c r="E640" s="38"/>
      <c r="F640" s="38"/>
      <c r="G640" s="38"/>
      <c r="H640" s="14"/>
      <c r="I640" s="38"/>
      <c r="J640" s="38"/>
      <c r="K640" s="14"/>
      <c r="L640" s="14"/>
      <c r="M640" s="14"/>
      <c r="N640" s="39"/>
      <c r="O640" s="39"/>
      <c r="P640" s="39"/>
      <c r="Q640" s="39"/>
      <c r="R640" s="39"/>
      <c r="S640" s="39"/>
      <c r="T640" s="39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  <c r="AH640" s="14"/>
      <c r="AI640" s="14"/>
      <c r="AJ640" s="14"/>
      <c r="AK640" s="14"/>
      <c r="AL640" s="14"/>
      <c r="AM640" s="14"/>
      <c r="AN640" s="14"/>
      <c r="AO640" s="14"/>
      <c r="AP640" s="14"/>
    </row>
    <row r="641" spans="1:42" ht="13">
      <c r="A641" s="38"/>
      <c r="B641" s="14"/>
      <c r="C641" s="38"/>
      <c r="D641" s="38"/>
      <c r="E641" s="38"/>
      <c r="F641" s="38"/>
      <c r="G641" s="38"/>
      <c r="H641" s="14"/>
      <c r="I641" s="38"/>
      <c r="J641" s="38"/>
      <c r="K641" s="14"/>
      <c r="L641" s="14"/>
      <c r="M641" s="14"/>
      <c r="N641" s="39"/>
      <c r="O641" s="39"/>
      <c r="P641" s="39"/>
      <c r="Q641" s="39"/>
      <c r="R641" s="39"/>
      <c r="S641" s="39"/>
      <c r="T641" s="39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  <c r="AH641" s="14"/>
      <c r="AI641" s="14"/>
      <c r="AJ641" s="14"/>
      <c r="AK641" s="14"/>
      <c r="AL641" s="14"/>
      <c r="AM641" s="14"/>
      <c r="AN641" s="14"/>
      <c r="AO641" s="14"/>
      <c r="AP641" s="14"/>
    </row>
    <row r="642" spans="1:42" ht="13">
      <c r="A642" s="38"/>
      <c r="B642" s="14"/>
      <c r="C642" s="38"/>
      <c r="D642" s="38"/>
      <c r="E642" s="38"/>
      <c r="F642" s="38"/>
      <c r="G642" s="38"/>
      <c r="H642" s="14"/>
      <c r="I642" s="38"/>
      <c r="J642" s="38"/>
      <c r="K642" s="14"/>
      <c r="L642" s="14"/>
      <c r="M642" s="14"/>
      <c r="N642" s="39"/>
      <c r="O642" s="39"/>
      <c r="P642" s="39"/>
      <c r="Q642" s="39"/>
      <c r="R642" s="39"/>
      <c r="S642" s="39"/>
      <c r="T642" s="39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  <c r="AH642" s="14"/>
      <c r="AI642" s="14"/>
      <c r="AJ642" s="14"/>
      <c r="AK642" s="14"/>
      <c r="AL642" s="14"/>
      <c r="AM642" s="14"/>
      <c r="AN642" s="14"/>
      <c r="AO642" s="14"/>
      <c r="AP642" s="14"/>
    </row>
    <row r="643" spans="1:42" ht="13">
      <c r="A643" s="38"/>
      <c r="B643" s="14"/>
      <c r="C643" s="38"/>
      <c r="D643" s="38"/>
      <c r="E643" s="38"/>
      <c r="F643" s="38"/>
      <c r="G643" s="38"/>
      <c r="H643" s="14"/>
      <c r="I643" s="38"/>
      <c r="J643" s="38"/>
      <c r="K643" s="14"/>
      <c r="L643" s="14"/>
      <c r="M643" s="14"/>
      <c r="N643" s="39"/>
      <c r="O643" s="39"/>
      <c r="P643" s="39"/>
      <c r="Q643" s="39"/>
      <c r="R643" s="39"/>
      <c r="S643" s="39"/>
      <c r="T643" s="39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  <c r="AH643" s="14"/>
      <c r="AI643" s="14"/>
      <c r="AJ643" s="14"/>
      <c r="AK643" s="14"/>
      <c r="AL643" s="14"/>
      <c r="AM643" s="14"/>
      <c r="AN643" s="14"/>
      <c r="AO643" s="14"/>
      <c r="AP643" s="14"/>
    </row>
    <row r="644" spans="1:42" ht="13">
      <c r="A644" s="38"/>
      <c r="B644" s="14"/>
      <c r="C644" s="38"/>
      <c r="D644" s="38"/>
      <c r="E644" s="38"/>
      <c r="F644" s="38"/>
      <c r="G644" s="38"/>
      <c r="H644" s="14"/>
      <c r="I644" s="38"/>
      <c r="J644" s="38"/>
      <c r="K644" s="14"/>
      <c r="L644" s="14"/>
      <c r="M644" s="14"/>
      <c r="N644" s="39"/>
      <c r="O644" s="39"/>
      <c r="P644" s="39"/>
      <c r="Q644" s="39"/>
      <c r="R644" s="39"/>
      <c r="S644" s="39"/>
      <c r="T644" s="39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  <c r="AH644" s="14"/>
      <c r="AI644" s="14"/>
      <c r="AJ644" s="14"/>
      <c r="AK644" s="14"/>
      <c r="AL644" s="14"/>
      <c r="AM644" s="14"/>
      <c r="AN644" s="14"/>
      <c r="AO644" s="14"/>
      <c r="AP644" s="14"/>
    </row>
    <row r="645" spans="1:42" ht="13">
      <c r="A645" s="38"/>
      <c r="B645" s="14"/>
      <c r="C645" s="38"/>
      <c r="D645" s="38"/>
      <c r="E645" s="38"/>
      <c r="F645" s="38"/>
      <c r="G645" s="38"/>
      <c r="H645" s="14"/>
      <c r="I645" s="38"/>
      <c r="J645" s="38"/>
      <c r="K645" s="14"/>
      <c r="L645" s="14"/>
      <c r="M645" s="14"/>
      <c r="N645" s="39"/>
      <c r="O645" s="39"/>
      <c r="P645" s="39"/>
      <c r="Q645" s="39"/>
      <c r="R645" s="39"/>
      <c r="S645" s="39"/>
      <c r="T645" s="39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  <c r="AH645" s="14"/>
      <c r="AI645" s="14"/>
      <c r="AJ645" s="14"/>
      <c r="AK645" s="14"/>
      <c r="AL645" s="14"/>
      <c r="AM645" s="14"/>
      <c r="AN645" s="14"/>
      <c r="AO645" s="14"/>
      <c r="AP645" s="14"/>
    </row>
    <row r="646" spans="1:42" ht="13">
      <c r="A646" s="38"/>
      <c r="B646" s="14"/>
      <c r="C646" s="38"/>
      <c r="D646" s="38"/>
      <c r="E646" s="38"/>
      <c r="F646" s="38"/>
      <c r="G646" s="38"/>
      <c r="H646" s="14"/>
      <c r="I646" s="38"/>
      <c r="J646" s="38"/>
      <c r="K646" s="14"/>
      <c r="L646" s="14"/>
      <c r="M646" s="14"/>
      <c r="N646" s="39"/>
      <c r="O646" s="39"/>
      <c r="P646" s="39"/>
      <c r="Q646" s="39"/>
      <c r="R646" s="39"/>
      <c r="S646" s="39"/>
      <c r="T646" s="39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  <c r="AH646" s="14"/>
      <c r="AI646" s="14"/>
      <c r="AJ646" s="14"/>
      <c r="AK646" s="14"/>
      <c r="AL646" s="14"/>
      <c r="AM646" s="14"/>
      <c r="AN646" s="14"/>
      <c r="AO646" s="14"/>
      <c r="AP646" s="14"/>
    </row>
    <row r="647" spans="1:42" ht="13">
      <c r="A647" s="38"/>
      <c r="B647" s="14"/>
      <c r="C647" s="38"/>
      <c r="D647" s="38"/>
      <c r="E647" s="38"/>
      <c r="F647" s="38"/>
      <c r="G647" s="38"/>
      <c r="H647" s="14"/>
      <c r="I647" s="38"/>
      <c r="J647" s="38"/>
      <c r="K647" s="14"/>
      <c r="L647" s="14"/>
      <c r="M647" s="14"/>
      <c r="N647" s="39"/>
      <c r="O647" s="39"/>
      <c r="P647" s="39"/>
      <c r="Q647" s="39"/>
      <c r="R647" s="39"/>
      <c r="S647" s="39"/>
      <c r="T647" s="39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  <c r="AH647" s="14"/>
      <c r="AI647" s="14"/>
      <c r="AJ647" s="14"/>
      <c r="AK647" s="14"/>
      <c r="AL647" s="14"/>
      <c r="AM647" s="14"/>
      <c r="AN647" s="14"/>
      <c r="AO647" s="14"/>
      <c r="AP647" s="14"/>
    </row>
    <row r="648" spans="1:42" ht="13">
      <c r="A648" s="38"/>
      <c r="B648" s="14"/>
      <c r="C648" s="38"/>
      <c r="D648" s="38"/>
      <c r="E648" s="38"/>
      <c r="F648" s="38"/>
      <c r="G648" s="38"/>
      <c r="H648" s="14"/>
      <c r="I648" s="38"/>
      <c r="J648" s="38"/>
      <c r="K648" s="14"/>
      <c r="L648" s="14"/>
      <c r="M648" s="14"/>
      <c r="N648" s="39"/>
      <c r="O648" s="39"/>
      <c r="P648" s="39"/>
      <c r="Q648" s="39"/>
      <c r="R648" s="39"/>
      <c r="S648" s="39"/>
      <c r="T648" s="39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  <c r="AH648" s="14"/>
      <c r="AI648" s="14"/>
      <c r="AJ648" s="14"/>
      <c r="AK648" s="14"/>
      <c r="AL648" s="14"/>
      <c r="AM648" s="14"/>
      <c r="AN648" s="14"/>
      <c r="AO648" s="14"/>
      <c r="AP648" s="14"/>
    </row>
    <row r="649" spans="1:42" ht="13">
      <c r="A649" s="38"/>
      <c r="B649" s="14"/>
      <c r="C649" s="38"/>
      <c r="D649" s="38"/>
      <c r="E649" s="38"/>
      <c r="F649" s="38"/>
      <c r="G649" s="38"/>
      <c r="H649" s="14"/>
      <c r="I649" s="38"/>
      <c r="J649" s="38"/>
      <c r="K649" s="14"/>
      <c r="L649" s="14"/>
      <c r="M649" s="14"/>
      <c r="N649" s="39"/>
      <c r="O649" s="39"/>
      <c r="P649" s="39"/>
      <c r="Q649" s="39"/>
      <c r="R649" s="39"/>
      <c r="S649" s="39"/>
      <c r="T649" s="39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  <c r="AH649" s="14"/>
      <c r="AI649" s="14"/>
      <c r="AJ649" s="14"/>
      <c r="AK649" s="14"/>
      <c r="AL649" s="14"/>
      <c r="AM649" s="14"/>
      <c r="AN649" s="14"/>
      <c r="AO649" s="14"/>
      <c r="AP649" s="14"/>
    </row>
    <row r="650" spans="1:42" ht="13">
      <c r="A650" s="38"/>
      <c r="B650" s="14"/>
      <c r="C650" s="38"/>
      <c r="D650" s="38"/>
      <c r="E650" s="38"/>
      <c r="F650" s="38"/>
      <c r="G650" s="38"/>
      <c r="H650" s="14"/>
      <c r="I650" s="38"/>
      <c r="J650" s="38"/>
      <c r="K650" s="14"/>
      <c r="L650" s="14"/>
      <c r="M650" s="14"/>
      <c r="N650" s="39"/>
      <c r="O650" s="39"/>
      <c r="P650" s="39"/>
      <c r="Q650" s="39"/>
      <c r="R650" s="39"/>
      <c r="S650" s="39"/>
      <c r="T650" s="39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  <c r="AH650" s="14"/>
      <c r="AI650" s="14"/>
      <c r="AJ650" s="14"/>
      <c r="AK650" s="14"/>
      <c r="AL650" s="14"/>
      <c r="AM650" s="14"/>
      <c r="AN650" s="14"/>
      <c r="AO650" s="14"/>
      <c r="AP650" s="14"/>
    </row>
    <row r="651" spans="1:42" ht="13">
      <c r="A651" s="38"/>
      <c r="B651" s="14"/>
      <c r="C651" s="38"/>
      <c r="D651" s="38"/>
      <c r="E651" s="38"/>
      <c r="F651" s="38"/>
      <c r="G651" s="38"/>
      <c r="H651" s="14"/>
      <c r="I651" s="38"/>
      <c r="J651" s="38"/>
      <c r="K651" s="14"/>
      <c r="L651" s="14"/>
      <c r="M651" s="14"/>
      <c r="N651" s="39"/>
      <c r="O651" s="39"/>
      <c r="P651" s="39"/>
      <c r="Q651" s="39"/>
      <c r="R651" s="39"/>
      <c r="S651" s="39"/>
      <c r="T651" s="39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  <c r="AH651" s="14"/>
      <c r="AI651" s="14"/>
      <c r="AJ651" s="14"/>
      <c r="AK651" s="14"/>
      <c r="AL651" s="14"/>
      <c r="AM651" s="14"/>
      <c r="AN651" s="14"/>
      <c r="AO651" s="14"/>
      <c r="AP651" s="14"/>
    </row>
    <row r="652" spans="1:42" ht="13">
      <c r="A652" s="38"/>
      <c r="B652" s="14"/>
      <c r="C652" s="38"/>
      <c r="D652" s="38"/>
      <c r="E652" s="38"/>
      <c r="F652" s="38"/>
      <c r="G652" s="38"/>
      <c r="H652" s="14"/>
      <c r="I652" s="38"/>
      <c r="J652" s="38"/>
      <c r="K652" s="14"/>
      <c r="L652" s="14"/>
      <c r="M652" s="14"/>
      <c r="N652" s="39"/>
      <c r="O652" s="39"/>
      <c r="P652" s="39"/>
      <c r="Q652" s="39"/>
      <c r="R652" s="39"/>
      <c r="S652" s="39"/>
      <c r="T652" s="39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  <c r="AH652" s="14"/>
      <c r="AI652" s="14"/>
      <c r="AJ652" s="14"/>
      <c r="AK652" s="14"/>
      <c r="AL652" s="14"/>
      <c r="AM652" s="14"/>
      <c r="AN652" s="14"/>
      <c r="AO652" s="14"/>
      <c r="AP652" s="14"/>
    </row>
    <row r="653" spans="1:42" ht="13">
      <c r="A653" s="38"/>
      <c r="B653" s="14"/>
      <c r="C653" s="38"/>
      <c r="D653" s="38"/>
      <c r="E653" s="38"/>
      <c r="F653" s="38"/>
      <c r="G653" s="38"/>
      <c r="H653" s="14"/>
      <c r="I653" s="38"/>
      <c r="J653" s="38"/>
      <c r="K653" s="14"/>
      <c r="L653" s="14"/>
      <c r="M653" s="14"/>
      <c r="N653" s="39"/>
      <c r="O653" s="39"/>
      <c r="P653" s="39"/>
      <c r="Q653" s="39"/>
      <c r="R653" s="39"/>
      <c r="S653" s="39"/>
      <c r="T653" s="39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  <c r="AH653" s="14"/>
      <c r="AI653" s="14"/>
      <c r="AJ653" s="14"/>
      <c r="AK653" s="14"/>
      <c r="AL653" s="14"/>
      <c r="AM653" s="14"/>
      <c r="AN653" s="14"/>
      <c r="AO653" s="14"/>
      <c r="AP653" s="14"/>
    </row>
    <row r="654" spans="1:42" ht="13">
      <c r="A654" s="38"/>
      <c r="B654" s="14"/>
      <c r="C654" s="38"/>
      <c r="D654" s="38"/>
      <c r="E654" s="38"/>
      <c r="F654" s="38"/>
      <c r="G654" s="38"/>
      <c r="H654" s="14"/>
      <c r="I654" s="38"/>
      <c r="J654" s="38"/>
      <c r="K654" s="14"/>
      <c r="L654" s="14"/>
      <c r="M654" s="14"/>
      <c r="N654" s="39"/>
      <c r="O654" s="39"/>
      <c r="P654" s="39"/>
      <c r="Q654" s="39"/>
      <c r="R654" s="39"/>
      <c r="S654" s="39"/>
      <c r="T654" s="39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  <c r="AH654" s="14"/>
      <c r="AI654" s="14"/>
      <c r="AJ654" s="14"/>
      <c r="AK654" s="14"/>
      <c r="AL654" s="14"/>
      <c r="AM654" s="14"/>
      <c r="AN654" s="14"/>
      <c r="AO654" s="14"/>
      <c r="AP654" s="14"/>
    </row>
    <row r="655" spans="1:42" ht="13">
      <c r="A655" s="38"/>
      <c r="B655" s="14"/>
      <c r="C655" s="38"/>
      <c r="D655" s="38"/>
      <c r="E655" s="38"/>
      <c r="F655" s="38"/>
      <c r="G655" s="38"/>
      <c r="H655" s="14"/>
      <c r="I655" s="38"/>
      <c r="J655" s="38"/>
      <c r="K655" s="14"/>
      <c r="L655" s="14"/>
      <c r="M655" s="14"/>
      <c r="N655" s="39"/>
      <c r="O655" s="39"/>
      <c r="P655" s="39"/>
      <c r="Q655" s="39"/>
      <c r="R655" s="39"/>
      <c r="S655" s="39"/>
      <c r="T655" s="39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  <c r="AH655" s="14"/>
      <c r="AI655" s="14"/>
      <c r="AJ655" s="14"/>
      <c r="AK655" s="14"/>
      <c r="AL655" s="14"/>
      <c r="AM655" s="14"/>
      <c r="AN655" s="14"/>
      <c r="AO655" s="14"/>
      <c r="AP655" s="14"/>
    </row>
    <row r="656" spans="1:42" ht="13">
      <c r="A656" s="38"/>
      <c r="B656" s="14"/>
      <c r="C656" s="38"/>
      <c r="D656" s="38"/>
      <c r="E656" s="38"/>
      <c r="F656" s="38"/>
      <c r="G656" s="38"/>
      <c r="H656" s="14"/>
      <c r="I656" s="38"/>
      <c r="J656" s="38"/>
      <c r="K656" s="14"/>
      <c r="L656" s="14"/>
      <c r="M656" s="14"/>
      <c r="N656" s="39"/>
      <c r="O656" s="39"/>
      <c r="P656" s="39"/>
      <c r="Q656" s="39"/>
      <c r="R656" s="39"/>
      <c r="S656" s="39"/>
      <c r="T656" s="39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  <c r="AG656" s="14"/>
      <c r="AH656" s="14"/>
      <c r="AI656" s="14"/>
      <c r="AJ656" s="14"/>
      <c r="AK656" s="14"/>
      <c r="AL656" s="14"/>
      <c r="AM656" s="14"/>
      <c r="AN656" s="14"/>
      <c r="AO656" s="14"/>
      <c r="AP656" s="14"/>
    </row>
    <row r="657" spans="1:42" ht="13">
      <c r="A657" s="38"/>
      <c r="B657" s="14"/>
      <c r="C657" s="38"/>
      <c r="D657" s="38"/>
      <c r="E657" s="38"/>
      <c r="F657" s="38"/>
      <c r="G657" s="38"/>
      <c r="H657" s="14"/>
      <c r="I657" s="38"/>
      <c r="J657" s="38"/>
      <c r="K657" s="14"/>
      <c r="L657" s="14"/>
      <c r="M657" s="14"/>
      <c r="N657" s="39"/>
      <c r="O657" s="39"/>
      <c r="P657" s="39"/>
      <c r="Q657" s="39"/>
      <c r="R657" s="39"/>
      <c r="S657" s="39"/>
      <c r="T657" s="39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  <c r="AH657" s="14"/>
      <c r="AI657" s="14"/>
      <c r="AJ657" s="14"/>
      <c r="AK657" s="14"/>
      <c r="AL657" s="14"/>
      <c r="AM657" s="14"/>
      <c r="AN657" s="14"/>
      <c r="AO657" s="14"/>
      <c r="AP657" s="14"/>
    </row>
    <row r="658" spans="1:42" ht="13">
      <c r="A658" s="38"/>
      <c r="B658" s="14"/>
      <c r="C658" s="38"/>
      <c r="D658" s="38"/>
      <c r="E658" s="38"/>
      <c r="F658" s="38"/>
      <c r="G658" s="38"/>
      <c r="H658" s="14"/>
      <c r="I658" s="38"/>
      <c r="J658" s="38"/>
      <c r="K658" s="14"/>
      <c r="L658" s="14"/>
      <c r="M658" s="14"/>
      <c r="N658" s="39"/>
      <c r="O658" s="39"/>
      <c r="P658" s="39"/>
      <c r="Q658" s="39"/>
      <c r="R658" s="39"/>
      <c r="S658" s="39"/>
      <c r="T658" s="39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  <c r="AG658" s="14"/>
      <c r="AH658" s="14"/>
      <c r="AI658" s="14"/>
      <c r="AJ658" s="14"/>
      <c r="AK658" s="14"/>
      <c r="AL658" s="14"/>
      <c r="AM658" s="14"/>
      <c r="AN658" s="14"/>
      <c r="AO658" s="14"/>
      <c r="AP658" s="14"/>
    </row>
    <row r="659" spans="1:42" ht="13">
      <c r="A659" s="38"/>
      <c r="B659" s="14"/>
      <c r="C659" s="38"/>
      <c r="D659" s="38"/>
      <c r="E659" s="38"/>
      <c r="F659" s="38"/>
      <c r="G659" s="38"/>
      <c r="H659" s="14"/>
      <c r="I659" s="38"/>
      <c r="J659" s="38"/>
      <c r="K659" s="14"/>
      <c r="L659" s="14"/>
      <c r="M659" s="14"/>
      <c r="N659" s="39"/>
      <c r="O659" s="39"/>
      <c r="P659" s="39"/>
      <c r="Q659" s="39"/>
      <c r="R659" s="39"/>
      <c r="S659" s="39"/>
      <c r="T659" s="39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  <c r="AH659" s="14"/>
      <c r="AI659" s="14"/>
      <c r="AJ659" s="14"/>
      <c r="AK659" s="14"/>
      <c r="AL659" s="14"/>
      <c r="AM659" s="14"/>
      <c r="AN659" s="14"/>
      <c r="AO659" s="14"/>
      <c r="AP659" s="14"/>
    </row>
    <row r="660" spans="1:42" ht="13">
      <c r="A660" s="38"/>
      <c r="B660" s="14"/>
      <c r="C660" s="38"/>
      <c r="D660" s="38"/>
      <c r="E660" s="38"/>
      <c r="F660" s="38"/>
      <c r="G660" s="38"/>
      <c r="H660" s="14"/>
      <c r="I660" s="38"/>
      <c r="J660" s="38"/>
      <c r="K660" s="14"/>
      <c r="L660" s="14"/>
      <c r="M660" s="14"/>
      <c r="N660" s="39"/>
      <c r="O660" s="39"/>
      <c r="P660" s="39"/>
      <c r="Q660" s="39"/>
      <c r="R660" s="39"/>
      <c r="S660" s="39"/>
      <c r="T660" s="39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  <c r="AG660" s="14"/>
      <c r="AH660" s="14"/>
      <c r="AI660" s="14"/>
      <c r="AJ660" s="14"/>
      <c r="AK660" s="14"/>
      <c r="AL660" s="14"/>
      <c r="AM660" s="14"/>
      <c r="AN660" s="14"/>
      <c r="AO660" s="14"/>
      <c r="AP660" s="14"/>
    </row>
    <row r="661" spans="1:42" ht="13">
      <c r="A661" s="38"/>
      <c r="B661" s="14"/>
      <c r="C661" s="38"/>
      <c r="D661" s="38"/>
      <c r="E661" s="38"/>
      <c r="F661" s="38"/>
      <c r="G661" s="38"/>
      <c r="H661" s="14"/>
      <c r="I661" s="38"/>
      <c r="J661" s="38"/>
      <c r="K661" s="14"/>
      <c r="L661" s="14"/>
      <c r="M661" s="14"/>
      <c r="N661" s="39"/>
      <c r="O661" s="39"/>
      <c r="P661" s="39"/>
      <c r="Q661" s="39"/>
      <c r="R661" s="39"/>
      <c r="S661" s="39"/>
      <c r="T661" s="39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  <c r="AH661" s="14"/>
      <c r="AI661" s="14"/>
      <c r="AJ661" s="14"/>
      <c r="AK661" s="14"/>
      <c r="AL661" s="14"/>
      <c r="AM661" s="14"/>
      <c r="AN661" s="14"/>
      <c r="AO661" s="14"/>
      <c r="AP661" s="14"/>
    </row>
    <row r="662" spans="1:42" ht="13">
      <c r="A662" s="38"/>
      <c r="B662" s="14"/>
      <c r="C662" s="38"/>
      <c r="D662" s="38"/>
      <c r="E662" s="38"/>
      <c r="F662" s="38"/>
      <c r="G662" s="38"/>
      <c r="H662" s="14"/>
      <c r="I662" s="38"/>
      <c r="J662" s="38"/>
      <c r="K662" s="14"/>
      <c r="L662" s="14"/>
      <c r="M662" s="14"/>
      <c r="N662" s="39"/>
      <c r="O662" s="39"/>
      <c r="P662" s="39"/>
      <c r="Q662" s="39"/>
      <c r="R662" s="39"/>
      <c r="S662" s="39"/>
      <c r="T662" s="39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  <c r="AH662" s="14"/>
      <c r="AI662" s="14"/>
      <c r="AJ662" s="14"/>
      <c r="AK662" s="14"/>
      <c r="AL662" s="14"/>
      <c r="AM662" s="14"/>
      <c r="AN662" s="14"/>
      <c r="AO662" s="14"/>
      <c r="AP662" s="14"/>
    </row>
    <row r="663" spans="1:42" ht="13">
      <c r="A663" s="38"/>
      <c r="B663" s="14"/>
      <c r="C663" s="38"/>
      <c r="D663" s="38"/>
      <c r="E663" s="38"/>
      <c r="F663" s="38"/>
      <c r="G663" s="38"/>
      <c r="H663" s="14"/>
      <c r="I663" s="38"/>
      <c r="J663" s="38"/>
      <c r="K663" s="14"/>
      <c r="L663" s="14"/>
      <c r="M663" s="14"/>
      <c r="N663" s="39"/>
      <c r="O663" s="39"/>
      <c r="P663" s="39"/>
      <c r="Q663" s="39"/>
      <c r="R663" s="39"/>
      <c r="S663" s="39"/>
      <c r="T663" s="39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  <c r="AF663" s="14"/>
      <c r="AG663" s="14"/>
      <c r="AH663" s="14"/>
      <c r="AI663" s="14"/>
      <c r="AJ663" s="14"/>
      <c r="AK663" s="14"/>
      <c r="AL663" s="14"/>
      <c r="AM663" s="14"/>
      <c r="AN663" s="14"/>
      <c r="AO663" s="14"/>
      <c r="AP663" s="14"/>
    </row>
    <row r="664" spans="1:42" ht="13">
      <c r="A664" s="38"/>
      <c r="B664" s="14"/>
      <c r="C664" s="38"/>
      <c r="D664" s="38"/>
      <c r="E664" s="38"/>
      <c r="F664" s="38"/>
      <c r="G664" s="38"/>
      <c r="H664" s="14"/>
      <c r="I664" s="38"/>
      <c r="J664" s="38"/>
      <c r="K664" s="14"/>
      <c r="L664" s="14"/>
      <c r="M664" s="14"/>
      <c r="N664" s="39"/>
      <c r="O664" s="39"/>
      <c r="P664" s="39"/>
      <c r="Q664" s="39"/>
      <c r="R664" s="39"/>
      <c r="S664" s="39"/>
      <c r="T664" s="39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  <c r="AF664" s="14"/>
      <c r="AG664" s="14"/>
      <c r="AH664" s="14"/>
      <c r="AI664" s="14"/>
      <c r="AJ664" s="14"/>
      <c r="AK664" s="14"/>
      <c r="AL664" s="14"/>
      <c r="AM664" s="14"/>
      <c r="AN664" s="14"/>
      <c r="AO664" s="14"/>
      <c r="AP664" s="14"/>
    </row>
    <row r="665" spans="1:42" ht="13">
      <c r="A665" s="38"/>
      <c r="B665" s="14"/>
      <c r="C665" s="38"/>
      <c r="D665" s="38"/>
      <c r="E665" s="38"/>
      <c r="F665" s="38"/>
      <c r="G665" s="38"/>
      <c r="H665" s="14"/>
      <c r="I665" s="38"/>
      <c r="J665" s="38"/>
      <c r="K665" s="14"/>
      <c r="L665" s="14"/>
      <c r="M665" s="14"/>
      <c r="N665" s="39"/>
      <c r="O665" s="39"/>
      <c r="P665" s="39"/>
      <c r="Q665" s="39"/>
      <c r="R665" s="39"/>
      <c r="S665" s="39"/>
      <c r="T665" s="39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  <c r="AH665" s="14"/>
      <c r="AI665" s="14"/>
      <c r="AJ665" s="14"/>
      <c r="AK665" s="14"/>
      <c r="AL665" s="14"/>
      <c r="AM665" s="14"/>
      <c r="AN665" s="14"/>
      <c r="AO665" s="14"/>
      <c r="AP665" s="14"/>
    </row>
    <row r="666" spans="1:42" ht="13">
      <c r="A666" s="38"/>
      <c r="B666" s="14"/>
      <c r="C666" s="38"/>
      <c r="D666" s="38"/>
      <c r="E666" s="38"/>
      <c r="F666" s="38"/>
      <c r="G666" s="38"/>
      <c r="H666" s="14"/>
      <c r="I666" s="38"/>
      <c r="J666" s="38"/>
      <c r="K666" s="14"/>
      <c r="L666" s="14"/>
      <c r="M666" s="14"/>
      <c r="N666" s="39"/>
      <c r="O666" s="39"/>
      <c r="P666" s="39"/>
      <c r="Q666" s="39"/>
      <c r="R666" s="39"/>
      <c r="S666" s="39"/>
      <c r="T666" s="39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  <c r="AH666" s="14"/>
      <c r="AI666" s="14"/>
      <c r="AJ666" s="14"/>
      <c r="AK666" s="14"/>
      <c r="AL666" s="14"/>
      <c r="AM666" s="14"/>
      <c r="AN666" s="14"/>
      <c r="AO666" s="14"/>
      <c r="AP666" s="14"/>
    </row>
    <row r="667" spans="1:42" ht="13">
      <c r="A667" s="38"/>
      <c r="B667" s="14"/>
      <c r="C667" s="38"/>
      <c r="D667" s="38"/>
      <c r="E667" s="38"/>
      <c r="F667" s="38"/>
      <c r="G667" s="38"/>
      <c r="H667" s="14"/>
      <c r="I667" s="38"/>
      <c r="J667" s="38"/>
      <c r="K667" s="14"/>
      <c r="L667" s="14"/>
      <c r="M667" s="14"/>
      <c r="N667" s="39"/>
      <c r="O667" s="39"/>
      <c r="P667" s="39"/>
      <c r="Q667" s="39"/>
      <c r="R667" s="39"/>
      <c r="S667" s="39"/>
      <c r="T667" s="39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  <c r="AH667" s="14"/>
      <c r="AI667" s="14"/>
      <c r="AJ667" s="14"/>
      <c r="AK667" s="14"/>
      <c r="AL667" s="14"/>
      <c r="AM667" s="14"/>
      <c r="AN667" s="14"/>
      <c r="AO667" s="14"/>
      <c r="AP667" s="14"/>
    </row>
    <row r="668" spans="1:42" ht="13">
      <c r="A668" s="38"/>
      <c r="B668" s="14"/>
      <c r="C668" s="38"/>
      <c r="D668" s="38"/>
      <c r="E668" s="38"/>
      <c r="F668" s="38"/>
      <c r="G668" s="38"/>
      <c r="H668" s="14"/>
      <c r="I668" s="38"/>
      <c r="J668" s="38"/>
      <c r="K668" s="14"/>
      <c r="L668" s="14"/>
      <c r="M668" s="14"/>
      <c r="N668" s="39"/>
      <c r="O668" s="39"/>
      <c r="P668" s="39"/>
      <c r="Q668" s="39"/>
      <c r="R668" s="39"/>
      <c r="S668" s="39"/>
      <c r="T668" s="39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  <c r="AH668" s="14"/>
      <c r="AI668" s="14"/>
      <c r="AJ668" s="14"/>
      <c r="AK668" s="14"/>
      <c r="AL668" s="14"/>
      <c r="AM668" s="14"/>
      <c r="AN668" s="14"/>
      <c r="AO668" s="14"/>
      <c r="AP668" s="14"/>
    </row>
    <row r="669" spans="1:42" ht="13">
      <c r="A669" s="38"/>
      <c r="B669" s="14"/>
      <c r="C669" s="38"/>
      <c r="D669" s="38"/>
      <c r="E669" s="38"/>
      <c r="F669" s="38"/>
      <c r="G669" s="38"/>
      <c r="H669" s="14"/>
      <c r="I669" s="38"/>
      <c r="J669" s="38"/>
      <c r="K669" s="14"/>
      <c r="L669" s="14"/>
      <c r="M669" s="14"/>
      <c r="N669" s="39"/>
      <c r="O669" s="39"/>
      <c r="P669" s="39"/>
      <c r="Q669" s="39"/>
      <c r="R669" s="39"/>
      <c r="S669" s="39"/>
      <c r="T669" s="39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  <c r="AH669" s="14"/>
      <c r="AI669" s="14"/>
      <c r="AJ669" s="14"/>
      <c r="AK669" s="14"/>
      <c r="AL669" s="14"/>
      <c r="AM669" s="14"/>
      <c r="AN669" s="14"/>
      <c r="AO669" s="14"/>
      <c r="AP669" s="14"/>
    </row>
    <row r="670" spans="1:42" ht="13">
      <c r="A670" s="38"/>
      <c r="B670" s="14"/>
      <c r="C670" s="38"/>
      <c r="D670" s="38"/>
      <c r="E670" s="38"/>
      <c r="F670" s="38"/>
      <c r="G670" s="38"/>
      <c r="H670" s="14"/>
      <c r="I670" s="38"/>
      <c r="J670" s="38"/>
      <c r="K670" s="14"/>
      <c r="L670" s="14"/>
      <c r="M670" s="14"/>
      <c r="N670" s="39"/>
      <c r="O670" s="39"/>
      <c r="P670" s="39"/>
      <c r="Q670" s="39"/>
      <c r="R670" s="39"/>
      <c r="S670" s="39"/>
      <c r="T670" s="39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  <c r="AF670" s="14"/>
      <c r="AG670" s="14"/>
      <c r="AH670" s="14"/>
      <c r="AI670" s="14"/>
      <c r="AJ670" s="14"/>
      <c r="AK670" s="14"/>
      <c r="AL670" s="14"/>
      <c r="AM670" s="14"/>
      <c r="AN670" s="14"/>
      <c r="AO670" s="14"/>
      <c r="AP670" s="14"/>
    </row>
    <row r="671" spans="1:42" ht="13">
      <c r="A671" s="38"/>
      <c r="B671" s="14"/>
      <c r="C671" s="38"/>
      <c r="D671" s="38"/>
      <c r="E671" s="38"/>
      <c r="F671" s="38"/>
      <c r="G671" s="38"/>
      <c r="H671" s="14"/>
      <c r="I671" s="38"/>
      <c r="J671" s="38"/>
      <c r="K671" s="14"/>
      <c r="L671" s="14"/>
      <c r="M671" s="14"/>
      <c r="N671" s="39"/>
      <c r="O671" s="39"/>
      <c r="P671" s="39"/>
      <c r="Q671" s="39"/>
      <c r="R671" s="39"/>
      <c r="S671" s="39"/>
      <c r="T671" s="39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  <c r="AH671" s="14"/>
      <c r="AI671" s="14"/>
      <c r="AJ671" s="14"/>
      <c r="AK671" s="14"/>
      <c r="AL671" s="14"/>
      <c r="AM671" s="14"/>
      <c r="AN671" s="14"/>
      <c r="AO671" s="14"/>
      <c r="AP671" s="14"/>
    </row>
    <row r="672" spans="1:42" ht="13">
      <c r="A672" s="38"/>
      <c r="B672" s="14"/>
      <c r="C672" s="38"/>
      <c r="D672" s="38"/>
      <c r="E672" s="38"/>
      <c r="F672" s="38"/>
      <c r="G672" s="38"/>
      <c r="H672" s="14"/>
      <c r="I672" s="38"/>
      <c r="J672" s="38"/>
      <c r="K672" s="14"/>
      <c r="L672" s="14"/>
      <c r="M672" s="14"/>
      <c r="N672" s="39"/>
      <c r="O672" s="39"/>
      <c r="P672" s="39"/>
      <c r="Q672" s="39"/>
      <c r="R672" s="39"/>
      <c r="S672" s="39"/>
      <c r="T672" s="39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  <c r="AF672" s="14"/>
      <c r="AG672" s="14"/>
      <c r="AH672" s="14"/>
      <c r="AI672" s="14"/>
      <c r="AJ672" s="14"/>
      <c r="AK672" s="14"/>
      <c r="AL672" s="14"/>
      <c r="AM672" s="14"/>
      <c r="AN672" s="14"/>
      <c r="AO672" s="14"/>
      <c r="AP672" s="14"/>
    </row>
    <row r="673" spans="1:42" ht="13">
      <c r="A673" s="38"/>
      <c r="B673" s="14"/>
      <c r="C673" s="38"/>
      <c r="D673" s="38"/>
      <c r="E673" s="38"/>
      <c r="F673" s="38"/>
      <c r="G673" s="38"/>
      <c r="H673" s="14"/>
      <c r="I673" s="38"/>
      <c r="J673" s="38"/>
      <c r="K673" s="14"/>
      <c r="L673" s="14"/>
      <c r="M673" s="14"/>
      <c r="N673" s="39"/>
      <c r="O673" s="39"/>
      <c r="P673" s="39"/>
      <c r="Q673" s="39"/>
      <c r="R673" s="39"/>
      <c r="S673" s="39"/>
      <c r="T673" s="39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  <c r="AH673" s="14"/>
      <c r="AI673" s="14"/>
      <c r="AJ673" s="14"/>
      <c r="AK673" s="14"/>
      <c r="AL673" s="14"/>
      <c r="AM673" s="14"/>
      <c r="AN673" s="14"/>
      <c r="AO673" s="14"/>
      <c r="AP673" s="14"/>
    </row>
    <row r="674" spans="1:42" ht="13">
      <c r="A674" s="38"/>
      <c r="B674" s="14"/>
      <c r="C674" s="38"/>
      <c r="D674" s="38"/>
      <c r="E674" s="38"/>
      <c r="F674" s="38"/>
      <c r="G674" s="38"/>
      <c r="H674" s="14"/>
      <c r="I674" s="38"/>
      <c r="J674" s="38"/>
      <c r="K674" s="14"/>
      <c r="L674" s="14"/>
      <c r="M674" s="14"/>
      <c r="N674" s="39"/>
      <c r="O674" s="39"/>
      <c r="P674" s="39"/>
      <c r="Q674" s="39"/>
      <c r="R674" s="39"/>
      <c r="S674" s="39"/>
      <c r="T674" s="39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  <c r="AF674" s="14"/>
      <c r="AG674" s="14"/>
      <c r="AH674" s="14"/>
      <c r="AI674" s="14"/>
      <c r="AJ674" s="14"/>
      <c r="AK674" s="14"/>
      <c r="AL674" s="14"/>
      <c r="AM674" s="14"/>
      <c r="AN674" s="14"/>
      <c r="AO674" s="14"/>
      <c r="AP674" s="14"/>
    </row>
    <row r="675" spans="1:42" ht="13">
      <c r="A675" s="38"/>
      <c r="B675" s="14"/>
      <c r="C675" s="38"/>
      <c r="D675" s="38"/>
      <c r="E675" s="38"/>
      <c r="F675" s="38"/>
      <c r="G675" s="38"/>
      <c r="H675" s="14"/>
      <c r="I675" s="38"/>
      <c r="J675" s="38"/>
      <c r="K675" s="14"/>
      <c r="L675" s="14"/>
      <c r="M675" s="14"/>
      <c r="N675" s="39"/>
      <c r="O675" s="39"/>
      <c r="P675" s="39"/>
      <c r="Q675" s="39"/>
      <c r="R675" s="39"/>
      <c r="S675" s="39"/>
      <c r="T675" s="39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  <c r="AH675" s="14"/>
      <c r="AI675" s="14"/>
      <c r="AJ675" s="14"/>
      <c r="AK675" s="14"/>
      <c r="AL675" s="14"/>
      <c r="AM675" s="14"/>
      <c r="AN675" s="14"/>
      <c r="AO675" s="14"/>
      <c r="AP675" s="14"/>
    </row>
    <row r="676" spans="1:42" ht="13">
      <c r="A676" s="38"/>
      <c r="B676" s="14"/>
      <c r="C676" s="38"/>
      <c r="D676" s="38"/>
      <c r="E676" s="38"/>
      <c r="F676" s="38"/>
      <c r="G676" s="38"/>
      <c r="H676" s="14"/>
      <c r="I676" s="38"/>
      <c r="J676" s="38"/>
      <c r="K676" s="14"/>
      <c r="L676" s="14"/>
      <c r="M676" s="14"/>
      <c r="N676" s="39"/>
      <c r="O676" s="39"/>
      <c r="P676" s="39"/>
      <c r="Q676" s="39"/>
      <c r="R676" s="39"/>
      <c r="S676" s="39"/>
      <c r="T676" s="39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  <c r="AF676" s="14"/>
      <c r="AG676" s="14"/>
      <c r="AH676" s="14"/>
      <c r="AI676" s="14"/>
      <c r="AJ676" s="14"/>
      <c r="AK676" s="14"/>
      <c r="AL676" s="14"/>
      <c r="AM676" s="14"/>
      <c r="AN676" s="14"/>
      <c r="AO676" s="14"/>
      <c r="AP676" s="14"/>
    </row>
    <row r="677" spans="1:42" ht="13">
      <c r="A677" s="38"/>
      <c r="B677" s="14"/>
      <c r="C677" s="38"/>
      <c r="D677" s="38"/>
      <c r="E677" s="38"/>
      <c r="F677" s="38"/>
      <c r="G677" s="38"/>
      <c r="H677" s="14"/>
      <c r="I677" s="38"/>
      <c r="J677" s="38"/>
      <c r="K677" s="14"/>
      <c r="L677" s="14"/>
      <c r="M677" s="14"/>
      <c r="N677" s="39"/>
      <c r="O677" s="39"/>
      <c r="P677" s="39"/>
      <c r="Q677" s="39"/>
      <c r="R677" s="39"/>
      <c r="S677" s="39"/>
      <c r="T677" s="39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  <c r="AH677" s="14"/>
      <c r="AI677" s="14"/>
      <c r="AJ677" s="14"/>
      <c r="AK677" s="14"/>
      <c r="AL677" s="14"/>
      <c r="AM677" s="14"/>
      <c r="AN677" s="14"/>
      <c r="AO677" s="14"/>
      <c r="AP677" s="14"/>
    </row>
    <row r="678" spans="1:42" ht="13">
      <c r="A678" s="38"/>
      <c r="B678" s="14"/>
      <c r="C678" s="38"/>
      <c r="D678" s="38"/>
      <c r="E678" s="38"/>
      <c r="F678" s="38"/>
      <c r="G678" s="38"/>
      <c r="H678" s="14"/>
      <c r="I678" s="38"/>
      <c r="J678" s="38"/>
      <c r="K678" s="14"/>
      <c r="L678" s="14"/>
      <c r="M678" s="14"/>
      <c r="N678" s="39"/>
      <c r="O678" s="39"/>
      <c r="P678" s="39"/>
      <c r="Q678" s="39"/>
      <c r="R678" s="39"/>
      <c r="S678" s="39"/>
      <c r="T678" s="39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  <c r="AF678" s="14"/>
      <c r="AG678" s="14"/>
      <c r="AH678" s="14"/>
      <c r="AI678" s="14"/>
      <c r="AJ678" s="14"/>
      <c r="AK678" s="14"/>
      <c r="AL678" s="14"/>
      <c r="AM678" s="14"/>
      <c r="AN678" s="14"/>
      <c r="AO678" s="14"/>
      <c r="AP678" s="14"/>
    </row>
    <row r="679" spans="1:42" ht="13">
      <c r="A679" s="38"/>
      <c r="B679" s="14"/>
      <c r="C679" s="38"/>
      <c r="D679" s="38"/>
      <c r="E679" s="38"/>
      <c r="F679" s="38"/>
      <c r="G679" s="38"/>
      <c r="H679" s="14"/>
      <c r="I679" s="38"/>
      <c r="J679" s="38"/>
      <c r="K679" s="14"/>
      <c r="L679" s="14"/>
      <c r="M679" s="14"/>
      <c r="N679" s="39"/>
      <c r="O679" s="39"/>
      <c r="P679" s="39"/>
      <c r="Q679" s="39"/>
      <c r="R679" s="39"/>
      <c r="S679" s="39"/>
      <c r="T679" s="39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  <c r="AH679" s="14"/>
      <c r="AI679" s="14"/>
      <c r="AJ679" s="14"/>
      <c r="AK679" s="14"/>
      <c r="AL679" s="14"/>
      <c r="AM679" s="14"/>
      <c r="AN679" s="14"/>
      <c r="AO679" s="14"/>
      <c r="AP679" s="14"/>
    </row>
    <row r="680" spans="1:42" ht="13">
      <c r="A680" s="38"/>
      <c r="B680" s="14"/>
      <c r="C680" s="38"/>
      <c r="D680" s="38"/>
      <c r="E680" s="38"/>
      <c r="F680" s="38"/>
      <c r="G680" s="38"/>
      <c r="H680" s="14"/>
      <c r="I680" s="38"/>
      <c r="J680" s="38"/>
      <c r="K680" s="14"/>
      <c r="L680" s="14"/>
      <c r="M680" s="14"/>
      <c r="N680" s="39"/>
      <c r="O680" s="39"/>
      <c r="P680" s="39"/>
      <c r="Q680" s="39"/>
      <c r="R680" s="39"/>
      <c r="S680" s="39"/>
      <c r="T680" s="39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  <c r="AH680" s="14"/>
      <c r="AI680" s="14"/>
      <c r="AJ680" s="14"/>
      <c r="AK680" s="14"/>
      <c r="AL680" s="14"/>
      <c r="AM680" s="14"/>
      <c r="AN680" s="14"/>
      <c r="AO680" s="14"/>
      <c r="AP680" s="14"/>
    </row>
    <row r="681" spans="1:42" ht="13">
      <c r="A681" s="38"/>
      <c r="B681" s="14"/>
      <c r="C681" s="38"/>
      <c r="D681" s="38"/>
      <c r="E681" s="38"/>
      <c r="F681" s="38"/>
      <c r="G681" s="38"/>
      <c r="H681" s="14"/>
      <c r="I681" s="38"/>
      <c r="J681" s="38"/>
      <c r="K681" s="14"/>
      <c r="L681" s="14"/>
      <c r="M681" s="14"/>
      <c r="N681" s="39"/>
      <c r="O681" s="39"/>
      <c r="P681" s="39"/>
      <c r="Q681" s="39"/>
      <c r="R681" s="39"/>
      <c r="S681" s="39"/>
      <c r="T681" s="39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  <c r="AH681" s="14"/>
      <c r="AI681" s="14"/>
      <c r="AJ681" s="14"/>
      <c r="AK681" s="14"/>
      <c r="AL681" s="14"/>
      <c r="AM681" s="14"/>
      <c r="AN681" s="14"/>
      <c r="AO681" s="14"/>
      <c r="AP681" s="14"/>
    </row>
    <row r="682" spans="1:42" ht="13">
      <c r="A682" s="38"/>
      <c r="B682" s="14"/>
      <c r="C682" s="38"/>
      <c r="D682" s="38"/>
      <c r="E682" s="38"/>
      <c r="F682" s="38"/>
      <c r="G682" s="38"/>
      <c r="H682" s="14"/>
      <c r="I682" s="38"/>
      <c r="J682" s="38"/>
      <c r="K682" s="14"/>
      <c r="L682" s="14"/>
      <c r="M682" s="14"/>
      <c r="N682" s="39"/>
      <c r="O682" s="39"/>
      <c r="P682" s="39"/>
      <c r="Q682" s="39"/>
      <c r="R682" s="39"/>
      <c r="S682" s="39"/>
      <c r="T682" s="39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  <c r="AE682" s="14"/>
      <c r="AF682" s="14"/>
      <c r="AG682" s="14"/>
      <c r="AH682" s="14"/>
      <c r="AI682" s="14"/>
      <c r="AJ682" s="14"/>
      <c r="AK682" s="14"/>
      <c r="AL682" s="14"/>
      <c r="AM682" s="14"/>
      <c r="AN682" s="14"/>
      <c r="AO682" s="14"/>
      <c r="AP682" s="14"/>
    </row>
    <row r="683" spans="1:42" ht="13">
      <c r="A683" s="38"/>
      <c r="B683" s="14"/>
      <c r="C683" s="38"/>
      <c r="D683" s="38"/>
      <c r="E683" s="38"/>
      <c r="F683" s="38"/>
      <c r="G683" s="38"/>
      <c r="H683" s="14"/>
      <c r="I683" s="38"/>
      <c r="J683" s="38"/>
      <c r="K683" s="14"/>
      <c r="L683" s="14"/>
      <c r="M683" s="14"/>
      <c r="N683" s="39"/>
      <c r="O683" s="39"/>
      <c r="P683" s="39"/>
      <c r="Q683" s="39"/>
      <c r="R683" s="39"/>
      <c r="S683" s="39"/>
      <c r="T683" s="39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  <c r="AH683" s="14"/>
      <c r="AI683" s="14"/>
      <c r="AJ683" s="14"/>
      <c r="AK683" s="14"/>
      <c r="AL683" s="14"/>
      <c r="AM683" s="14"/>
      <c r="AN683" s="14"/>
      <c r="AO683" s="14"/>
      <c r="AP683" s="14"/>
    </row>
    <row r="684" spans="1:42" ht="13">
      <c r="A684" s="38"/>
      <c r="B684" s="14"/>
      <c r="C684" s="38"/>
      <c r="D684" s="38"/>
      <c r="E684" s="38"/>
      <c r="F684" s="38"/>
      <c r="G684" s="38"/>
      <c r="H684" s="14"/>
      <c r="I684" s="38"/>
      <c r="J684" s="38"/>
      <c r="K684" s="14"/>
      <c r="L684" s="14"/>
      <c r="M684" s="14"/>
      <c r="N684" s="39"/>
      <c r="O684" s="39"/>
      <c r="P684" s="39"/>
      <c r="Q684" s="39"/>
      <c r="R684" s="39"/>
      <c r="S684" s="39"/>
      <c r="T684" s="39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  <c r="AF684" s="14"/>
      <c r="AG684" s="14"/>
      <c r="AH684" s="14"/>
      <c r="AI684" s="14"/>
      <c r="AJ684" s="14"/>
      <c r="AK684" s="14"/>
      <c r="AL684" s="14"/>
      <c r="AM684" s="14"/>
      <c r="AN684" s="14"/>
      <c r="AO684" s="14"/>
      <c r="AP684" s="14"/>
    </row>
    <row r="685" spans="1:42" ht="13">
      <c r="A685" s="38"/>
      <c r="B685" s="14"/>
      <c r="C685" s="38"/>
      <c r="D685" s="38"/>
      <c r="E685" s="38"/>
      <c r="F685" s="38"/>
      <c r="G685" s="38"/>
      <c r="H685" s="14"/>
      <c r="I685" s="38"/>
      <c r="J685" s="38"/>
      <c r="K685" s="14"/>
      <c r="L685" s="14"/>
      <c r="M685" s="14"/>
      <c r="N685" s="39"/>
      <c r="O685" s="39"/>
      <c r="P685" s="39"/>
      <c r="Q685" s="39"/>
      <c r="R685" s="39"/>
      <c r="S685" s="39"/>
      <c r="T685" s="39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  <c r="AH685" s="14"/>
      <c r="AI685" s="14"/>
      <c r="AJ685" s="14"/>
      <c r="AK685" s="14"/>
      <c r="AL685" s="14"/>
      <c r="AM685" s="14"/>
      <c r="AN685" s="14"/>
      <c r="AO685" s="14"/>
      <c r="AP685" s="14"/>
    </row>
    <row r="686" spans="1:42" ht="13">
      <c r="A686" s="38"/>
      <c r="B686" s="14"/>
      <c r="C686" s="38"/>
      <c r="D686" s="38"/>
      <c r="E686" s="38"/>
      <c r="F686" s="38"/>
      <c r="G686" s="38"/>
      <c r="H686" s="14"/>
      <c r="I686" s="38"/>
      <c r="J686" s="38"/>
      <c r="K686" s="14"/>
      <c r="L686" s="14"/>
      <c r="M686" s="14"/>
      <c r="N686" s="39"/>
      <c r="O686" s="39"/>
      <c r="P686" s="39"/>
      <c r="Q686" s="39"/>
      <c r="R686" s="39"/>
      <c r="S686" s="39"/>
      <c r="T686" s="39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  <c r="AF686" s="14"/>
      <c r="AG686" s="14"/>
      <c r="AH686" s="14"/>
      <c r="AI686" s="14"/>
      <c r="AJ686" s="14"/>
      <c r="AK686" s="14"/>
      <c r="AL686" s="14"/>
      <c r="AM686" s="14"/>
      <c r="AN686" s="14"/>
      <c r="AO686" s="14"/>
      <c r="AP686" s="14"/>
    </row>
    <row r="687" spans="1:42" ht="13">
      <c r="A687" s="38"/>
      <c r="B687" s="14"/>
      <c r="C687" s="38"/>
      <c r="D687" s="38"/>
      <c r="E687" s="38"/>
      <c r="F687" s="38"/>
      <c r="G687" s="38"/>
      <c r="H687" s="14"/>
      <c r="I687" s="38"/>
      <c r="J687" s="38"/>
      <c r="K687" s="14"/>
      <c r="L687" s="14"/>
      <c r="M687" s="14"/>
      <c r="N687" s="39"/>
      <c r="O687" s="39"/>
      <c r="P687" s="39"/>
      <c r="Q687" s="39"/>
      <c r="R687" s="39"/>
      <c r="S687" s="39"/>
      <c r="T687" s="39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  <c r="AH687" s="14"/>
      <c r="AI687" s="14"/>
      <c r="AJ687" s="14"/>
      <c r="AK687" s="14"/>
      <c r="AL687" s="14"/>
      <c r="AM687" s="14"/>
      <c r="AN687" s="14"/>
      <c r="AO687" s="14"/>
      <c r="AP687" s="14"/>
    </row>
    <row r="688" spans="1:42" ht="13">
      <c r="A688" s="38"/>
      <c r="B688" s="14"/>
      <c r="C688" s="38"/>
      <c r="D688" s="38"/>
      <c r="E688" s="38"/>
      <c r="F688" s="38"/>
      <c r="G688" s="38"/>
      <c r="H688" s="14"/>
      <c r="I688" s="38"/>
      <c r="J688" s="38"/>
      <c r="K688" s="14"/>
      <c r="L688" s="14"/>
      <c r="M688" s="14"/>
      <c r="N688" s="39"/>
      <c r="O688" s="39"/>
      <c r="P688" s="39"/>
      <c r="Q688" s="39"/>
      <c r="R688" s="39"/>
      <c r="S688" s="39"/>
      <c r="T688" s="39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  <c r="AH688" s="14"/>
      <c r="AI688" s="14"/>
      <c r="AJ688" s="14"/>
      <c r="AK688" s="14"/>
      <c r="AL688" s="14"/>
      <c r="AM688" s="14"/>
      <c r="AN688" s="14"/>
      <c r="AO688" s="14"/>
      <c r="AP688" s="14"/>
    </row>
    <row r="689" spans="1:42" ht="13">
      <c r="A689" s="38"/>
      <c r="B689" s="14"/>
      <c r="C689" s="38"/>
      <c r="D689" s="38"/>
      <c r="E689" s="38"/>
      <c r="F689" s="38"/>
      <c r="G689" s="38"/>
      <c r="H689" s="14"/>
      <c r="I689" s="38"/>
      <c r="J689" s="38"/>
      <c r="K689" s="14"/>
      <c r="L689" s="14"/>
      <c r="M689" s="14"/>
      <c r="N689" s="39"/>
      <c r="O689" s="39"/>
      <c r="P689" s="39"/>
      <c r="Q689" s="39"/>
      <c r="R689" s="39"/>
      <c r="S689" s="39"/>
      <c r="T689" s="39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  <c r="AH689" s="14"/>
      <c r="AI689" s="14"/>
      <c r="AJ689" s="14"/>
      <c r="AK689" s="14"/>
      <c r="AL689" s="14"/>
      <c r="AM689" s="14"/>
      <c r="AN689" s="14"/>
      <c r="AO689" s="14"/>
      <c r="AP689" s="14"/>
    </row>
    <row r="690" spans="1:42" ht="13">
      <c r="A690" s="38"/>
      <c r="B690" s="14"/>
      <c r="C690" s="38"/>
      <c r="D690" s="38"/>
      <c r="E690" s="38"/>
      <c r="F690" s="38"/>
      <c r="G690" s="38"/>
      <c r="H690" s="14"/>
      <c r="I690" s="38"/>
      <c r="J690" s="38"/>
      <c r="K690" s="14"/>
      <c r="L690" s="14"/>
      <c r="M690" s="14"/>
      <c r="N690" s="39"/>
      <c r="O690" s="39"/>
      <c r="P690" s="39"/>
      <c r="Q690" s="39"/>
      <c r="R690" s="39"/>
      <c r="S690" s="39"/>
      <c r="T690" s="39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  <c r="AF690" s="14"/>
      <c r="AG690" s="14"/>
      <c r="AH690" s="14"/>
      <c r="AI690" s="14"/>
      <c r="AJ690" s="14"/>
      <c r="AK690" s="14"/>
      <c r="AL690" s="14"/>
      <c r="AM690" s="14"/>
      <c r="AN690" s="14"/>
      <c r="AO690" s="14"/>
      <c r="AP690" s="14"/>
    </row>
    <row r="691" spans="1:42" ht="13">
      <c r="A691" s="38"/>
      <c r="B691" s="14"/>
      <c r="C691" s="38"/>
      <c r="D691" s="38"/>
      <c r="E691" s="38"/>
      <c r="F691" s="38"/>
      <c r="G691" s="38"/>
      <c r="H691" s="14"/>
      <c r="I691" s="38"/>
      <c r="J691" s="38"/>
      <c r="K691" s="14"/>
      <c r="L691" s="14"/>
      <c r="M691" s="14"/>
      <c r="N691" s="39"/>
      <c r="O691" s="39"/>
      <c r="P691" s="39"/>
      <c r="Q691" s="39"/>
      <c r="R691" s="39"/>
      <c r="S691" s="39"/>
      <c r="T691" s="39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  <c r="AH691" s="14"/>
      <c r="AI691" s="14"/>
      <c r="AJ691" s="14"/>
      <c r="AK691" s="14"/>
      <c r="AL691" s="14"/>
      <c r="AM691" s="14"/>
      <c r="AN691" s="14"/>
      <c r="AO691" s="14"/>
      <c r="AP691" s="14"/>
    </row>
    <row r="692" spans="1:42" ht="13">
      <c r="A692" s="38"/>
      <c r="B692" s="14"/>
      <c r="C692" s="38"/>
      <c r="D692" s="38"/>
      <c r="E692" s="38"/>
      <c r="F692" s="38"/>
      <c r="G692" s="38"/>
      <c r="H692" s="14"/>
      <c r="I692" s="38"/>
      <c r="J692" s="38"/>
      <c r="K692" s="14"/>
      <c r="L692" s="14"/>
      <c r="M692" s="14"/>
      <c r="N692" s="39"/>
      <c r="O692" s="39"/>
      <c r="P692" s="39"/>
      <c r="Q692" s="39"/>
      <c r="R692" s="39"/>
      <c r="S692" s="39"/>
      <c r="T692" s="39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  <c r="AF692" s="14"/>
      <c r="AG692" s="14"/>
      <c r="AH692" s="14"/>
      <c r="AI692" s="14"/>
      <c r="AJ692" s="14"/>
      <c r="AK692" s="14"/>
      <c r="AL692" s="14"/>
      <c r="AM692" s="14"/>
      <c r="AN692" s="14"/>
      <c r="AO692" s="14"/>
      <c r="AP692" s="14"/>
    </row>
    <row r="693" spans="1:42" ht="13">
      <c r="A693" s="38"/>
      <c r="B693" s="14"/>
      <c r="C693" s="38"/>
      <c r="D693" s="38"/>
      <c r="E693" s="38"/>
      <c r="F693" s="38"/>
      <c r="G693" s="38"/>
      <c r="H693" s="14"/>
      <c r="I693" s="38"/>
      <c r="J693" s="38"/>
      <c r="K693" s="14"/>
      <c r="L693" s="14"/>
      <c r="M693" s="14"/>
      <c r="N693" s="39"/>
      <c r="O693" s="39"/>
      <c r="P693" s="39"/>
      <c r="Q693" s="39"/>
      <c r="R693" s="39"/>
      <c r="S693" s="39"/>
      <c r="T693" s="39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  <c r="AH693" s="14"/>
      <c r="AI693" s="14"/>
      <c r="AJ693" s="14"/>
      <c r="AK693" s="14"/>
      <c r="AL693" s="14"/>
      <c r="AM693" s="14"/>
      <c r="AN693" s="14"/>
      <c r="AO693" s="14"/>
      <c r="AP693" s="14"/>
    </row>
    <row r="694" spans="1:42" ht="13">
      <c r="A694" s="38"/>
      <c r="B694" s="14"/>
      <c r="C694" s="38"/>
      <c r="D694" s="38"/>
      <c r="E694" s="38"/>
      <c r="F694" s="38"/>
      <c r="G694" s="38"/>
      <c r="H694" s="14"/>
      <c r="I694" s="38"/>
      <c r="J694" s="38"/>
      <c r="K694" s="14"/>
      <c r="L694" s="14"/>
      <c r="M694" s="14"/>
      <c r="N694" s="39"/>
      <c r="O694" s="39"/>
      <c r="P694" s="39"/>
      <c r="Q694" s="39"/>
      <c r="R694" s="39"/>
      <c r="S694" s="39"/>
      <c r="T694" s="39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  <c r="AF694" s="14"/>
      <c r="AG694" s="14"/>
      <c r="AH694" s="14"/>
      <c r="AI694" s="14"/>
      <c r="AJ694" s="14"/>
      <c r="AK694" s="14"/>
      <c r="AL694" s="14"/>
      <c r="AM694" s="14"/>
      <c r="AN694" s="14"/>
      <c r="AO694" s="14"/>
      <c r="AP694" s="14"/>
    </row>
    <row r="695" spans="1:42" ht="13">
      <c r="A695" s="38"/>
      <c r="B695" s="14"/>
      <c r="C695" s="38"/>
      <c r="D695" s="38"/>
      <c r="E695" s="38"/>
      <c r="F695" s="38"/>
      <c r="G695" s="38"/>
      <c r="H695" s="14"/>
      <c r="I695" s="38"/>
      <c r="J695" s="38"/>
      <c r="K695" s="14"/>
      <c r="L695" s="14"/>
      <c r="M695" s="14"/>
      <c r="N695" s="39"/>
      <c r="O695" s="39"/>
      <c r="P695" s="39"/>
      <c r="Q695" s="39"/>
      <c r="R695" s="39"/>
      <c r="S695" s="39"/>
      <c r="T695" s="39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  <c r="AH695" s="14"/>
      <c r="AI695" s="14"/>
      <c r="AJ695" s="14"/>
      <c r="AK695" s="14"/>
      <c r="AL695" s="14"/>
      <c r="AM695" s="14"/>
      <c r="AN695" s="14"/>
      <c r="AO695" s="14"/>
      <c r="AP695" s="14"/>
    </row>
    <row r="696" spans="1:42" ht="13">
      <c r="A696" s="38"/>
      <c r="B696" s="14"/>
      <c r="C696" s="38"/>
      <c r="D696" s="38"/>
      <c r="E696" s="38"/>
      <c r="F696" s="38"/>
      <c r="G696" s="38"/>
      <c r="H696" s="14"/>
      <c r="I696" s="38"/>
      <c r="J696" s="38"/>
      <c r="K696" s="14"/>
      <c r="L696" s="14"/>
      <c r="M696" s="14"/>
      <c r="N696" s="39"/>
      <c r="O696" s="39"/>
      <c r="P696" s="39"/>
      <c r="Q696" s="39"/>
      <c r="R696" s="39"/>
      <c r="S696" s="39"/>
      <c r="T696" s="39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  <c r="AH696" s="14"/>
      <c r="AI696" s="14"/>
      <c r="AJ696" s="14"/>
      <c r="AK696" s="14"/>
      <c r="AL696" s="14"/>
      <c r="AM696" s="14"/>
      <c r="AN696" s="14"/>
      <c r="AO696" s="14"/>
      <c r="AP696" s="14"/>
    </row>
    <row r="697" spans="1:42" ht="13">
      <c r="A697" s="38"/>
      <c r="B697" s="14"/>
      <c r="C697" s="38"/>
      <c r="D697" s="38"/>
      <c r="E697" s="38"/>
      <c r="F697" s="38"/>
      <c r="G697" s="38"/>
      <c r="H697" s="14"/>
      <c r="I697" s="38"/>
      <c r="J697" s="38"/>
      <c r="K697" s="14"/>
      <c r="L697" s="14"/>
      <c r="M697" s="14"/>
      <c r="N697" s="39"/>
      <c r="O697" s="39"/>
      <c r="P697" s="39"/>
      <c r="Q697" s="39"/>
      <c r="R697" s="39"/>
      <c r="S697" s="39"/>
      <c r="T697" s="39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  <c r="AH697" s="14"/>
      <c r="AI697" s="14"/>
      <c r="AJ697" s="14"/>
      <c r="AK697" s="14"/>
      <c r="AL697" s="14"/>
      <c r="AM697" s="14"/>
      <c r="AN697" s="14"/>
      <c r="AO697" s="14"/>
      <c r="AP697" s="14"/>
    </row>
    <row r="698" spans="1:42" ht="13">
      <c r="A698" s="38"/>
      <c r="B698" s="14"/>
      <c r="C698" s="38"/>
      <c r="D698" s="38"/>
      <c r="E698" s="38"/>
      <c r="F698" s="38"/>
      <c r="G698" s="38"/>
      <c r="H698" s="14"/>
      <c r="I698" s="38"/>
      <c r="J698" s="38"/>
      <c r="K698" s="14"/>
      <c r="L698" s="14"/>
      <c r="M698" s="14"/>
      <c r="N698" s="39"/>
      <c r="O698" s="39"/>
      <c r="P698" s="39"/>
      <c r="Q698" s="39"/>
      <c r="R698" s="39"/>
      <c r="S698" s="39"/>
      <c r="T698" s="39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  <c r="AH698" s="14"/>
      <c r="AI698" s="14"/>
      <c r="AJ698" s="14"/>
      <c r="AK698" s="14"/>
      <c r="AL698" s="14"/>
      <c r="AM698" s="14"/>
      <c r="AN698" s="14"/>
      <c r="AO698" s="14"/>
      <c r="AP698" s="14"/>
    </row>
    <row r="699" spans="1:42" ht="13">
      <c r="A699" s="38"/>
      <c r="B699" s="14"/>
      <c r="C699" s="38"/>
      <c r="D699" s="38"/>
      <c r="E699" s="38"/>
      <c r="F699" s="38"/>
      <c r="G699" s="38"/>
      <c r="H699" s="14"/>
      <c r="I699" s="38"/>
      <c r="J699" s="38"/>
      <c r="K699" s="14"/>
      <c r="L699" s="14"/>
      <c r="M699" s="14"/>
      <c r="N699" s="39"/>
      <c r="O699" s="39"/>
      <c r="P699" s="39"/>
      <c r="Q699" s="39"/>
      <c r="R699" s="39"/>
      <c r="S699" s="39"/>
      <c r="T699" s="39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  <c r="AH699" s="14"/>
      <c r="AI699" s="14"/>
      <c r="AJ699" s="14"/>
      <c r="AK699" s="14"/>
      <c r="AL699" s="14"/>
      <c r="AM699" s="14"/>
      <c r="AN699" s="14"/>
      <c r="AO699" s="14"/>
      <c r="AP699" s="14"/>
    </row>
    <row r="700" spans="1:42" ht="13">
      <c r="A700" s="38"/>
      <c r="B700" s="14"/>
      <c r="C700" s="38"/>
      <c r="D700" s="38"/>
      <c r="E700" s="38"/>
      <c r="F700" s="38"/>
      <c r="G700" s="38"/>
      <c r="H700" s="14"/>
      <c r="I700" s="38"/>
      <c r="J700" s="38"/>
      <c r="K700" s="14"/>
      <c r="L700" s="14"/>
      <c r="M700" s="14"/>
      <c r="N700" s="39"/>
      <c r="O700" s="39"/>
      <c r="P700" s="39"/>
      <c r="Q700" s="39"/>
      <c r="R700" s="39"/>
      <c r="S700" s="39"/>
      <c r="T700" s="39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  <c r="AH700" s="14"/>
      <c r="AI700" s="14"/>
      <c r="AJ700" s="14"/>
      <c r="AK700" s="14"/>
      <c r="AL700" s="14"/>
      <c r="AM700" s="14"/>
      <c r="AN700" s="14"/>
      <c r="AO700" s="14"/>
      <c r="AP700" s="14"/>
    </row>
    <row r="701" spans="1:42" ht="13">
      <c r="A701" s="38"/>
      <c r="B701" s="14"/>
      <c r="C701" s="38"/>
      <c r="D701" s="38"/>
      <c r="E701" s="38"/>
      <c r="F701" s="38"/>
      <c r="G701" s="38"/>
      <c r="H701" s="14"/>
      <c r="I701" s="38"/>
      <c r="J701" s="38"/>
      <c r="K701" s="14"/>
      <c r="L701" s="14"/>
      <c r="M701" s="14"/>
      <c r="N701" s="39"/>
      <c r="O701" s="39"/>
      <c r="P701" s="39"/>
      <c r="Q701" s="39"/>
      <c r="R701" s="39"/>
      <c r="S701" s="39"/>
      <c r="T701" s="39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  <c r="AH701" s="14"/>
      <c r="AI701" s="14"/>
      <c r="AJ701" s="14"/>
      <c r="AK701" s="14"/>
      <c r="AL701" s="14"/>
      <c r="AM701" s="14"/>
      <c r="AN701" s="14"/>
      <c r="AO701" s="14"/>
      <c r="AP701" s="14"/>
    </row>
    <row r="702" spans="1:42" ht="13">
      <c r="A702" s="38"/>
      <c r="B702" s="14"/>
      <c r="C702" s="38"/>
      <c r="D702" s="38"/>
      <c r="E702" s="38"/>
      <c r="F702" s="38"/>
      <c r="G702" s="38"/>
      <c r="H702" s="14"/>
      <c r="I702" s="38"/>
      <c r="J702" s="38"/>
      <c r="K702" s="14"/>
      <c r="L702" s="14"/>
      <c r="M702" s="14"/>
      <c r="N702" s="39"/>
      <c r="O702" s="39"/>
      <c r="P702" s="39"/>
      <c r="Q702" s="39"/>
      <c r="R702" s="39"/>
      <c r="S702" s="39"/>
      <c r="T702" s="39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  <c r="AH702" s="14"/>
      <c r="AI702" s="14"/>
      <c r="AJ702" s="14"/>
      <c r="AK702" s="14"/>
      <c r="AL702" s="14"/>
      <c r="AM702" s="14"/>
      <c r="AN702" s="14"/>
      <c r="AO702" s="14"/>
      <c r="AP702" s="14"/>
    </row>
    <row r="703" spans="1:42" ht="13">
      <c r="A703" s="38"/>
      <c r="B703" s="14"/>
      <c r="C703" s="38"/>
      <c r="D703" s="38"/>
      <c r="E703" s="38"/>
      <c r="F703" s="38"/>
      <c r="G703" s="38"/>
      <c r="H703" s="14"/>
      <c r="I703" s="38"/>
      <c r="J703" s="38"/>
      <c r="K703" s="14"/>
      <c r="L703" s="14"/>
      <c r="M703" s="14"/>
      <c r="N703" s="39"/>
      <c r="O703" s="39"/>
      <c r="P703" s="39"/>
      <c r="Q703" s="39"/>
      <c r="R703" s="39"/>
      <c r="S703" s="39"/>
      <c r="T703" s="39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  <c r="AH703" s="14"/>
      <c r="AI703" s="14"/>
      <c r="AJ703" s="14"/>
      <c r="AK703" s="14"/>
      <c r="AL703" s="14"/>
      <c r="AM703" s="14"/>
      <c r="AN703" s="14"/>
      <c r="AO703" s="14"/>
      <c r="AP703" s="14"/>
    </row>
    <row r="704" spans="1:42" ht="13">
      <c r="A704" s="38"/>
      <c r="B704" s="14"/>
      <c r="C704" s="38"/>
      <c r="D704" s="38"/>
      <c r="E704" s="38"/>
      <c r="F704" s="38"/>
      <c r="G704" s="38"/>
      <c r="H704" s="14"/>
      <c r="I704" s="38"/>
      <c r="J704" s="38"/>
      <c r="K704" s="14"/>
      <c r="L704" s="14"/>
      <c r="M704" s="14"/>
      <c r="N704" s="39"/>
      <c r="O704" s="39"/>
      <c r="P704" s="39"/>
      <c r="Q704" s="39"/>
      <c r="R704" s="39"/>
      <c r="S704" s="39"/>
      <c r="T704" s="39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  <c r="AF704" s="14"/>
      <c r="AG704" s="14"/>
      <c r="AH704" s="14"/>
      <c r="AI704" s="14"/>
      <c r="AJ704" s="14"/>
      <c r="AK704" s="14"/>
      <c r="AL704" s="14"/>
      <c r="AM704" s="14"/>
      <c r="AN704" s="14"/>
      <c r="AO704" s="14"/>
      <c r="AP704" s="14"/>
    </row>
    <row r="705" spans="1:42" ht="13">
      <c r="A705" s="38"/>
      <c r="B705" s="14"/>
      <c r="C705" s="38"/>
      <c r="D705" s="38"/>
      <c r="E705" s="38"/>
      <c r="F705" s="38"/>
      <c r="G705" s="38"/>
      <c r="H705" s="14"/>
      <c r="I705" s="38"/>
      <c r="J705" s="38"/>
      <c r="K705" s="14"/>
      <c r="L705" s="14"/>
      <c r="M705" s="14"/>
      <c r="N705" s="39"/>
      <c r="O705" s="39"/>
      <c r="P705" s="39"/>
      <c r="Q705" s="39"/>
      <c r="R705" s="39"/>
      <c r="S705" s="39"/>
      <c r="T705" s="39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  <c r="AH705" s="14"/>
      <c r="AI705" s="14"/>
      <c r="AJ705" s="14"/>
      <c r="AK705" s="14"/>
      <c r="AL705" s="14"/>
      <c r="AM705" s="14"/>
      <c r="AN705" s="14"/>
      <c r="AO705" s="14"/>
      <c r="AP705" s="14"/>
    </row>
    <row r="706" spans="1:42" ht="13">
      <c r="A706" s="38"/>
      <c r="B706" s="14"/>
      <c r="C706" s="38"/>
      <c r="D706" s="38"/>
      <c r="E706" s="38"/>
      <c r="F706" s="38"/>
      <c r="G706" s="38"/>
      <c r="H706" s="14"/>
      <c r="I706" s="38"/>
      <c r="J706" s="38"/>
      <c r="K706" s="14"/>
      <c r="L706" s="14"/>
      <c r="M706" s="14"/>
      <c r="N706" s="39"/>
      <c r="O706" s="39"/>
      <c r="P706" s="39"/>
      <c r="Q706" s="39"/>
      <c r="R706" s="39"/>
      <c r="S706" s="39"/>
      <c r="T706" s="39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  <c r="AF706" s="14"/>
      <c r="AG706" s="14"/>
      <c r="AH706" s="14"/>
      <c r="AI706" s="14"/>
      <c r="AJ706" s="14"/>
      <c r="AK706" s="14"/>
      <c r="AL706" s="14"/>
      <c r="AM706" s="14"/>
      <c r="AN706" s="14"/>
      <c r="AO706" s="14"/>
      <c r="AP706" s="14"/>
    </row>
    <row r="707" spans="1:42" ht="13">
      <c r="A707" s="38"/>
      <c r="B707" s="14"/>
      <c r="C707" s="38"/>
      <c r="D707" s="38"/>
      <c r="E707" s="38"/>
      <c r="F707" s="38"/>
      <c r="G707" s="38"/>
      <c r="H707" s="14"/>
      <c r="I707" s="38"/>
      <c r="J707" s="38"/>
      <c r="K707" s="14"/>
      <c r="L707" s="14"/>
      <c r="M707" s="14"/>
      <c r="N707" s="39"/>
      <c r="O707" s="39"/>
      <c r="P707" s="39"/>
      <c r="Q707" s="39"/>
      <c r="R707" s="39"/>
      <c r="S707" s="39"/>
      <c r="T707" s="39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  <c r="AH707" s="14"/>
      <c r="AI707" s="14"/>
      <c r="AJ707" s="14"/>
      <c r="AK707" s="14"/>
      <c r="AL707" s="14"/>
      <c r="AM707" s="14"/>
      <c r="AN707" s="14"/>
      <c r="AO707" s="14"/>
      <c r="AP707" s="14"/>
    </row>
    <row r="708" spans="1:42" ht="13">
      <c r="A708" s="38"/>
      <c r="B708" s="14"/>
      <c r="C708" s="38"/>
      <c r="D708" s="38"/>
      <c r="E708" s="38"/>
      <c r="F708" s="38"/>
      <c r="G708" s="38"/>
      <c r="H708" s="14"/>
      <c r="I708" s="38"/>
      <c r="J708" s="38"/>
      <c r="K708" s="14"/>
      <c r="L708" s="14"/>
      <c r="M708" s="14"/>
      <c r="N708" s="39"/>
      <c r="O708" s="39"/>
      <c r="P708" s="39"/>
      <c r="Q708" s="39"/>
      <c r="R708" s="39"/>
      <c r="S708" s="39"/>
      <c r="T708" s="39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  <c r="AF708" s="14"/>
      <c r="AG708" s="14"/>
      <c r="AH708" s="14"/>
      <c r="AI708" s="14"/>
      <c r="AJ708" s="14"/>
      <c r="AK708" s="14"/>
      <c r="AL708" s="14"/>
      <c r="AM708" s="14"/>
      <c r="AN708" s="14"/>
      <c r="AO708" s="14"/>
      <c r="AP708" s="14"/>
    </row>
    <row r="709" spans="1:42" ht="13">
      <c r="A709" s="38"/>
      <c r="B709" s="14"/>
      <c r="C709" s="38"/>
      <c r="D709" s="38"/>
      <c r="E709" s="38"/>
      <c r="F709" s="38"/>
      <c r="G709" s="38"/>
      <c r="H709" s="14"/>
      <c r="I709" s="38"/>
      <c r="J709" s="38"/>
      <c r="K709" s="14"/>
      <c r="L709" s="14"/>
      <c r="M709" s="14"/>
      <c r="N709" s="39"/>
      <c r="O709" s="39"/>
      <c r="P709" s="39"/>
      <c r="Q709" s="39"/>
      <c r="R709" s="39"/>
      <c r="S709" s="39"/>
      <c r="T709" s="39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  <c r="AH709" s="14"/>
      <c r="AI709" s="14"/>
      <c r="AJ709" s="14"/>
      <c r="AK709" s="14"/>
      <c r="AL709" s="14"/>
      <c r="AM709" s="14"/>
      <c r="AN709" s="14"/>
      <c r="AO709" s="14"/>
      <c r="AP709" s="14"/>
    </row>
    <row r="710" spans="1:42" ht="13">
      <c r="A710" s="38"/>
      <c r="B710" s="14"/>
      <c r="C710" s="38"/>
      <c r="D710" s="38"/>
      <c r="E710" s="38"/>
      <c r="F710" s="38"/>
      <c r="G710" s="38"/>
      <c r="H710" s="14"/>
      <c r="I710" s="38"/>
      <c r="J710" s="38"/>
      <c r="K710" s="14"/>
      <c r="L710" s="14"/>
      <c r="M710" s="14"/>
      <c r="N710" s="39"/>
      <c r="O710" s="39"/>
      <c r="P710" s="39"/>
      <c r="Q710" s="39"/>
      <c r="R710" s="39"/>
      <c r="S710" s="39"/>
      <c r="T710" s="39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  <c r="AF710" s="14"/>
      <c r="AG710" s="14"/>
      <c r="AH710" s="14"/>
      <c r="AI710" s="14"/>
      <c r="AJ710" s="14"/>
      <c r="AK710" s="14"/>
      <c r="AL710" s="14"/>
      <c r="AM710" s="14"/>
      <c r="AN710" s="14"/>
      <c r="AO710" s="14"/>
      <c r="AP710" s="14"/>
    </row>
    <row r="711" spans="1:42" ht="13">
      <c r="A711" s="38"/>
      <c r="B711" s="14"/>
      <c r="C711" s="38"/>
      <c r="D711" s="38"/>
      <c r="E711" s="38"/>
      <c r="F711" s="38"/>
      <c r="G711" s="38"/>
      <c r="H711" s="14"/>
      <c r="I711" s="38"/>
      <c r="J711" s="38"/>
      <c r="K711" s="14"/>
      <c r="L711" s="14"/>
      <c r="M711" s="14"/>
      <c r="N711" s="39"/>
      <c r="O711" s="39"/>
      <c r="P711" s="39"/>
      <c r="Q711" s="39"/>
      <c r="R711" s="39"/>
      <c r="S711" s="39"/>
      <c r="T711" s="39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  <c r="AH711" s="14"/>
      <c r="AI711" s="14"/>
      <c r="AJ711" s="14"/>
      <c r="AK711" s="14"/>
      <c r="AL711" s="14"/>
      <c r="AM711" s="14"/>
      <c r="AN711" s="14"/>
      <c r="AO711" s="14"/>
      <c r="AP711" s="14"/>
    </row>
    <row r="712" spans="1:42" ht="13">
      <c r="A712" s="38"/>
      <c r="B712" s="14"/>
      <c r="C712" s="38"/>
      <c r="D712" s="38"/>
      <c r="E712" s="38"/>
      <c r="F712" s="38"/>
      <c r="G712" s="38"/>
      <c r="H712" s="14"/>
      <c r="I712" s="38"/>
      <c r="J712" s="38"/>
      <c r="K712" s="14"/>
      <c r="L712" s="14"/>
      <c r="M712" s="14"/>
      <c r="N712" s="39"/>
      <c r="O712" s="39"/>
      <c r="P712" s="39"/>
      <c r="Q712" s="39"/>
      <c r="R712" s="39"/>
      <c r="S712" s="39"/>
      <c r="T712" s="39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  <c r="AF712" s="14"/>
      <c r="AG712" s="14"/>
      <c r="AH712" s="14"/>
      <c r="AI712" s="14"/>
      <c r="AJ712" s="14"/>
      <c r="AK712" s="14"/>
      <c r="AL712" s="14"/>
      <c r="AM712" s="14"/>
      <c r="AN712" s="14"/>
      <c r="AO712" s="14"/>
      <c r="AP712" s="14"/>
    </row>
    <row r="713" spans="1:42" ht="13">
      <c r="A713" s="38"/>
      <c r="B713" s="14"/>
      <c r="C713" s="38"/>
      <c r="D713" s="38"/>
      <c r="E713" s="38"/>
      <c r="F713" s="38"/>
      <c r="G713" s="38"/>
      <c r="H713" s="14"/>
      <c r="I713" s="38"/>
      <c r="J713" s="38"/>
      <c r="K713" s="14"/>
      <c r="L713" s="14"/>
      <c r="M713" s="14"/>
      <c r="N713" s="39"/>
      <c r="O713" s="39"/>
      <c r="P713" s="39"/>
      <c r="Q713" s="39"/>
      <c r="R713" s="39"/>
      <c r="S713" s="39"/>
      <c r="T713" s="39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  <c r="AH713" s="14"/>
      <c r="AI713" s="14"/>
      <c r="AJ713" s="14"/>
      <c r="AK713" s="14"/>
      <c r="AL713" s="14"/>
      <c r="AM713" s="14"/>
      <c r="AN713" s="14"/>
      <c r="AO713" s="14"/>
      <c r="AP713" s="14"/>
    </row>
    <row r="714" spans="1:42" ht="13">
      <c r="A714" s="38"/>
      <c r="B714" s="14"/>
      <c r="C714" s="38"/>
      <c r="D714" s="38"/>
      <c r="E714" s="38"/>
      <c r="F714" s="38"/>
      <c r="G714" s="38"/>
      <c r="H714" s="14"/>
      <c r="I714" s="38"/>
      <c r="J714" s="38"/>
      <c r="K714" s="14"/>
      <c r="L714" s="14"/>
      <c r="M714" s="14"/>
      <c r="N714" s="39"/>
      <c r="O714" s="39"/>
      <c r="P714" s="39"/>
      <c r="Q714" s="39"/>
      <c r="R714" s="39"/>
      <c r="S714" s="39"/>
      <c r="T714" s="39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  <c r="AH714" s="14"/>
      <c r="AI714" s="14"/>
      <c r="AJ714" s="14"/>
      <c r="AK714" s="14"/>
      <c r="AL714" s="14"/>
      <c r="AM714" s="14"/>
      <c r="AN714" s="14"/>
      <c r="AO714" s="14"/>
      <c r="AP714" s="14"/>
    </row>
    <row r="715" spans="1:42" ht="13">
      <c r="A715" s="38"/>
      <c r="B715" s="14"/>
      <c r="C715" s="38"/>
      <c r="D715" s="38"/>
      <c r="E715" s="38"/>
      <c r="F715" s="38"/>
      <c r="G715" s="38"/>
      <c r="H715" s="14"/>
      <c r="I715" s="38"/>
      <c r="J715" s="38"/>
      <c r="K715" s="14"/>
      <c r="L715" s="14"/>
      <c r="M715" s="14"/>
      <c r="N715" s="39"/>
      <c r="O715" s="39"/>
      <c r="P715" s="39"/>
      <c r="Q715" s="39"/>
      <c r="R715" s="39"/>
      <c r="S715" s="39"/>
      <c r="T715" s="39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  <c r="AH715" s="14"/>
      <c r="AI715" s="14"/>
      <c r="AJ715" s="14"/>
      <c r="AK715" s="14"/>
      <c r="AL715" s="14"/>
      <c r="AM715" s="14"/>
      <c r="AN715" s="14"/>
      <c r="AO715" s="14"/>
      <c r="AP715" s="14"/>
    </row>
    <row r="716" spans="1:42" ht="13">
      <c r="A716" s="38"/>
      <c r="B716" s="14"/>
      <c r="C716" s="38"/>
      <c r="D716" s="38"/>
      <c r="E716" s="38"/>
      <c r="F716" s="38"/>
      <c r="G716" s="38"/>
      <c r="H716" s="14"/>
      <c r="I716" s="38"/>
      <c r="J716" s="38"/>
      <c r="K716" s="14"/>
      <c r="L716" s="14"/>
      <c r="M716" s="14"/>
      <c r="N716" s="39"/>
      <c r="O716" s="39"/>
      <c r="P716" s="39"/>
      <c r="Q716" s="39"/>
      <c r="R716" s="39"/>
      <c r="S716" s="39"/>
      <c r="T716" s="39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  <c r="AF716" s="14"/>
      <c r="AG716" s="14"/>
      <c r="AH716" s="14"/>
      <c r="AI716" s="14"/>
      <c r="AJ716" s="14"/>
      <c r="AK716" s="14"/>
      <c r="AL716" s="14"/>
      <c r="AM716" s="14"/>
      <c r="AN716" s="14"/>
      <c r="AO716" s="14"/>
      <c r="AP716" s="14"/>
    </row>
    <row r="717" spans="1:42" ht="13">
      <c r="A717" s="38"/>
      <c r="B717" s="14"/>
      <c r="C717" s="38"/>
      <c r="D717" s="38"/>
      <c r="E717" s="38"/>
      <c r="F717" s="38"/>
      <c r="G717" s="38"/>
      <c r="H717" s="14"/>
      <c r="I717" s="38"/>
      <c r="J717" s="38"/>
      <c r="K717" s="14"/>
      <c r="L717" s="14"/>
      <c r="M717" s="14"/>
      <c r="N717" s="39"/>
      <c r="O717" s="39"/>
      <c r="P717" s="39"/>
      <c r="Q717" s="39"/>
      <c r="R717" s="39"/>
      <c r="S717" s="39"/>
      <c r="T717" s="39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  <c r="AH717" s="14"/>
      <c r="AI717" s="14"/>
      <c r="AJ717" s="14"/>
      <c r="AK717" s="14"/>
      <c r="AL717" s="14"/>
      <c r="AM717" s="14"/>
      <c r="AN717" s="14"/>
      <c r="AO717" s="14"/>
      <c r="AP717" s="14"/>
    </row>
    <row r="718" spans="1:42" ht="13">
      <c r="A718" s="38"/>
      <c r="B718" s="14"/>
      <c r="C718" s="38"/>
      <c r="D718" s="38"/>
      <c r="E718" s="38"/>
      <c r="F718" s="38"/>
      <c r="G718" s="38"/>
      <c r="H718" s="14"/>
      <c r="I718" s="38"/>
      <c r="J718" s="38"/>
      <c r="K718" s="14"/>
      <c r="L718" s="14"/>
      <c r="M718" s="14"/>
      <c r="N718" s="39"/>
      <c r="O718" s="39"/>
      <c r="P718" s="39"/>
      <c r="Q718" s="39"/>
      <c r="R718" s="39"/>
      <c r="S718" s="39"/>
      <c r="T718" s="39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14"/>
      <c r="AG718" s="14"/>
      <c r="AH718" s="14"/>
      <c r="AI718" s="14"/>
      <c r="AJ718" s="14"/>
      <c r="AK718" s="14"/>
      <c r="AL718" s="14"/>
      <c r="AM718" s="14"/>
      <c r="AN718" s="14"/>
      <c r="AO718" s="14"/>
      <c r="AP718" s="14"/>
    </row>
    <row r="719" spans="1:42" ht="13">
      <c r="A719" s="38"/>
      <c r="B719" s="14"/>
      <c r="C719" s="38"/>
      <c r="D719" s="38"/>
      <c r="E719" s="38"/>
      <c r="F719" s="38"/>
      <c r="G719" s="38"/>
      <c r="H719" s="14"/>
      <c r="I719" s="38"/>
      <c r="J719" s="38"/>
      <c r="K719" s="14"/>
      <c r="L719" s="14"/>
      <c r="M719" s="14"/>
      <c r="N719" s="39"/>
      <c r="O719" s="39"/>
      <c r="P719" s="39"/>
      <c r="Q719" s="39"/>
      <c r="R719" s="39"/>
      <c r="S719" s="39"/>
      <c r="T719" s="39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  <c r="AH719" s="14"/>
      <c r="AI719" s="14"/>
      <c r="AJ719" s="14"/>
      <c r="AK719" s="14"/>
      <c r="AL719" s="14"/>
      <c r="AM719" s="14"/>
      <c r="AN719" s="14"/>
      <c r="AO719" s="14"/>
      <c r="AP719" s="14"/>
    </row>
    <row r="720" spans="1:42" ht="13">
      <c r="A720" s="38"/>
      <c r="B720" s="14"/>
      <c r="C720" s="38"/>
      <c r="D720" s="38"/>
      <c r="E720" s="38"/>
      <c r="F720" s="38"/>
      <c r="G720" s="38"/>
      <c r="H720" s="14"/>
      <c r="I720" s="38"/>
      <c r="J720" s="38"/>
      <c r="K720" s="14"/>
      <c r="L720" s="14"/>
      <c r="M720" s="14"/>
      <c r="N720" s="39"/>
      <c r="O720" s="39"/>
      <c r="P720" s="39"/>
      <c r="Q720" s="39"/>
      <c r="R720" s="39"/>
      <c r="S720" s="39"/>
      <c r="T720" s="39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  <c r="AH720" s="14"/>
      <c r="AI720" s="14"/>
      <c r="AJ720" s="14"/>
      <c r="AK720" s="14"/>
      <c r="AL720" s="14"/>
      <c r="AM720" s="14"/>
      <c r="AN720" s="14"/>
      <c r="AO720" s="14"/>
      <c r="AP720" s="14"/>
    </row>
    <row r="721" spans="1:42" ht="13">
      <c r="A721" s="38"/>
      <c r="B721" s="14"/>
      <c r="C721" s="38"/>
      <c r="D721" s="38"/>
      <c r="E721" s="38"/>
      <c r="F721" s="38"/>
      <c r="G721" s="38"/>
      <c r="H721" s="14"/>
      <c r="I721" s="38"/>
      <c r="J721" s="38"/>
      <c r="K721" s="14"/>
      <c r="L721" s="14"/>
      <c r="M721" s="14"/>
      <c r="N721" s="39"/>
      <c r="O721" s="39"/>
      <c r="P721" s="39"/>
      <c r="Q721" s="39"/>
      <c r="R721" s="39"/>
      <c r="S721" s="39"/>
      <c r="T721" s="39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  <c r="AH721" s="14"/>
      <c r="AI721" s="14"/>
      <c r="AJ721" s="14"/>
      <c r="AK721" s="14"/>
      <c r="AL721" s="14"/>
      <c r="AM721" s="14"/>
      <c r="AN721" s="14"/>
      <c r="AO721" s="14"/>
      <c r="AP721" s="14"/>
    </row>
    <row r="722" spans="1:42" ht="13">
      <c r="A722" s="38"/>
      <c r="B722" s="14"/>
      <c r="C722" s="38"/>
      <c r="D722" s="38"/>
      <c r="E722" s="38"/>
      <c r="F722" s="38"/>
      <c r="G722" s="38"/>
      <c r="H722" s="14"/>
      <c r="I722" s="38"/>
      <c r="J722" s="38"/>
      <c r="K722" s="14"/>
      <c r="L722" s="14"/>
      <c r="M722" s="14"/>
      <c r="N722" s="39"/>
      <c r="O722" s="39"/>
      <c r="P722" s="39"/>
      <c r="Q722" s="39"/>
      <c r="R722" s="39"/>
      <c r="S722" s="39"/>
      <c r="T722" s="39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  <c r="AH722" s="14"/>
      <c r="AI722" s="14"/>
      <c r="AJ722" s="14"/>
      <c r="AK722" s="14"/>
      <c r="AL722" s="14"/>
      <c r="AM722" s="14"/>
      <c r="AN722" s="14"/>
      <c r="AO722" s="14"/>
      <c r="AP722" s="14"/>
    </row>
    <row r="723" spans="1:42" ht="13">
      <c r="A723" s="38"/>
      <c r="B723" s="14"/>
      <c r="C723" s="38"/>
      <c r="D723" s="38"/>
      <c r="E723" s="38"/>
      <c r="F723" s="38"/>
      <c r="G723" s="38"/>
      <c r="H723" s="14"/>
      <c r="I723" s="38"/>
      <c r="J723" s="38"/>
      <c r="K723" s="14"/>
      <c r="L723" s="14"/>
      <c r="M723" s="14"/>
      <c r="N723" s="39"/>
      <c r="O723" s="39"/>
      <c r="P723" s="39"/>
      <c r="Q723" s="39"/>
      <c r="R723" s="39"/>
      <c r="S723" s="39"/>
      <c r="T723" s="39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  <c r="AH723" s="14"/>
      <c r="AI723" s="14"/>
      <c r="AJ723" s="14"/>
      <c r="AK723" s="14"/>
      <c r="AL723" s="14"/>
      <c r="AM723" s="14"/>
      <c r="AN723" s="14"/>
      <c r="AO723" s="14"/>
      <c r="AP723" s="14"/>
    </row>
    <row r="724" spans="1:42" ht="13">
      <c r="A724" s="38"/>
      <c r="B724" s="14"/>
      <c r="C724" s="38"/>
      <c r="D724" s="38"/>
      <c r="E724" s="38"/>
      <c r="F724" s="38"/>
      <c r="G724" s="38"/>
      <c r="H724" s="14"/>
      <c r="I724" s="38"/>
      <c r="J724" s="38"/>
      <c r="K724" s="14"/>
      <c r="L724" s="14"/>
      <c r="M724" s="14"/>
      <c r="N724" s="39"/>
      <c r="O724" s="39"/>
      <c r="P724" s="39"/>
      <c r="Q724" s="39"/>
      <c r="R724" s="39"/>
      <c r="S724" s="39"/>
      <c r="T724" s="39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  <c r="AG724" s="14"/>
      <c r="AH724" s="14"/>
      <c r="AI724" s="14"/>
      <c r="AJ724" s="14"/>
      <c r="AK724" s="14"/>
      <c r="AL724" s="14"/>
      <c r="AM724" s="14"/>
      <c r="AN724" s="14"/>
      <c r="AO724" s="14"/>
      <c r="AP724" s="14"/>
    </row>
    <row r="725" spans="1:42" ht="13">
      <c r="A725" s="38"/>
      <c r="B725" s="14"/>
      <c r="C725" s="38"/>
      <c r="D725" s="38"/>
      <c r="E725" s="38"/>
      <c r="F725" s="38"/>
      <c r="G725" s="38"/>
      <c r="H725" s="14"/>
      <c r="I725" s="38"/>
      <c r="J725" s="38"/>
      <c r="K725" s="14"/>
      <c r="L725" s="14"/>
      <c r="M725" s="14"/>
      <c r="N725" s="39"/>
      <c r="O725" s="39"/>
      <c r="P725" s="39"/>
      <c r="Q725" s="39"/>
      <c r="R725" s="39"/>
      <c r="S725" s="39"/>
      <c r="T725" s="39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  <c r="AH725" s="14"/>
      <c r="AI725" s="14"/>
      <c r="AJ725" s="14"/>
      <c r="AK725" s="14"/>
      <c r="AL725" s="14"/>
      <c r="AM725" s="14"/>
      <c r="AN725" s="14"/>
      <c r="AO725" s="14"/>
      <c r="AP725" s="14"/>
    </row>
    <row r="726" spans="1:42" ht="13">
      <c r="A726" s="38"/>
      <c r="B726" s="14"/>
      <c r="C726" s="38"/>
      <c r="D726" s="38"/>
      <c r="E726" s="38"/>
      <c r="F726" s="38"/>
      <c r="G726" s="38"/>
      <c r="H726" s="14"/>
      <c r="I726" s="38"/>
      <c r="J726" s="38"/>
      <c r="K726" s="14"/>
      <c r="L726" s="14"/>
      <c r="M726" s="14"/>
      <c r="N726" s="39"/>
      <c r="O726" s="39"/>
      <c r="P726" s="39"/>
      <c r="Q726" s="39"/>
      <c r="R726" s="39"/>
      <c r="S726" s="39"/>
      <c r="T726" s="39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  <c r="AG726" s="14"/>
      <c r="AH726" s="14"/>
      <c r="AI726" s="14"/>
      <c r="AJ726" s="14"/>
      <c r="AK726" s="14"/>
      <c r="AL726" s="14"/>
      <c r="AM726" s="14"/>
      <c r="AN726" s="14"/>
      <c r="AO726" s="14"/>
      <c r="AP726" s="14"/>
    </row>
    <row r="727" spans="1:42" ht="13">
      <c r="A727" s="38"/>
      <c r="B727" s="14"/>
      <c r="C727" s="38"/>
      <c r="D727" s="38"/>
      <c r="E727" s="38"/>
      <c r="F727" s="38"/>
      <c r="G727" s="38"/>
      <c r="H727" s="14"/>
      <c r="I727" s="38"/>
      <c r="J727" s="38"/>
      <c r="K727" s="14"/>
      <c r="L727" s="14"/>
      <c r="M727" s="14"/>
      <c r="N727" s="39"/>
      <c r="O727" s="39"/>
      <c r="P727" s="39"/>
      <c r="Q727" s="39"/>
      <c r="R727" s="39"/>
      <c r="S727" s="39"/>
      <c r="T727" s="39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  <c r="AH727" s="14"/>
      <c r="AI727" s="14"/>
      <c r="AJ727" s="14"/>
      <c r="AK727" s="14"/>
      <c r="AL727" s="14"/>
      <c r="AM727" s="14"/>
      <c r="AN727" s="14"/>
      <c r="AO727" s="14"/>
      <c r="AP727" s="14"/>
    </row>
    <row r="728" spans="1:42" ht="13">
      <c r="A728" s="38"/>
      <c r="B728" s="14"/>
      <c r="C728" s="38"/>
      <c r="D728" s="38"/>
      <c r="E728" s="38"/>
      <c r="F728" s="38"/>
      <c r="G728" s="38"/>
      <c r="H728" s="14"/>
      <c r="I728" s="38"/>
      <c r="J728" s="38"/>
      <c r="K728" s="14"/>
      <c r="L728" s="14"/>
      <c r="M728" s="14"/>
      <c r="N728" s="39"/>
      <c r="O728" s="39"/>
      <c r="P728" s="39"/>
      <c r="Q728" s="39"/>
      <c r="R728" s="39"/>
      <c r="S728" s="39"/>
      <c r="T728" s="39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  <c r="AH728" s="14"/>
      <c r="AI728" s="14"/>
      <c r="AJ728" s="14"/>
      <c r="AK728" s="14"/>
      <c r="AL728" s="14"/>
      <c r="AM728" s="14"/>
      <c r="AN728" s="14"/>
      <c r="AO728" s="14"/>
      <c r="AP728" s="14"/>
    </row>
    <row r="729" spans="1:42" ht="13">
      <c r="A729" s="38"/>
      <c r="B729" s="14"/>
      <c r="C729" s="38"/>
      <c r="D729" s="38"/>
      <c r="E729" s="38"/>
      <c r="F729" s="38"/>
      <c r="G729" s="38"/>
      <c r="H729" s="14"/>
      <c r="I729" s="38"/>
      <c r="J729" s="38"/>
      <c r="K729" s="14"/>
      <c r="L729" s="14"/>
      <c r="M729" s="14"/>
      <c r="N729" s="39"/>
      <c r="O729" s="39"/>
      <c r="P729" s="39"/>
      <c r="Q729" s="39"/>
      <c r="R729" s="39"/>
      <c r="S729" s="39"/>
      <c r="T729" s="39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  <c r="AH729" s="14"/>
      <c r="AI729" s="14"/>
      <c r="AJ729" s="14"/>
      <c r="AK729" s="14"/>
      <c r="AL729" s="14"/>
      <c r="AM729" s="14"/>
      <c r="AN729" s="14"/>
      <c r="AO729" s="14"/>
      <c r="AP729" s="14"/>
    </row>
    <row r="730" spans="1:42" ht="13">
      <c r="A730" s="38"/>
      <c r="B730" s="14"/>
      <c r="C730" s="38"/>
      <c r="D730" s="38"/>
      <c r="E730" s="38"/>
      <c r="F730" s="38"/>
      <c r="G730" s="38"/>
      <c r="H730" s="14"/>
      <c r="I730" s="38"/>
      <c r="J730" s="38"/>
      <c r="K730" s="14"/>
      <c r="L730" s="14"/>
      <c r="M730" s="14"/>
      <c r="N730" s="39"/>
      <c r="O730" s="39"/>
      <c r="P730" s="39"/>
      <c r="Q730" s="39"/>
      <c r="R730" s="39"/>
      <c r="S730" s="39"/>
      <c r="T730" s="39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  <c r="AH730" s="14"/>
      <c r="AI730" s="14"/>
      <c r="AJ730" s="14"/>
      <c r="AK730" s="14"/>
      <c r="AL730" s="14"/>
      <c r="AM730" s="14"/>
      <c r="AN730" s="14"/>
      <c r="AO730" s="14"/>
      <c r="AP730" s="14"/>
    </row>
    <row r="731" spans="1:42" ht="13">
      <c r="A731" s="38"/>
      <c r="B731" s="14"/>
      <c r="C731" s="38"/>
      <c r="D731" s="38"/>
      <c r="E731" s="38"/>
      <c r="F731" s="38"/>
      <c r="G731" s="38"/>
      <c r="H731" s="14"/>
      <c r="I731" s="38"/>
      <c r="J731" s="38"/>
      <c r="K731" s="14"/>
      <c r="L731" s="14"/>
      <c r="M731" s="14"/>
      <c r="N731" s="39"/>
      <c r="O731" s="39"/>
      <c r="P731" s="39"/>
      <c r="Q731" s="39"/>
      <c r="R731" s="39"/>
      <c r="S731" s="39"/>
      <c r="T731" s="39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  <c r="AH731" s="14"/>
      <c r="AI731" s="14"/>
      <c r="AJ731" s="14"/>
      <c r="AK731" s="14"/>
      <c r="AL731" s="14"/>
      <c r="AM731" s="14"/>
      <c r="AN731" s="14"/>
      <c r="AO731" s="14"/>
      <c r="AP731" s="14"/>
    </row>
    <row r="732" spans="1:42" ht="13">
      <c r="A732" s="38"/>
      <c r="B732" s="14"/>
      <c r="C732" s="38"/>
      <c r="D732" s="38"/>
      <c r="E732" s="38"/>
      <c r="F732" s="38"/>
      <c r="G732" s="38"/>
      <c r="H732" s="14"/>
      <c r="I732" s="38"/>
      <c r="J732" s="38"/>
      <c r="K732" s="14"/>
      <c r="L732" s="14"/>
      <c r="M732" s="14"/>
      <c r="N732" s="39"/>
      <c r="O732" s="39"/>
      <c r="P732" s="39"/>
      <c r="Q732" s="39"/>
      <c r="R732" s="39"/>
      <c r="S732" s="39"/>
      <c r="T732" s="39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  <c r="AG732" s="14"/>
      <c r="AH732" s="14"/>
      <c r="AI732" s="14"/>
      <c r="AJ732" s="14"/>
      <c r="AK732" s="14"/>
      <c r="AL732" s="14"/>
      <c r="AM732" s="14"/>
      <c r="AN732" s="14"/>
      <c r="AO732" s="14"/>
      <c r="AP732" s="14"/>
    </row>
    <row r="733" spans="1:42" ht="13">
      <c r="A733" s="38"/>
      <c r="B733" s="14"/>
      <c r="C733" s="38"/>
      <c r="D733" s="38"/>
      <c r="E733" s="38"/>
      <c r="F733" s="38"/>
      <c r="G733" s="38"/>
      <c r="H733" s="14"/>
      <c r="I733" s="38"/>
      <c r="J733" s="38"/>
      <c r="K733" s="14"/>
      <c r="L733" s="14"/>
      <c r="M733" s="14"/>
      <c r="N733" s="39"/>
      <c r="O733" s="39"/>
      <c r="P733" s="39"/>
      <c r="Q733" s="39"/>
      <c r="R733" s="39"/>
      <c r="S733" s="39"/>
      <c r="T733" s="39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  <c r="AH733" s="14"/>
      <c r="AI733" s="14"/>
      <c r="AJ733" s="14"/>
      <c r="AK733" s="14"/>
      <c r="AL733" s="14"/>
      <c r="AM733" s="14"/>
      <c r="AN733" s="14"/>
      <c r="AO733" s="14"/>
      <c r="AP733" s="14"/>
    </row>
    <row r="734" spans="1:42" ht="13">
      <c r="A734" s="38"/>
      <c r="B734" s="14"/>
      <c r="C734" s="38"/>
      <c r="D734" s="38"/>
      <c r="E734" s="38"/>
      <c r="F734" s="38"/>
      <c r="G734" s="38"/>
      <c r="H734" s="14"/>
      <c r="I734" s="38"/>
      <c r="J734" s="38"/>
      <c r="K734" s="14"/>
      <c r="L734" s="14"/>
      <c r="M734" s="14"/>
      <c r="N734" s="39"/>
      <c r="O734" s="39"/>
      <c r="P734" s="39"/>
      <c r="Q734" s="39"/>
      <c r="R734" s="39"/>
      <c r="S734" s="39"/>
      <c r="T734" s="39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  <c r="AH734" s="14"/>
      <c r="AI734" s="14"/>
      <c r="AJ734" s="14"/>
      <c r="AK734" s="14"/>
      <c r="AL734" s="14"/>
      <c r="AM734" s="14"/>
      <c r="AN734" s="14"/>
      <c r="AO734" s="14"/>
      <c r="AP734" s="14"/>
    </row>
    <row r="735" spans="1:42" ht="13">
      <c r="A735" s="38"/>
      <c r="B735" s="14"/>
      <c r="C735" s="38"/>
      <c r="D735" s="38"/>
      <c r="E735" s="38"/>
      <c r="F735" s="38"/>
      <c r="G735" s="38"/>
      <c r="H735" s="14"/>
      <c r="I735" s="38"/>
      <c r="J735" s="38"/>
      <c r="K735" s="14"/>
      <c r="L735" s="14"/>
      <c r="M735" s="14"/>
      <c r="N735" s="39"/>
      <c r="O735" s="39"/>
      <c r="P735" s="39"/>
      <c r="Q735" s="39"/>
      <c r="R735" s="39"/>
      <c r="S735" s="39"/>
      <c r="T735" s="39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  <c r="AH735" s="14"/>
      <c r="AI735" s="14"/>
      <c r="AJ735" s="14"/>
      <c r="AK735" s="14"/>
      <c r="AL735" s="14"/>
      <c r="AM735" s="14"/>
      <c r="AN735" s="14"/>
      <c r="AO735" s="14"/>
      <c r="AP735" s="14"/>
    </row>
    <row r="736" spans="1:42" ht="13">
      <c r="A736" s="38"/>
      <c r="B736" s="14"/>
      <c r="C736" s="38"/>
      <c r="D736" s="38"/>
      <c r="E736" s="38"/>
      <c r="F736" s="38"/>
      <c r="G736" s="38"/>
      <c r="H736" s="14"/>
      <c r="I736" s="38"/>
      <c r="J736" s="38"/>
      <c r="K736" s="14"/>
      <c r="L736" s="14"/>
      <c r="M736" s="14"/>
      <c r="N736" s="39"/>
      <c r="O736" s="39"/>
      <c r="P736" s="39"/>
      <c r="Q736" s="39"/>
      <c r="R736" s="39"/>
      <c r="S736" s="39"/>
      <c r="T736" s="39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  <c r="AH736" s="14"/>
      <c r="AI736" s="14"/>
      <c r="AJ736" s="14"/>
      <c r="AK736" s="14"/>
      <c r="AL736" s="14"/>
      <c r="AM736" s="14"/>
      <c r="AN736" s="14"/>
      <c r="AO736" s="14"/>
      <c r="AP736" s="14"/>
    </row>
    <row r="737" spans="1:42" ht="13">
      <c r="A737" s="38"/>
      <c r="B737" s="14"/>
      <c r="C737" s="38"/>
      <c r="D737" s="38"/>
      <c r="E737" s="38"/>
      <c r="F737" s="38"/>
      <c r="G737" s="38"/>
      <c r="H737" s="14"/>
      <c r="I737" s="38"/>
      <c r="J737" s="38"/>
      <c r="K737" s="14"/>
      <c r="L737" s="14"/>
      <c r="M737" s="14"/>
      <c r="N737" s="39"/>
      <c r="O737" s="39"/>
      <c r="P737" s="39"/>
      <c r="Q737" s="39"/>
      <c r="R737" s="39"/>
      <c r="S737" s="39"/>
      <c r="T737" s="39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  <c r="AH737" s="14"/>
      <c r="AI737" s="14"/>
      <c r="AJ737" s="14"/>
      <c r="AK737" s="14"/>
      <c r="AL737" s="14"/>
      <c r="AM737" s="14"/>
      <c r="AN737" s="14"/>
      <c r="AO737" s="14"/>
      <c r="AP737" s="14"/>
    </row>
    <row r="738" spans="1:42" ht="13">
      <c r="A738" s="38"/>
      <c r="B738" s="14"/>
      <c r="C738" s="38"/>
      <c r="D738" s="38"/>
      <c r="E738" s="38"/>
      <c r="F738" s="38"/>
      <c r="G738" s="38"/>
      <c r="H738" s="14"/>
      <c r="I738" s="38"/>
      <c r="J738" s="38"/>
      <c r="K738" s="14"/>
      <c r="L738" s="14"/>
      <c r="M738" s="14"/>
      <c r="N738" s="39"/>
      <c r="O738" s="39"/>
      <c r="P738" s="39"/>
      <c r="Q738" s="39"/>
      <c r="R738" s="39"/>
      <c r="S738" s="39"/>
      <c r="T738" s="39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  <c r="AH738" s="14"/>
      <c r="AI738" s="14"/>
      <c r="AJ738" s="14"/>
      <c r="AK738" s="14"/>
      <c r="AL738" s="14"/>
      <c r="AM738" s="14"/>
      <c r="AN738" s="14"/>
      <c r="AO738" s="14"/>
      <c r="AP738" s="14"/>
    </row>
    <row r="739" spans="1:42" ht="13">
      <c r="A739" s="38"/>
      <c r="B739" s="14"/>
      <c r="C739" s="38"/>
      <c r="D739" s="38"/>
      <c r="E739" s="38"/>
      <c r="F739" s="38"/>
      <c r="G739" s="38"/>
      <c r="H739" s="14"/>
      <c r="I739" s="38"/>
      <c r="J739" s="38"/>
      <c r="K739" s="14"/>
      <c r="L739" s="14"/>
      <c r="M739" s="14"/>
      <c r="N739" s="39"/>
      <c r="O739" s="39"/>
      <c r="P739" s="39"/>
      <c r="Q739" s="39"/>
      <c r="R739" s="39"/>
      <c r="S739" s="39"/>
      <c r="T739" s="39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  <c r="AH739" s="14"/>
      <c r="AI739" s="14"/>
      <c r="AJ739" s="14"/>
      <c r="AK739" s="14"/>
      <c r="AL739" s="14"/>
      <c r="AM739" s="14"/>
      <c r="AN739" s="14"/>
      <c r="AO739" s="14"/>
      <c r="AP739" s="14"/>
    </row>
    <row r="740" spans="1:42" ht="13">
      <c r="A740" s="38"/>
      <c r="B740" s="14"/>
      <c r="C740" s="38"/>
      <c r="D740" s="38"/>
      <c r="E740" s="38"/>
      <c r="F740" s="38"/>
      <c r="G740" s="38"/>
      <c r="H740" s="14"/>
      <c r="I740" s="38"/>
      <c r="J740" s="38"/>
      <c r="K740" s="14"/>
      <c r="L740" s="14"/>
      <c r="M740" s="14"/>
      <c r="N740" s="39"/>
      <c r="O740" s="39"/>
      <c r="P740" s="39"/>
      <c r="Q740" s="39"/>
      <c r="R740" s="39"/>
      <c r="S740" s="39"/>
      <c r="T740" s="39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  <c r="AH740" s="14"/>
      <c r="AI740" s="14"/>
      <c r="AJ740" s="14"/>
      <c r="AK740" s="14"/>
      <c r="AL740" s="14"/>
      <c r="AM740" s="14"/>
      <c r="AN740" s="14"/>
      <c r="AO740" s="14"/>
      <c r="AP740" s="14"/>
    </row>
    <row r="741" spans="1:42" ht="13">
      <c r="A741" s="38"/>
      <c r="B741" s="14"/>
      <c r="C741" s="38"/>
      <c r="D741" s="38"/>
      <c r="E741" s="38"/>
      <c r="F741" s="38"/>
      <c r="G741" s="38"/>
      <c r="H741" s="14"/>
      <c r="I741" s="38"/>
      <c r="J741" s="38"/>
      <c r="K741" s="14"/>
      <c r="L741" s="14"/>
      <c r="M741" s="14"/>
      <c r="N741" s="39"/>
      <c r="O741" s="39"/>
      <c r="P741" s="39"/>
      <c r="Q741" s="39"/>
      <c r="R741" s="39"/>
      <c r="S741" s="39"/>
      <c r="T741" s="39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  <c r="AH741" s="14"/>
      <c r="AI741" s="14"/>
      <c r="AJ741" s="14"/>
      <c r="AK741" s="14"/>
      <c r="AL741" s="14"/>
      <c r="AM741" s="14"/>
      <c r="AN741" s="14"/>
      <c r="AO741" s="14"/>
      <c r="AP741" s="14"/>
    </row>
    <row r="742" spans="1:42" ht="13">
      <c r="A742" s="38"/>
      <c r="B742" s="14"/>
      <c r="C742" s="38"/>
      <c r="D742" s="38"/>
      <c r="E742" s="38"/>
      <c r="F742" s="38"/>
      <c r="G742" s="38"/>
      <c r="H742" s="14"/>
      <c r="I742" s="38"/>
      <c r="J742" s="38"/>
      <c r="K742" s="14"/>
      <c r="L742" s="14"/>
      <c r="M742" s="14"/>
      <c r="N742" s="39"/>
      <c r="O742" s="39"/>
      <c r="P742" s="39"/>
      <c r="Q742" s="39"/>
      <c r="R742" s="39"/>
      <c r="S742" s="39"/>
      <c r="T742" s="39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  <c r="AH742" s="14"/>
      <c r="AI742" s="14"/>
      <c r="AJ742" s="14"/>
      <c r="AK742" s="14"/>
      <c r="AL742" s="14"/>
      <c r="AM742" s="14"/>
      <c r="AN742" s="14"/>
      <c r="AO742" s="14"/>
      <c r="AP742" s="14"/>
    </row>
    <row r="743" spans="1:42" ht="13">
      <c r="A743" s="38"/>
      <c r="B743" s="14"/>
      <c r="C743" s="38"/>
      <c r="D743" s="38"/>
      <c r="E743" s="38"/>
      <c r="F743" s="38"/>
      <c r="G743" s="38"/>
      <c r="H743" s="14"/>
      <c r="I743" s="38"/>
      <c r="J743" s="38"/>
      <c r="K743" s="14"/>
      <c r="L743" s="14"/>
      <c r="M743" s="14"/>
      <c r="N743" s="39"/>
      <c r="O743" s="39"/>
      <c r="P743" s="39"/>
      <c r="Q743" s="39"/>
      <c r="R743" s="39"/>
      <c r="S743" s="39"/>
      <c r="T743" s="39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  <c r="AH743" s="14"/>
      <c r="AI743" s="14"/>
      <c r="AJ743" s="14"/>
      <c r="AK743" s="14"/>
      <c r="AL743" s="14"/>
      <c r="AM743" s="14"/>
      <c r="AN743" s="14"/>
      <c r="AO743" s="14"/>
      <c r="AP743" s="14"/>
    </row>
    <row r="744" spans="1:42" ht="13">
      <c r="A744" s="38"/>
      <c r="B744" s="14"/>
      <c r="C744" s="38"/>
      <c r="D744" s="38"/>
      <c r="E744" s="38"/>
      <c r="F744" s="38"/>
      <c r="G744" s="38"/>
      <c r="H744" s="14"/>
      <c r="I744" s="38"/>
      <c r="J744" s="38"/>
      <c r="K744" s="14"/>
      <c r="L744" s="14"/>
      <c r="M744" s="14"/>
      <c r="N744" s="39"/>
      <c r="O744" s="39"/>
      <c r="P744" s="39"/>
      <c r="Q744" s="39"/>
      <c r="R744" s="39"/>
      <c r="S744" s="39"/>
      <c r="T744" s="39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  <c r="AH744" s="14"/>
      <c r="AI744" s="14"/>
      <c r="AJ744" s="14"/>
      <c r="AK744" s="14"/>
      <c r="AL744" s="14"/>
      <c r="AM744" s="14"/>
      <c r="AN744" s="14"/>
      <c r="AO744" s="14"/>
      <c r="AP744" s="14"/>
    </row>
    <row r="745" spans="1:42" ht="13">
      <c r="A745" s="38"/>
      <c r="B745" s="14"/>
      <c r="C745" s="38"/>
      <c r="D745" s="38"/>
      <c r="E745" s="38"/>
      <c r="F745" s="38"/>
      <c r="G745" s="38"/>
      <c r="H745" s="14"/>
      <c r="I745" s="38"/>
      <c r="J745" s="38"/>
      <c r="K745" s="14"/>
      <c r="L745" s="14"/>
      <c r="M745" s="14"/>
      <c r="N745" s="39"/>
      <c r="O745" s="39"/>
      <c r="P745" s="39"/>
      <c r="Q745" s="39"/>
      <c r="R745" s="39"/>
      <c r="S745" s="39"/>
      <c r="T745" s="39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  <c r="AH745" s="14"/>
      <c r="AI745" s="14"/>
      <c r="AJ745" s="14"/>
      <c r="AK745" s="14"/>
      <c r="AL745" s="14"/>
      <c r="AM745" s="14"/>
      <c r="AN745" s="14"/>
      <c r="AO745" s="14"/>
      <c r="AP745" s="14"/>
    </row>
    <row r="746" spans="1:42" ht="13">
      <c r="A746" s="38"/>
      <c r="B746" s="14"/>
      <c r="C746" s="38"/>
      <c r="D746" s="38"/>
      <c r="E746" s="38"/>
      <c r="F746" s="38"/>
      <c r="G746" s="38"/>
      <c r="H746" s="14"/>
      <c r="I746" s="38"/>
      <c r="J746" s="38"/>
      <c r="K746" s="14"/>
      <c r="L746" s="14"/>
      <c r="M746" s="14"/>
      <c r="N746" s="39"/>
      <c r="O746" s="39"/>
      <c r="P746" s="39"/>
      <c r="Q746" s="39"/>
      <c r="R746" s="39"/>
      <c r="S746" s="39"/>
      <c r="T746" s="39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  <c r="AG746" s="14"/>
      <c r="AH746" s="14"/>
      <c r="AI746" s="14"/>
      <c r="AJ746" s="14"/>
      <c r="AK746" s="14"/>
      <c r="AL746" s="14"/>
      <c r="AM746" s="14"/>
      <c r="AN746" s="14"/>
      <c r="AO746" s="14"/>
      <c r="AP746" s="14"/>
    </row>
    <row r="747" spans="1:42" ht="13">
      <c r="A747" s="38"/>
      <c r="B747" s="14"/>
      <c r="C747" s="38"/>
      <c r="D747" s="38"/>
      <c r="E747" s="38"/>
      <c r="F747" s="38"/>
      <c r="G747" s="38"/>
      <c r="H747" s="14"/>
      <c r="I747" s="38"/>
      <c r="J747" s="38"/>
      <c r="K747" s="14"/>
      <c r="L747" s="14"/>
      <c r="M747" s="14"/>
      <c r="N747" s="39"/>
      <c r="O747" s="39"/>
      <c r="P747" s="39"/>
      <c r="Q747" s="39"/>
      <c r="R747" s="39"/>
      <c r="S747" s="39"/>
      <c r="T747" s="39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  <c r="AH747" s="14"/>
      <c r="AI747" s="14"/>
      <c r="AJ747" s="14"/>
      <c r="AK747" s="14"/>
      <c r="AL747" s="14"/>
      <c r="AM747" s="14"/>
      <c r="AN747" s="14"/>
      <c r="AO747" s="14"/>
      <c r="AP747" s="14"/>
    </row>
    <row r="748" spans="1:42" ht="13">
      <c r="A748" s="38"/>
      <c r="B748" s="14"/>
      <c r="C748" s="38"/>
      <c r="D748" s="38"/>
      <c r="E748" s="38"/>
      <c r="F748" s="38"/>
      <c r="G748" s="38"/>
      <c r="H748" s="14"/>
      <c r="I748" s="38"/>
      <c r="J748" s="38"/>
      <c r="K748" s="14"/>
      <c r="L748" s="14"/>
      <c r="M748" s="14"/>
      <c r="N748" s="39"/>
      <c r="O748" s="39"/>
      <c r="P748" s="39"/>
      <c r="Q748" s="39"/>
      <c r="R748" s="39"/>
      <c r="S748" s="39"/>
      <c r="T748" s="39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  <c r="AG748" s="14"/>
      <c r="AH748" s="14"/>
      <c r="AI748" s="14"/>
      <c r="AJ748" s="14"/>
      <c r="AK748" s="14"/>
      <c r="AL748" s="14"/>
      <c r="AM748" s="14"/>
      <c r="AN748" s="14"/>
      <c r="AO748" s="14"/>
      <c r="AP748" s="14"/>
    </row>
    <row r="749" spans="1:42" ht="13">
      <c r="A749" s="38"/>
      <c r="B749" s="14"/>
      <c r="C749" s="38"/>
      <c r="D749" s="38"/>
      <c r="E749" s="38"/>
      <c r="F749" s="38"/>
      <c r="G749" s="38"/>
      <c r="H749" s="14"/>
      <c r="I749" s="38"/>
      <c r="J749" s="38"/>
      <c r="K749" s="14"/>
      <c r="L749" s="14"/>
      <c r="M749" s="14"/>
      <c r="N749" s="39"/>
      <c r="O749" s="39"/>
      <c r="P749" s="39"/>
      <c r="Q749" s="39"/>
      <c r="R749" s="39"/>
      <c r="S749" s="39"/>
      <c r="T749" s="39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  <c r="AH749" s="14"/>
      <c r="AI749" s="14"/>
      <c r="AJ749" s="14"/>
      <c r="AK749" s="14"/>
      <c r="AL749" s="14"/>
      <c r="AM749" s="14"/>
      <c r="AN749" s="14"/>
      <c r="AO749" s="14"/>
      <c r="AP749" s="14"/>
    </row>
    <row r="750" spans="1:42" ht="13">
      <c r="A750" s="38"/>
      <c r="B750" s="14"/>
      <c r="C750" s="38"/>
      <c r="D750" s="38"/>
      <c r="E750" s="38"/>
      <c r="F750" s="38"/>
      <c r="G750" s="38"/>
      <c r="H750" s="14"/>
      <c r="I750" s="38"/>
      <c r="J750" s="38"/>
      <c r="K750" s="14"/>
      <c r="L750" s="14"/>
      <c r="M750" s="14"/>
      <c r="N750" s="39"/>
      <c r="O750" s="39"/>
      <c r="P750" s="39"/>
      <c r="Q750" s="39"/>
      <c r="R750" s="39"/>
      <c r="S750" s="39"/>
      <c r="T750" s="39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  <c r="AF750" s="14"/>
      <c r="AG750" s="14"/>
      <c r="AH750" s="14"/>
      <c r="AI750" s="14"/>
      <c r="AJ750" s="14"/>
      <c r="AK750" s="14"/>
      <c r="AL750" s="14"/>
      <c r="AM750" s="14"/>
      <c r="AN750" s="14"/>
      <c r="AO750" s="14"/>
      <c r="AP750" s="14"/>
    </row>
    <row r="751" spans="1:42" ht="13">
      <c r="A751" s="38"/>
      <c r="B751" s="14"/>
      <c r="C751" s="38"/>
      <c r="D751" s="38"/>
      <c r="E751" s="38"/>
      <c r="F751" s="38"/>
      <c r="G751" s="38"/>
      <c r="H751" s="14"/>
      <c r="I751" s="38"/>
      <c r="J751" s="38"/>
      <c r="K751" s="14"/>
      <c r="L751" s="14"/>
      <c r="M751" s="14"/>
      <c r="N751" s="39"/>
      <c r="O751" s="39"/>
      <c r="P751" s="39"/>
      <c r="Q751" s="39"/>
      <c r="R751" s="39"/>
      <c r="S751" s="39"/>
      <c r="T751" s="39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  <c r="AH751" s="14"/>
      <c r="AI751" s="14"/>
      <c r="AJ751" s="14"/>
      <c r="AK751" s="14"/>
      <c r="AL751" s="14"/>
      <c r="AM751" s="14"/>
      <c r="AN751" s="14"/>
      <c r="AO751" s="14"/>
      <c r="AP751" s="14"/>
    </row>
    <row r="752" spans="1:42" ht="13">
      <c r="A752" s="38"/>
      <c r="B752" s="14"/>
      <c r="C752" s="38"/>
      <c r="D752" s="38"/>
      <c r="E752" s="38"/>
      <c r="F752" s="38"/>
      <c r="G752" s="38"/>
      <c r="H752" s="14"/>
      <c r="I752" s="38"/>
      <c r="J752" s="38"/>
      <c r="K752" s="14"/>
      <c r="L752" s="14"/>
      <c r="M752" s="14"/>
      <c r="N752" s="39"/>
      <c r="O752" s="39"/>
      <c r="P752" s="39"/>
      <c r="Q752" s="39"/>
      <c r="R752" s="39"/>
      <c r="S752" s="39"/>
      <c r="T752" s="39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  <c r="AH752" s="14"/>
      <c r="AI752" s="14"/>
      <c r="AJ752" s="14"/>
      <c r="AK752" s="14"/>
      <c r="AL752" s="14"/>
      <c r="AM752" s="14"/>
      <c r="AN752" s="14"/>
      <c r="AO752" s="14"/>
      <c r="AP752" s="14"/>
    </row>
    <row r="753" spans="1:42" ht="13">
      <c r="A753" s="38"/>
      <c r="B753" s="14"/>
      <c r="C753" s="38"/>
      <c r="D753" s="38"/>
      <c r="E753" s="38"/>
      <c r="F753" s="38"/>
      <c r="G753" s="38"/>
      <c r="H753" s="14"/>
      <c r="I753" s="38"/>
      <c r="J753" s="38"/>
      <c r="K753" s="14"/>
      <c r="L753" s="14"/>
      <c r="M753" s="14"/>
      <c r="N753" s="39"/>
      <c r="O753" s="39"/>
      <c r="P753" s="39"/>
      <c r="Q753" s="39"/>
      <c r="R753" s="39"/>
      <c r="S753" s="39"/>
      <c r="T753" s="39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  <c r="AH753" s="14"/>
      <c r="AI753" s="14"/>
      <c r="AJ753" s="14"/>
      <c r="AK753" s="14"/>
      <c r="AL753" s="14"/>
      <c r="AM753" s="14"/>
      <c r="AN753" s="14"/>
      <c r="AO753" s="14"/>
      <c r="AP753" s="14"/>
    </row>
    <row r="754" spans="1:42" ht="13">
      <c r="A754" s="38"/>
      <c r="B754" s="14"/>
      <c r="C754" s="38"/>
      <c r="D754" s="38"/>
      <c r="E754" s="38"/>
      <c r="F754" s="38"/>
      <c r="G754" s="38"/>
      <c r="H754" s="14"/>
      <c r="I754" s="38"/>
      <c r="J754" s="38"/>
      <c r="K754" s="14"/>
      <c r="L754" s="14"/>
      <c r="M754" s="14"/>
      <c r="N754" s="39"/>
      <c r="O754" s="39"/>
      <c r="P754" s="39"/>
      <c r="Q754" s="39"/>
      <c r="R754" s="39"/>
      <c r="S754" s="39"/>
      <c r="T754" s="39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  <c r="AH754" s="14"/>
      <c r="AI754" s="14"/>
      <c r="AJ754" s="14"/>
      <c r="AK754" s="14"/>
      <c r="AL754" s="14"/>
      <c r="AM754" s="14"/>
      <c r="AN754" s="14"/>
      <c r="AO754" s="14"/>
      <c r="AP754" s="14"/>
    </row>
    <row r="755" spans="1:42" ht="13">
      <c r="A755" s="38"/>
      <c r="B755" s="14"/>
      <c r="C755" s="38"/>
      <c r="D755" s="38"/>
      <c r="E755" s="38"/>
      <c r="F755" s="38"/>
      <c r="G755" s="38"/>
      <c r="H755" s="14"/>
      <c r="I755" s="38"/>
      <c r="J755" s="38"/>
      <c r="K755" s="14"/>
      <c r="L755" s="14"/>
      <c r="M755" s="14"/>
      <c r="N755" s="39"/>
      <c r="O755" s="39"/>
      <c r="P755" s="39"/>
      <c r="Q755" s="39"/>
      <c r="R755" s="39"/>
      <c r="S755" s="39"/>
      <c r="T755" s="39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  <c r="AH755" s="14"/>
      <c r="AI755" s="14"/>
      <c r="AJ755" s="14"/>
      <c r="AK755" s="14"/>
      <c r="AL755" s="14"/>
      <c r="AM755" s="14"/>
      <c r="AN755" s="14"/>
      <c r="AO755" s="14"/>
      <c r="AP755" s="14"/>
    </row>
    <row r="756" spans="1:42" ht="13">
      <c r="A756" s="38"/>
      <c r="B756" s="14"/>
      <c r="C756" s="38"/>
      <c r="D756" s="38"/>
      <c r="E756" s="38"/>
      <c r="F756" s="38"/>
      <c r="G756" s="38"/>
      <c r="H756" s="14"/>
      <c r="I756" s="38"/>
      <c r="J756" s="38"/>
      <c r="K756" s="14"/>
      <c r="L756" s="14"/>
      <c r="M756" s="14"/>
      <c r="N756" s="39"/>
      <c r="O756" s="39"/>
      <c r="P756" s="39"/>
      <c r="Q756" s="39"/>
      <c r="R756" s="39"/>
      <c r="S756" s="39"/>
      <c r="T756" s="39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  <c r="AH756" s="14"/>
      <c r="AI756" s="14"/>
      <c r="AJ756" s="14"/>
      <c r="AK756" s="14"/>
      <c r="AL756" s="14"/>
      <c r="AM756" s="14"/>
      <c r="AN756" s="14"/>
      <c r="AO756" s="14"/>
      <c r="AP756" s="14"/>
    </row>
    <row r="757" spans="1:42" ht="13">
      <c r="A757" s="38"/>
      <c r="B757" s="14"/>
      <c r="C757" s="38"/>
      <c r="D757" s="38"/>
      <c r="E757" s="38"/>
      <c r="F757" s="38"/>
      <c r="G757" s="38"/>
      <c r="H757" s="14"/>
      <c r="I757" s="38"/>
      <c r="J757" s="38"/>
      <c r="K757" s="14"/>
      <c r="L757" s="14"/>
      <c r="M757" s="14"/>
      <c r="N757" s="39"/>
      <c r="O757" s="39"/>
      <c r="P757" s="39"/>
      <c r="Q757" s="39"/>
      <c r="R757" s="39"/>
      <c r="S757" s="39"/>
      <c r="T757" s="39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  <c r="AH757" s="14"/>
      <c r="AI757" s="14"/>
      <c r="AJ757" s="14"/>
      <c r="AK757" s="14"/>
      <c r="AL757" s="14"/>
      <c r="AM757" s="14"/>
      <c r="AN757" s="14"/>
      <c r="AO757" s="14"/>
      <c r="AP757" s="14"/>
    </row>
    <row r="758" spans="1:42" ht="13">
      <c r="A758" s="38"/>
      <c r="B758" s="14"/>
      <c r="C758" s="38"/>
      <c r="D758" s="38"/>
      <c r="E758" s="38"/>
      <c r="F758" s="38"/>
      <c r="G758" s="38"/>
      <c r="H758" s="14"/>
      <c r="I758" s="38"/>
      <c r="J758" s="38"/>
      <c r="K758" s="14"/>
      <c r="L758" s="14"/>
      <c r="M758" s="14"/>
      <c r="N758" s="39"/>
      <c r="O758" s="39"/>
      <c r="P758" s="39"/>
      <c r="Q758" s="39"/>
      <c r="R758" s="39"/>
      <c r="S758" s="39"/>
      <c r="T758" s="39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  <c r="AH758" s="14"/>
      <c r="AI758" s="14"/>
      <c r="AJ758" s="14"/>
      <c r="AK758" s="14"/>
      <c r="AL758" s="14"/>
      <c r="AM758" s="14"/>
      <c r="AN758" s="14"/>
      <c r="AO758" s="14"/>
      <c r="AP758" s="14"/>
    </row>
    <row r="759" spans="1:42" ht="13">
      <c r="A759" s="38"/>
      <c r="B759" s="14"/>
      <c r="C759" s="38"/>
      <c r="D759" s="38"/>
      <c r="E759" s="38"/>
      <c r="F759" s="38"/>
      <c r="G759" s="38"/>
      <c r="H759" s="14"/>
      <c r="I759" s="38"/>
      <c r="J759" s="38"/>
      <c r="K759" s="14"/>
      <c r="L759" s="14"/>
      <c r="M759" s="14"/>
      <c r="N759" s="39"/>
      <c r="O759" s="39"/>
      <c r="P759" s="39"/>
      <c r="Q759" s="39"/>
      <c r="R759" s="39"/>
      <c r="S759" s="39"/>
      <c r="T759" s="39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  <c r="AH759" s="14"/>
      <c r="AI759" s="14"/>
      <c r="AJ759" s="14"/>
      <c r="AK759" s="14"/>
      <c r="AL759" s="14"/>
      <c r="AM759" s="14"/>
      <c r="AN759" s="14"/>
      <c r="AO759" s="14"/>
      <c r="AP759" s="14"/>
    </row>
    <row r="760" spans="1:42" ht="13">
      <c r="A760" s="38"/>
      <c r="B760" s="14"/>
      <c r="C760" s="38"/>
      <c r="D760" s="38"/>
      <c r="E760" s="38"/>
      <c r="F760" s="38"/>
      <c r="G760" s="38"/>
      <c r="H760" s="14"/>
      <c r="I760" s="38"/>
      <c r="J760" s="38"/>
      <c r="K760" s="14"/>
      <c r="L760" s="14"/>
      <c r="M760" s="14"/>
      <c r="N760" s="39"/>
      <c r="O760" s="39"/>
      <c r="P760" s="39"/>
      <c r="Q760" s="39"/>
      <c r="R760" s="39"/>
      <c r="S760" s="39"/>
      <c r="T760" s="39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  <c r="AH760" s="14"/>
      <c r="AI760" s="14"/>
      <c r="AJ760" s="14"/>
      <c r="AK760" s="14"/>
      <c r="AL760" s="14"/>
      <c r="AM760" s="14"/>
      <c r="AN760" s="14"/>
      <c r="AO760" s="14"/>
      <c r="AP760" s="14"/>
    </row>
    <row r="761" spans="1:42" ht="13">
      <c r="A761" s="38"/>
      <c r="B761" s="14"/>
      <c r="C761" s="38"/>
      <c r="D761" s="38"/>
      <c r="E761" s="38"/>
      <c r="F761" s="38"/>
      <c r="G761" s="38"/>
      <c r="H761" s="14"/>
      <c r="I761" s="38"/>
      <c r="J761" s="38"/>
      <c r="K761" s="14"/>
      <c r="L761" s="14"/>
      <c r="M761" s="14"/>
      <c r="N761" s="39"/>
      <c r="O761" s="39"/>
      <c r="P761" s="39"/>
      <c r="Q761" s="39"/>
      <c r="R761" s="39"/>
      <c r="S761" s="39"/>
      <c r="T761" s="39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  <c r="AH761" s="14"/>
      <c r="AI761" s="14"/>
      <c r="AJ761" s="14"/>
      <c r="AK761" s="14"/>
      <c r="AL761" s="14"/>
      <c r="AM761" s="14"/>
      <c r="AN761" s="14"/>
      <c r="AO761" s="14"/>
      <c r="AP761" s="14"/>
    </row>
    <row r="762" spans="1:42" ht="13">
      <c r="A762" s="38"/>
      <c r="B762" s="14"/>
      <c r="C762" s="38"/>
      <c r="D762" s="38"/>
      <c r="E762" s="38"/>
      <c r="F762" s="38"/>
      <c r="G762" s="38"/>
      <c r="H762" s="14"/>
      <c r="I762" s="38"/>
      <c r="J762" s="38"/>
      <c r="K762" s="14"/>
      <c r="L762" s="14"/>
      <c r="M762" s="14"/>
      <c r="N762" s="39"/>
      <c r="O762" s="39"/>
      <c r="P762" s="39"/>
      <c r="Q762" s="39"/>
      <c r="R762" s="39"/>
      <c r="S762" s="39"/>
      <c r="T762" s="39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  <c r="AH762" s="14"/>
      <c r="AI762" s="14"/>
      <c r="AJ762" s="14"/>
      <c r="AK762" s="14"/>
      <c r="AL762" s="14"/>
      <c r="AM762" s="14"/>
      <c r="AN762" s="14"/>
      <c r="AO762" s="14"/>
      <c r="AP762" s="14"/>
    </row>
    <row r="763" spans="1:42" ht="13">
      <c r="A763" s="38"/>
      <c r="B763" s="14"/>
      <c r="C763" s="38"/>
      <c r="D763" s="38"/>
      <c r="E763" s="38"/>
      <c r="F763" s="38"/>
      <c r="G763" s="38"/>
      <c r="H763" s="14"/>
      <c r="I763" s="38"/>
      <c r="J763" s="38"/>
      <c r="K763" s="14"/>
      <c r="L763" s="14"/>
      <c r="M763" s="14"/>
      <c r="N763" s="39"/>
      <c r="O763" s="39"/>
      <c r="P763" s="39"/>
      <c r="Q763" s="39"/>
      <c r="R763" s="39"/>
      <c r="S763" s="39"/>
      <c r="T763" s="39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  <c r="AH763" s="14"/>
      <c r="AI763" s="14"/>
      <c r="AJ763" s="14"/>
      <c r="AK763" s="14"/>
      <c r="AL763" s="14"/>
      <c r="AM763" s="14"/>
      <c r="AN763" s="14"/>
      <c r="AO763" s="14"/>
      <c r="AP763" s="14"/>
    </row>
    <row r="764" spans="1:42" ht="13">
      <c r="A764" s="38"/>
      <c r="B764" s="14"/>
      <c r="C764" s="38"/>
      <c r="D764" s="38"/>
      <c r="E764" s="38"/>
      <c r="F764" s="38"/>
      <c r="G764" s="38"/>
      <c r="H764" s="14"/>
      <c r="I764" s="38"/>
      <c r="J764" s="38"/>
      <c r="K764" s="14"/>
      <c r="L764" s="14"/>
      <c r="M764" s="14"/>
      <c r="N764" s="39"/>
      <c r="O764" s="39"/>
      <c r="P764" s="39"/>
      <c r="Q764" s="39"/>
      <c r="R764" s="39"/>
      <c r="S764" s="39"/>
      <c r="T764" s="39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  <c r="AH764" s="14"/>
      <c r="AI764" s="14"/>
      <c r="AJ764" s="14"/>
      <c r="AK764" s="14"/>
      <c r="AL764" s="14"/>
      <c r="AM764" s="14"/>
      <c r="AN764" s="14"/>
      <c r="AO764" s="14"/>
      <c r="AP764" s="14"/>
    </row>
    <row r="765" spans="1:42" ht="13">
      <c r="A765" s="38"/>
      <c r="B765" s="14"/>
      <c r="C765" s="38"/>
      <c r="D765" s="38"/>
      <c r="E765" s="38"/>
      <c r="F765" s="38"/>
      <c r="G765" s="38"/>
      <c r="H765" s="14"/>
      <c r="I765" s="38"/>
      <c r="J765" s="38"/>
      <c r="K765" s="14"/>
      <c r="L765" s="14"/>
      <c r="M765" s="14"/>
      <c r="N765" s="39"/>
      <c r="O765" s="39"/>
      <c r="P765" s="39"/>
      <c r="Q765" s="39"/>
      <c r="R765" s="39"/>
      <c r="S765" s="39"/>
      <c r="T765" s="39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  <c r="AH765" s="14"/>
      <c r="AI765" s="14"/>
      <c r="AJ765" s="14"/>
      <c r="AK765" s="14"/>
      <c r="AL765" s="14"/>
      <c r="AM765" s="14"/>
      <c r="AN765" s="14"/>
      <c r="AO765" s="14"/>
      <c r="AP765" s="14"/>
    </row>
    <row r="766" spans="1:42" ht="13">
      <c r="A766" s="38"/>
      <c r="B766" s="14"/>
      <c r="C766" s="38"/>
      <c r="D766" s="38"/>
      <c r="E766" s="38"/>
      <c r="F766" s="38"/>
      <c r="G766" s="38"/>
      <c r="H766" s="14"/>
      <c r="I766" s="38"/>
      <c r="J766" s="38"/>
      <c r="K766" s="14"/>
      <c r="L766" s="14"/>
      <c r="M766" s="14"/>
      <c r="N766" s="39"/>
      <c r="O766" s="39"/>
      <c r="P766" s="39"/>
      <c r="Q766" s="39"/>
      <c r="R766" s="39"/>
      <c r="S766" s="39"/>
      <c r="T766" s="39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  <c r="AH766" s="14"/>
      <c r="AI766" s="14"/>
      <c r="AJ766" s="14"/>
      <c r="AK766" s="14"/>
      <c r="AL766" s="14"/>
      <c r="AM766" s="14"/>
      <c r="AN766" s="14"/>
      <c r="AO766" s="14"/>
      <c r="AP766" s="14"/>
    </row>
    <row r="767" spans="1:42" ht="13">
      <c r="A767" s="38"/>
      <c r="B767" s="14"/>
      <c r="C767" s="38"/>
      <c r="D767" s="38"/>
      <c r="E767" s="38"/>
      <c r="F767" s="38"/>
      <c r="G767" s="38"/>
      <c r="H767" s="14"/>
      <c r="I767" s="38"/>
      <c r="J767" s="38"/>
      <c r="K767" s="14"/>
      <c r="L767" s="14"/>
      <c r="M767" s="14"/>
      <c r="N767" s="39"/>
      <c r="O767" s="39"/>
      <c r="P767" s="39"/>
      <c r="Q767" s="39"/>
      <c r="R767" s="39"/>
      <c r="S767" s="39"/>
      <c r="T767" s="39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  <c r="AH767" s="14"/>
      <c r="AI767" s="14"/>
      <c r="AJ767" s="14"/>
      <c r="AK767" s="14"/>
      <c r="AL767" s="14"/>
      <c r="AM767" s="14"/>
      <c r="AN767" s="14"/>
      <c r="AO767" s="14"/>
      <c r="AP767" s="14"/>
    </row>
    <row r="768" spans="1:42" ht="13">
      <c r="A768" s="38"/>
      <c r="B768" s="14"/>
      <c r="C768" s="38"/>
      <c r="D768" s="38"/>
      <c r="E768" s="38"/>
      <c r="F768" s="38"/>
      <c r="G768" s="38"/>
      <c r="H768" s="14"/>
      <c r="I768" s="38"/>
      <c r="J768" s="38"/>
      <c r="K768" s="14"/>
      <c r="L768" s="14"/>
      <c r="M768" s="14"/>
      <c r="N768" s="39"/>
      <c r="O768" s="39"/>
      <c r="P768" s="39"/>
      <c r="Q768" s="39"/>
      <c r="R768" s="39"/>
      <c r="S768" s="39"/>
      <c r="T768" s="39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  <c r="AH768" s="14"/>
      <c r="AI768" s="14"/>
      <c r="AJ768" s="14"/>
      <c r="AK768" s="14"/>
      <c r="AL768" s="14"/>
      <c r="AM768" s="14"/>
      <c r="AN768" s="14"/>
      <c r="AO768" s="14"/>
      <c r="AP768" s="14"/>
    </row>
    <row r="769" spans="1:42" ht="13">
      <c r="A769" s="38"/>
      <c r="B769" s="14"/>
      <c r="C769" s="38"/>
      <c r="D769" s="38"/>
      <c r="E769" s="38"/>
      <c r="F769" s="38"/>
      <c r="G769" s="38"/>
      <c r="H769" s="14"/>
      <c r="I769" s="38"/>
      <c r="J769" s="38"/>
      <c r="K769" s="14"/>
      <c r="L769" s="14"/>
      <c r="M769" s="14"/>
      <c r="N769" s="39"/>
      <c r="O769" s="39"/>
      <c r="P769" s="39"/>
      <c r="Q769" s="39"/>
      <c r="R769" s="39"/>
      <c r="S769" s="39"/>
      <c r="T769" s="39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  <c r="AH769" s="14"/>
      <c r="AI769" s="14"/>
      <c r="AJ769" s="14"/>
      <c r="AK769" s="14"/>
      <c r="AL769" s="14"/>
      <c r="AM769" s="14"/>
      <c r="AN769" s="14"/>
      <c r="AO769" s="14"/>
      <c r="AP769" s="14"/>
    </row>
    <row r="770" spans="1:42" ht="13">
      <c r="A770" s="38"/>
      <c r="B770" s="14"/>
      <c r="C770" s="38"/>
      <c r="D770" s="38"/>
      <c r="E770" s="38"/>
      <c r="F770" s="38"/>
      <c r="G770" s="38"/>
      <c r="H770" s="14"/>
      <c r="I770" s="38"/>
      <c r="J770" s="38"/>
      <c r="K770" s="14"/>
      <c r="L770" s="14"/>
      <c r="M770" s="14"/>
      <c r="N770" s="39"/>
      <c r="O770" s="39"/>
      <c r="P770" s="39"/>
      <c r="Q770" s="39"/>
      <c r="R770" s="39"/>
      <c r="S770" s="39"/>
      <c r="T770" s="39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  <c r="AH770" s="14"/>
      <c r="AI770" s="14"/>
      <c r="AJ770" s="14"/>
      <c r="AK770" s="14"/>
      <c r="AL770" s="14"/>
      <c r="AM770" s="14"/>
      <c r="AN770" s="14"/>
      <c r="AO770" s="14"/>
      <c r="AP770" s="14"/>
    </row>
    <row r="771" spans="1:42" ht="13">
      <c r="A771" s="38"/>
      <c r="B771" s="14"/>
      <c r="C771" s="38"/>
      <c r="D771" s="38"/>
      <c r="E771" s="38"/>
      <c r="F771" s="38"/>
      <c r="G771" s="38"/>
      <c r="H771" s="14"/>
      <c r="I771" s="38"/>
      <c r="J771" s="38"/>
      <c r="K771" s="14"/>
      <c r="L771" s="14"/>
      <c r="M771" s="14"/>
      <c r="N771" s="39"/>
      <c r="O771" s="39"/>
      <c r="P771" s="39"/>
      <c r="Q771" s="39"/>
      <c r="R771" s="39"/>
      <c r="S771" s="39"/>
      <c r="T771" s="39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  <c r="AH771" s="14"/>
      <c r="AI771" s="14"/>
      <c r="AJ771" s="14"/>
      <c r="AK771" s="14"/>
      <c r="AL771" s="14"/>
      <c r="AM771" s="14"/>
      <c r="AN771" s="14"/>
      <c r="AO771" s="14"/>
      <c r="AP771" s="14"/>
    </row>
    <row r="772" spans="1:42" ht="13">
      <c r="A772" s="38"/>
      <c r="B772" s="14"/>
      <c r="C772" s="38"/>
      <c r="D772" s="38"/>
      <c r="E772" s="38"/>
      <c r="F772" s="38"/>
      <c r="G772" s="38"/>
      <c r="H772" s="14"/>
      <c r="I772" s="38"/>
      <c r="J772" s="38"/>
      <c r="K772" s="14"/>
      <c r="L772" s="14"/>
      <c r="M772" s="14"/>
      <c r="N772" s="39"/>
      <c r="O772" s="39"/>
      <c r="P772" s="39"/>
      <c r="Q772" s="39"/>
      <c r="R772" s="39"/>
      <c r="S772" s="39"/>
      <c r="T772" s="39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  <c r="AH772" s="14"/>
      <c r="AI772" s="14"/>
      <c r="AJ772" s="14"/>
      <c r="AK772" s="14"/>
      <c r="AL772" s="14"/>
      <c r="AM772" s="14"/>
      <c r="AN772" s="14"/>
      <c r="AO772" s="14"/>
      <c r="AP772" s="14"/>
    </row>
    <row r="773" spans="1:42" ht="13">
      <c r="A773" s="38"/>
      <c r="B773" s="14"/>
      <c r="C773" s="38"/>
      <c r="D773" s="38"/>
      <c r="E773" s="38"/>
      <c r="F773" s="38"/>
      <c r="G773" s="38"/>
      <c r="H773" s="14"/>
      <c r="I773" s="38"/>
      <c r="J773" s="38"/>
      <c r="K773" s="14"/>
      <c r="L773" s="14"/>
      <c r="M773" s="14"/>
      <c r="N773" s="39"/>
      <c r="O773" s="39"/>
      <c r="P773" s="39"/>
      <c r="Q773" s="39"/>
      <c r="R773" s="39"/>
      <c r="S773" s="39"/>
      <c r="T773" s="39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  <c r="AH773" s="14"/>
      <c r="AI773" s="14"/>
      <c r="AJ773" s="14"/>
      <c r="AK773" s="14"/>
      <c r="AL773" s="14"/>
      <c r="AM773" s="14"/>
      <c r="AN773" s="14"/>
      <c r="AO773" s="14"/>
      <c r="AP773" s="14"/>
    </row>
    <row r="774" spans="1:42" ht="13">
      <c r="A774" s="38"/>
      <c r="B774" s="14"/>
      <c r="C774" s="38"/>
      <c r="D774" s="38"/>
      <c r="E774" s="38"/>
      <c r="F774" s="38"/>
      <c r="G774" s="38"/>
      <c r="H774" s="14"/>
      <c r="I774" s="38"/>
      <c r="J774" s="38"/>
      <c r="K774" s="14"/>
      <c r="L774" s="14"/>
      <c r="M774" s="14"/>
      <c r="N774" s="39"/>
      <c r="O774" s="39"/>
      <c r="P774" s="39"/>
      <c r="Q774" s="39"/>
      <c r="R774" s="39"/>
      <c r="S774" s="39"/>
      <c r="T774" s="39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  <c r="AH774" s="14"/>
      <c r="AI774" s="14"/>
      <c r="AJ774" s="14"/>
      <c r="AK774" s="14"/>
      <c r="AL774" s="14"/>
      <c r="AM774" s="14"/>
      <c r="AN774" s="14"/>
      <c r="AO774" s="14"/>
      <c r="AP774" s="14"/>
    </row>
    <row r="775" spans="1:42" ht="13">
      <c r="A775" s="38"/>
      <c r="B775" s="14"/>
      <c r="C775" s="38"/>
      <c r="D775" s="38"/>
      <c r="E775" s="38"/>
      <c r="F775" s="38"/>
      <c r="G775" s="38"/>
      <c r="H775" s="14"/>
      <c r="I775" s="38"/>
      <c r="J775" s="38"/>
      <c r="K775" s="14"/>
      <c r="L775" s="14"/>
      <c r="M775" s="14"/>
      <c r="N775" s="39"/>
      <c r="O775" s="39"/>
      <c r="P775" s="39"/>
      <c r="Q775" s="39"/>
      <c r="R775" s="39"/>
      <c r="S775" s="39"/>
      <c r="T775" s="39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  <c r="AH775" s="14"/>
      <c r="AI775" s="14"/>
      <c r="AJ775" s="14"/>
      <c r="AK775" s="14"/>
      <c r="AL775" s="14"/>
      <c r="AM775" s="14"/>
      <c r="AN775" s="14"/>
      <c r="AO775" s="14"/>
      <c r="AP775" s="14"/>
    </row>
    <row r="776" spans="1:42" ht="13">
      <c r="A776" s="38"/>
      <c r="B776" s="14"/>
      <c r="C776" s="38"/>
      <c r="D776" s="38"/>
      <c r="E776" s="38"/>
      <c r="F776" s="38"/>
      <c r="G776" s="38"/>
      <c r="H776" s="14"/>
      <c r="I776" s="38"/>
      <c r="J776" s="38"/>
      <c r="K776" s="14"/>
      <c r="L776" s="14"/>
      <c r="M776" s="14"/>
      <c r="N776" s="39"/>
      <c r="O776" s="39"/>
      <c r="P776" s="39"/>
      <c r="Q776" s="39"/>
      <c r="R776" s="39"/>
      <c r="S776" s="39"/>
      <c r="T776" s="39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  <c r="AH776" s="14"/>
      <c r="AI776" s="14"/>
      <c r="AJ776" s="14"/>
      <c r="AK776" s="14"/>
      <c r="AL776" s="14"/>
      <c r="AM776" s="14"/>
      <c r="AN776" s="14"/>
      <c r="AO776" s="14"/>
      <c r="AP776" s="14"/>
    </row>
    <row r="777" spans="1:42" ht="13">
      <c r="A777" s="38"/>
      <c r="B777" s="14"/>
      <c r="C777" s="38"/>
      <c r="D777" s="38"/>
      <c r="E777" s="38"/>
      <c r="F777" s="38"/>
      <c r="G777" s="38"/>
      <c r="H777" s="14"/>
      <c r="I777" s="38"/>
      <c r="J777" s="38"/>
      <c r="K777" s="14"/>
      <c r="L777" s="14"/>
      <c r="M777" s="14"/>
      <c r="N777" s="39"/>
      <c r="O777" s="39"/>
      <c r="P777" s="39"/>
      <c r="Q777" s="39"/>
      <c r="R777" s="39"/>
      <c r="S777" s="39"/>
      <c r="T777" s="39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  <c r="AH777" s="14"/>
      <c r="AI777" s="14"/>
      <c r="AJ777" s="14"/>
      <c r="AK777" s="14"/>
      <c r="AL777" s="14"/>
      <c r="AM777" s="14"/>
      <c r="AN777" s="14"/>
      <c r="AO777" s="14"/>
      <c r="AP777" s="14"/>
    </row>
    <row r="778" spans="1:42" ht="13">
      <c r="A778" s="38"/>
      <c r="B778" s="14"/>
      <c r="C778" s="38"/>
      <c r="D778" s="38"/>
      <c r="E778" s="38"/>
      <c r="F778" s="38"/>
      <c r="G778" s="38"/>
      <c r="H778" s="14"/>
      <c r="I778" s="38"/>
      <c r="J778" s="38"/>
      <c r="K778" s="14"/>
      <c r="L778" s="14"/>
      <c r="M778" s="14"/>
      <c r="N778" s="39"/>
      <c r="O778" s="39"/>
      <c r="P778" s="39"/>
      <c r="Q778" s="39"/>
      <c r="R778" s="39"/>
      <c r="S778" s="39"/>
      <c r="T778" s="39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  <c r="AH778" s="14"/>
      <c r="AI778" s="14"/>
      <c r="AJ778" s="14"/>
      <c r="AK778" s="14"/>
      <c r="AL778" s="14"/>
      <c r="AM778" s="14"/>
      <c r="AN778" s="14"/>
      <c r="AO778" s="14"/>
      <c r="AP778" s="14"/>
    </row>
    <row r="779" spans="1:42" ht="13">
      <c r="A779" s="38"/>
      <c r="B779" s="14"/>
      <c r="C779" s="38"/>
      <c r="D779" s="38"/>
      <c r="E779" s="38"/>
      <c r="F779" s="38"/>
      <c r="G779" s="38"/>
      <c r="H779" s="14"/>
      <c r="I779" s="38"/>
      <c r="J779" s="38"/>
      <c r="K779" s="14"/>
      <c r="L779" s="14"/>
      <c r="M779" s="14"/>
      <c r="N779" s="39"/>
      <c r="O779" s="39"/>
      <c r="P779" s="39"/>
      <c r="Q779" s="39"/>
      <c r="R779" s="39"/>
      <c r="S779" s="39"/>
      <c r="T779" s="39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  <c r="AH779" s="14"/>
      <c r="AI779" s="14"/>
      <c r="AJ779" s="14"/>
      <c r="AK779" s="14"/>
      <c r="AL779" s="14"/>
      <c r="AM779" s="14"/>
      <c r="AN779" s="14"/>
      <c r="AO779" s="14"/>
      <c r="AP779" s="14"/>
    </row>
    <row r="780" spans="1:42" ht="13">
      <c r="A780" s="38"/>
      <c r="B780" s="14"/>
      <c r="C780" s="38"/>
      <c r="D780" s="38"/>
      <c r="E780" s="38"/>
      <c r="F780" s="38"/>
      <c r="G780" s="38"/>
      <c r="H780" s="14"/>
      <c r="I780" s="38"/>
      <c r="J780" s="38"/>
      <c r="K780" s="14"/>
      <c r="L780" s="14"/>
      <c r="M780" s="14"/>
      <c r="N780" s="39"/>
      <c r="O780" s="39"/>
      <c r="P780" s="39"/>
      <c r="Q780" s="39"/>
      <c r="R780" s="39"/>
      <c r="S780" s="39"/>
      <c r="T780" s="39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  <c r="AH780" s="14"/>
      <c r="AI780" s="14"/>
      <c r="AJ780" s="14"/>
      <c r="AK780" s="14"/>
      <c r="AL780" s="14"/>
      <c r="AM780" s="14"/>
      <c r="AN780" s="14"/>
      <c r="AO780" s="14"/>
      <c r="AP780" s="14"/>
    </row>
    <row r="781" spans="1:42" ht="13">
      <c r="A781" s="38"/>
      <c r="B781" s="14"/>
      <c r="C781" s="38"/>
      <c r="D781" s="38"/>
      <c r="E781" s="38"/>
      <c r="F781" s="38"/>
      <c r="G781" s="38"/>
      <c r="H781" s="14"/>
      <c r="I781" s="38"/>
      <c r="J781" s="38"/>
      <c r="K781" s="14"/>
      <c r="L781" s="14"/>
      <c r="M781" s="14"/>
      <c r="N781" s="39"/>
      <c r="O781" s="39"/>
      <c r="P781" s="39"/>
      <c r="Q781" s="39"/>
      <c r="R781" s="39"/>
      <c r="S781" s="39"/>
      <c r="T781" s="39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  <c r="AH781" s="14"/>
      <c r="AI781" s="14"/>
      <c r="AJ781" s="14"/>
      <c r="AK781" s="14"/>
      <c r="AL781" s="14"/>
      <c r="AM781" s="14"/>
      <c r="AN781" s="14"/>
      <c r="AO781" s="14"/>
      <c r="AP781" s="14"/>
    </row>
    <row r="782" spans="1:42" ht="13">
      <c r="A782" s="38"/>
      <c r="B782" s="14"/>
      <c r="C782" s="38"/>
      <c r="D782" s="38"/>
      <c r="E782" s="38"/>
      <c r="F782" s="38"/>
      <c r="G782" s="38"/>
      <c r="H782" s="14"/>
      <c r="I782" s="38"/>
      <c r="J782" s="38"/>
      <c r="K782" s="14"/>
      <c r="L782" s="14"/>
      <c r="M782" s="14"/>
      <c r="N782" s="39"/>
      <c r="O782" s="39"/>
      <c r="P782" s="39"/>
      <c r="Q782" s="39"/>
      <c r="R782" s="39"/>
      <c r="S782" s="39"/>
      <c r="T782" s="39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  <c r="AH782" s="14"/>
      <c r="AI782" s="14"/>
      <c r="AJ782" s="14"/>
      <c r="AK782" s="14"/>
      <c r="AL782" s="14"/>
      <c r="AM782" s="14"/>
      <c r="AN782" s="14"/>
      <c r="AO782" s="14"/>
      <c r="AP782" s="14"/>
    </row>
    <row r="783" spans="1:42" ht="13">
      <c r="A783" s="38"/>
      <c r="B783" s="14"/>
      <c r="C783" s="38"/>
      <c r="D783" s="38"/>
      <c r="E783" s="38"/>
      <c r="F783" s="38"/>
      <c r="G783" s="38"/>
      <c r="H783" s="14"/>
      <c r="I783" s="38"/>
      <c r="J783" s="38"/>
      <c r="K783" s="14"/>
      <c r="L783" s="14"/>
      <c r="M783" s="14"/>
      <c r="N783" s="39"/>
      <c r="O783" s="39"/>
      <c r="P783" s="39"/>
      <c r="Q783" s="39"/>
      <c r="R783" s="39"/>
      <c r="S783" s="39"/>
      <c r="T783" s="39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  <c r="AH783" s="14"/>
      <c r="AI783" s="14"/>
      <c r="AJ783" s="14"/>
      <c r="AK783" s="14"/>
      <c r="AL783" s="14"/>
      <c r="AM783" s="14"/>
      <c r="AN783" s="14"/>
      <c r="AO783" s="14"/>
      <c r="AP783" s="14"/>
    </row>
    <row r="784" spans="1:42" ht="13">
      <c r="A784" s="38"/>
      <c r="B784" s="14"/>
      <c r="C784" s="38"/>
      <c r="D784" s="38"/>
      <c r="E784" s="38"/>
      <c r="F784" s="38"/>
      <c r="G784" s="38"/>
      <c r="H784" s="14"/>
      <c r="I784" s="38"/>
      <c r="J784" s="38"/>
      <c r="K784" s="14"/>
      <c r="L784" s="14"/>
      <c r="M784" s="14"/>
      <c r="N784" s="39"/>
      <c r="O784" s="39"/>
      <c r="P784" s="39"/>
      <c r="Q784" s="39"/>
      <c r="R784" s="39"/>
      <c r="S784" s="39"/>
      <c r="T784" s="39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  <c r="AF784" s="14"/>
      <c r="AG784" s="14"/>
      <c r="AH784" s="14"/>
      <c r="AI784" s="14"/>
      <c r="AJ784" s="14"/>
      <c r="AK784" s="14"/>
      <c r="AL784" s="14"/>
      <c r="AM784" s="14"/>
      <c r="AN784" s="14"/>
      <c r="AO784" s="14"/>
      <c r="AP784" s="14"/>
    </row>
    <row r="785" spans="1:42" ht="13">
      <c r="A785" s="38"/>
      <c r="B785" s="14"/>
      <c r="C785" s="38"/>
      <c r="D785" s="38"/>
      <c r="E785" s="38"/>
      <c r="F785" s="38"/>
      <c r="G785" s="38"/>
      <c r="H785" s="14"/>
      <c r="I785" s="38"/>
      <c r="J785" s="38"/>
      <c r="K785" s="14"/>
      <c r="L785" s="14"/>
      <c r="M785" s="14"/>
      <c r="N785" s="39"/>
      <c r="O785" s="39"/>
      <c r="P785" s="39"/>
      <c r="Q785" s="39"/>
      <c r="R785" s="39"/>
      <c r="S785" s="39"/>
      <c r="T785" s="39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  <c r="AH785" s="14"/>
      <c r="AI785" s="14"/>
      <c r="AJ785" s="14"/>
      <c r="AK785" s="14"/>
      <c r="AL785" s="14"/>
      <c r="AM785" s="14"/>
      <c r="AN785" s="14"/>
      <c r="AO785" s="14"/>
      <c r="AP785" s="14"/>
    </row>
    <row r="786" spans="1:42" ht="13">
      <c r="A786" s="38"/>
      <c r="B786" s="14"/>
      <c r="C786" s="38"/>
      <c r="D786" s="38"/>
      <c r="E786" s="38"/>
      <c r="F786" s="38"/>
      <c r="G786" s="38"/>
      <c r="H786" s="14"/>
      <c r="I786" s="38"/>
      <c r="J786" s="38"/>
      <c r="K786" s="14"/>
      <c r="L786" s="14"/>
      <c r="M786" s="14"/>
      <c r="N786" s="39"/>
      <c r="O786" s="39"/>
      <c r="P786" s="39"/>
      <c r="Q786" s="39"/>
      <c r="R786" s="39"/>
      <c r="S786" s="39"/>
      <c r="T786" s="39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  <c r="AF786" s="14"/>
      <c r="AG786" s="14"/>
      <c r="AH786" s="14"/>
      <c r="AI786" s="14"/>
      <c r="AJ786" s="14"/>
      <c r="AK786" s="14"/>
      <c r="AL786" s="14"/>
      <c r="AM786" s="14"/>
      <c r="AN786" s="14"/>
      <c r="AO786" s="14"/>
      <c r="AP786" s="14"/>
    </row>
    <row r="787" spans="1:42" ht="13">
      <c r="A787" s="38"/>
      <c r="B787" s="14"/>
      <c r="C787" s="38"/>
      <c r="D787" s="38"/>
      <c r="E787" s="38"/>
      <c r="F787" s="38"/>
      <c r="G787" s="38"/>
      <c r="H787" s="14"/>
      <c r="I787" s="38"/>
      <c r="J787" s="38"/>
      <c r="K787" s="14"/>
      <c r="L787" s="14"/>
      <c r="M787" s="14"/>
      <c r="N787" s="39"/>
      <c r="O787" s="39"/>
      <c r="P787" s="39"/>
      <c r="Q787" s="39"/>
      <c r="R787" s="39"/>
      <c r="S787" s="39"/>
      <c r="T787" s="39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  <c r="AH787" s="14"/>
      <c r="AI787" s="14"/>
      <c r="AJ787" s="14"/>
      <c r="AK787" s="14"/>
      <c r="AL787" s="14"/>
      <c r="AM787" s="14"/>
      <c r="AN787" s="14"/>
      <c r="AO787" s="14"/>
      <c r="AP787" s="14"/>
    </row>
    <row r="788" spans="1:42" ht="13">
      <c r="A788" s="38"/>
      <c r="B788" s="14"/>
      <c r="C788" s="38"/>
      <c r="D788" s="38"/>
      <c r="E788" s="38"/>
      <c r="F788" s="38"/>
      <c r="G788" s="38"/>
      <c r="H788" s="14"/>
      <c r="I788" s="38"/>
      <c r="J788" s="38"/>
      <c r="K788" s="14"/>
      <c r="L788" s="14"/>
      <c r="M788" s="14"/>
      <c r="N788" s="39"/>
      <c r="O788" s="39"/>
      <c r="P788" s="39"/>
      <c r="Q788" s="39"/>
      <c r="R788" s="39"/>
      <c r="S788" s="39"/>
      <c r="T788" s="39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  <c r="AH788" s="14"/>
      <c r="AI788" s="14"/>
      <c r="AJ788" s="14"/>
      <c r="AK788" s="14"/>
      <c r="AL788" s="14"/>
      <c r="AM788" s="14"/>
      <c r="AN788" s="14"/>
      <c r="AO788" s="14"/>
      <c r="AP788" s="14"/>
    </row>
    <row r="789" spans="1:42" ht="13">
      <c r="A789" s="38"/>
      <c r="B789" s="14"/>
      <c r="C789" s="38"/>
      <c r="D789" s="38"/>
      <c r="E789" s="38"/>
      <c r="F789" s="38"/>
      <c r="G789" s="38"/>
      <c r="H789" s="14"/>
      <c r="I789" s="38"/>
      <c r="J789" s="38"/>
      <c r="K789" s="14"/>
      <c r="L789" s="14"/>
      <c r="M789" s="14"/>
      <c r="N789" s="39"/>
      <c r="O789" s="39"/>
      <c r="P789" s="39"/>
      <c r="Q789" s="39"/>
      <c r="R789" s="39"/>
      <c r="S789" s="39"/>
      <c r="T789" s="39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  <c r="AH789" s="14"/>
      <c r="AI789" s="14"/>
      <c r="AJ789" s="14"/>
      <c r="AK789" s="14"/>
      <c r="AL789" s="14"/>
      <c r="AM789" s="14"/>
      <c r="AN789" s="14"/>
      <c r="AO789" s="14"/>
      <c r="AP789" s="14"/>
    </row>
    <row r="790" spans="1:42" ht="13">
      <c r="A790" s="38"/>
      <c r="B790" s="14"/>
      <c r="C790" s="38"/>
      <c r="D790" s="38"/>
      <c r="E790" s="38"/>
      <c r="F790" s="38"/>
      <c r="G790" s="38"/>
      <c r="H790" s="14"/>
      <c r="I790" s="38"/>
      <c r="J790" s="38"/>
      <c r="K790" s="14"/>
      <c r="L790" s="14"/>
      <c r="M790" s="14"/>
      <c r="N790" s="39"/>
      <c r="O790" s="39"/>
      <c r="P790" s="39"/>
      <c r="Q790" s="39"/>
      <c r="R790" s="39"/>
      <c r="S790" s="39"/>
      <c r="T790" s="39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  <c r="AH790" s="14"/>
      <c r="AI790" s="14"/>
      <c r="AJ790" s="14"/>
      <c r="AK790" s="14"/>
      <c r="AL790" s="14"/>
      <c r="AM790" s="14"/>
      <c r="AN790" s="14"/>
      <c r="AO790" s="14"/>
      <c r="AP790" s="14"/>
    </row>
    <row r="791" spans="1:42" ht="13">
      <c r="A791" s="38"/>
      <c r="B791" s="14"/>
      <c r="C791" s="38"/>
      <c r="D791" s="38"/>
      <c r="E791" s="38"/>
      <c r="F791" s="38"/>
      <c r="G791" s="38"/>
      <c r="H791" s="14"/>
      <c r="I791" s="38"/>
      <c r="J791" s="38"/>
      <c r="K791" s="14"/>
      <c r="L791" s="14"/>
      <c r="M791" s="14"/>
      <c r="N791" s="39"/>
      <c r="O791" s="39"/>
      <c r="P791" s="39"/>
      <c r="Q791" s="39"/>
      <c r="R791" s="39"/>
      <c r="S791" s="39"/>
      <c r="T791" s="39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  <c r="AH791" s="14"/>
      <c r="AI791" s="14"/>
      <c r="AJ791" s="14"/>
      <c r="AK791" s="14"/>
      <c r="AL791" s="14"/>
      <c r="AM791" s="14"/>
      <c r="AN791" s="14"/>
      <c r="AO791" s="14"/>
      <c r="AP791" s="14"/>
    </row>
    <row r="792" spans="1:42" ht="13">
      <c r="A792" s="38"/>
      <c r="B792" s="14"/>
      <c r="C792" s="38"/>
      <c r="D792" s="38"/>
      <c r="E792" s="38"/>
      <c r="F792" s="38"/>
      <c r="G792" s="38"/>
      <c r="H792" s="14"/>
      <c r="I792" s="38"/>
      <c r="J792" s="38"/>
      <c r="K792" s="14"/>
      <c r="L792" s="14"/>
      <c r="M792" s="14"/>
      <c r="N792" s="39"/>
      <c r="O792" s="39"/>
      <c r="P792" s="39"/>
      <c r="Q792" s="39"/>
      <c r="R792" s="39"/>
      <c r="S792" s="39"/>
      <c r="T792" s="39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  <c r="AH792" s="14"/>
      <c r="AI792" s="14"/>
      <c r="AJ792" s="14"/>
      <c r="AK792" s="14"/>
      <c r="AL792" s="14"/>
      <c r="AM792" s="14"/>
      <c r="AN792" s="14"/>
      <c r="AO792" s="14"/>
      <c r="AP792" s="14"/>
    </row>
    <row r="793" spans="1:42" ht="13">
      <c r="A793" s="38"/>
      <c r="B793" s="14"/>
      <c r="C793" s="38"/>
      <c r="D793" s="38"/>
      <c r="E793" s="38"/>
      <c r="F793" s="38"/>
      <c r="G793" s="38"/>
      <c r="H793" s="14"/>
      <c r="I793" s="38"/>
      <c r="J793" s="38"/>
      <c r="K793" s="14"/>
      <c r="L793" s="14"/>
      <c r="M793" s="14"/>
      <c r="N793" s="39"/>
      <c r="O793" s="39"/>
      <c r="P793" s="39"/>
      <c r="Q793" s="39"/>
      <c r="R793" s="39"/>
      <c r="S793" s="39"/>
      <c r="T793" s="39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  <c r="AH793" s="14"/>
      <c r="AI793" s="14"/>
      <c r="AJ793" s="14"/>
      <c r="AK793" s="14"/>
      <c r="AL793" s="14"/>
      <c r="AM793" s="14"/>
      <c r="AN793" s="14"/>
      <c r="AO793" s="14"/>
      <c r="AP793" s="14"/>
    </row>
    <row r="794" spans="1:42" ht="13">
      <c r="A794" s="38"/>
      <c r="B794" s="14"/>
      <c r="C794" s="38"/>
      <c r="D794" s="38"/>
      <c r="E794" s="38"/>
      <c r="F794" s="38"/>
      <c r="G794" s="38"/>
      <c r="H794" s="14"/>
      <c r="I794" s="38"/>
      <c r="J794" s="38"/>
      <c r="K794" s="14"/>
      <c r="L794" s="14"/>
      <c r="M794" s="14"/>
      <c r="N794" s="39"/>
      <c r="O794" s="39"/>
      <c r="P794" s="39"/>
      <c r="Q794" s="39"/>
      <c r="R794" s="39"/>
      <c r="S794" s="39"/>
      <c r="T794" s="39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  <c r="AH794" s="14"/>
      <c r="AI794" s="14"/>
      <c r="AJ794" s="14"/>
      <c r="AK794" s="14"/>
      <c r="AL794" s="14"/>
      <c r="AM794" s="14"/>
      <c r="AN794" s="14"/>
      <c r="AO794" s="14"/>
      <c r="AP794" s="14"/>
    </row>
    <row r="795" spans="1:42" ht="13">
      <c r="A795" s="38"/>
      <c r="B795" s="14"/>
      <c r="C795" s="38"/>
      <c r="D795" s="38"/>
      <c r="E795" s="38"/>
      <c r="F795" s="38"/>
      <c r="G795" s="38"/>
      <c r="H795" s="14"/>
      <c r="I795" s="38"/>
      <c r="J795" s="38"/>
      <c r="K795" s="14"/>
      <c r="L795" s="14"/>
      <c r="M795" s="14"/>
      <c r="N795" s="39"/>
      <c r="O795" s="39"/>
      <c r="P795" s="39"/>
      <c r="Q795" s="39"/>
      <c r="R795" s="39"/>
      <c r="S795" s="39"/>
      <c r="T795" s="39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  <c r="AH795" s="14"/>
      <c r="AI795" s="14"/>
      <c r="AJ795" s="14"/>
      <c r="AK795" s="14"/>
      <c r="AL795" s="14"/>
      <c r="AM795" s="14"/>
      <c r="AN795" s="14"/>
      <c r="AO795" s="14"/>
      <c r="AP795" s="14"/>
    </row>
    <row r="796" spans="1:42" ht="13">
      <c r="A796" s="38"/>
      <c r="B796" s="14"/>
      <c r="C796" s="38"/>
      <c r="D796" s="38"/>
      <c r="E796" s="38"/>
      <c r="F796" s="38"/>
      <c r="G796" s="38"/>
      <c r="H796" s="14"/>
      <c r="I796" s="38"/>
      <c r="J796" s="38"/>
      <c r="K796" s="14"/>
      <c r="L796" s="14"/>
      <c r="M796" s="14"/>
      <c r="N796" s="39"/>
      <c r="O796" s="39"/>
      <c r="P796" s="39"/>
      <c r="Q796" s="39"/>
      <c r="R796" s="39"/>
      <c r="S796" s="39"/>
      <c r="T796" s="39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  <c r="AH796" s="14"/>
      <c r="AI796" s="14"/>
      <c r="AJ796" s="14"/>
      <c r="AK796" s="14"/>
      <c r="AL796" s="14"/>
      <c r="AM796" s="14"/>
      <c r="AN796" s="14"/>
      <c r="AO796" s="14"/>
      <c r="AP796" s="14"/>
    </row>
    <row r="797" spans="1:42" ht="13">
      <c r="A797" s="38"/>
      <c r="B797" s="14"/>
      <c r="C797" s="38"/>
      <c r="D797" s="38"/>
      <c r="E797" s="38"/>
      <c r="F797" s="38"/>
      <c r="G797" s="38"/>
      <c r="H797" s="14"/>
      <c r="I797" s="38"/>
      <c r="J797" s="38"/>
      <c r="K797" s="14"/>
      <c r="L797" s="14"/>
      <c r="M797" s="14"/>
      <c r="N797" s="39"/>
      <c r="O797" s="39"/>
      <c r="P797" s="39"/>
      <c r="Q797" s="39"/>
      <c r="R797" s="39"/>
      <c r="S797" s="39"/>
      <c r="T797" s="39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  <c r="AH797" s="14"/>
      <c r="AI797" s="14"/>
      <c r="AJ797" s="14"/>
      <c r="AK797" s="14"/>
      <c r="AL797" s="14"/>
      <c r="AM797" s="14"/>
      <c r="AN797" s="14"/>
      <c r="AO797" s="14"/>
      <c r="AP797" s="14"/>
    </row>
    <row r="798" spans="1:42" ht="13">
      <c r="A798" s="38"/>
      <c r="B798" s="14"/>
      <c r="C798" s="38"/>
      <c r="D798" s="38"/>
      <c r="E798" s="38"/>
      <c r="F798" s="38"/>
      <c r="G798" s="38"/>
      <c r="H798" s="14"/>
      <c r="I798" s="38"/>
      <c r="J798" s="38"/>
      <c r="K798" s="14"/>
      <c r="L798" s="14"/>
      <c r="M798" s="14"/>
      <c r="N798" s="39"/>
      <c r="O798" s="39"/>
      <c r="P798" s="39"/>
      <c r="Q798" s="39"/>
      <c r="R798" s="39"/>
      <c r="S798" s="39"/>
      <c r="T798" s="39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  <c r="AH798" s="14"/>
      <c r="AI798" s="14"/>
      <c r="AJ798" s="14"/>
      <c r="AK798" s="14"/>
      <c r="AL798" s="14"/>
      <c r="AM798" s="14"/>
      <c r="AN798" s="14"/>
      <c r="AO798" s="14"/>
      <c r="AP798" s="14"/>
    </row>
    <row r="799" spans="1:42" ht="13">
      <c r="A799" s="38"/>
      <c r="B799" s="14"/>
      <c r="C799" s="38"/>
      <c r="D799" s="38"/>
      <c r="E799" s="38"/>
      <c r="F799" s="38"/>
      <c r="G799" s="38"/>
      <c r="H799" s="14"/>
      <c r="I799" s="38"/>
      <c r="J799" s="38"/>
      <c r="K799" s="14"/>
      <c r="L799" s="14"/>
      <c r="M799" s="14"/>
      <c r="N799" s="39"/>
      <c r="O799" s="39"/>
      <c r="P799" s="39"/>
      <c r="Q799" s="39"/>
      <c r="R799" s="39"/>
      <c r="S799" s="39"/>
      <c r="T799" s="39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  <c r="AH799" s="14"/>
      <c r="AI799" s="14"/>
      <c r="AJ799" s="14"/>
      <c r="AK799" s="14"/>
      <c r="AL799" s="14"/>
      <c r="AM799" s="14"/>
      <c r="AN799" s="14"/>
      <c r="AO799" s="14"/>
      <c r="AP799" s="14"/>
    </row>
    <row r="800" spans="1:42" ht="13">
      <c r="A800" s="38"/>
      <c r="B800" s="14"/>
      <c r="C800" s="38"/>
      <c r="D800" s="38"/>
      <c r="E800" s="38"/>
      <c r="F800" s="38"/>
      <c r="G800" s="38"/>
      <c r="H800" s="14"/>
      <c r="I800" s="38"/>
      <c r="J800" s="38"/>
      <c r="K800" s="14"/>
      <c r="L800" s="14"/>
      <c r="M800" s="14"/>
      <c r="N800" s="39"/>
      <c r="O800" s="39"/>
      <c r="P800" s="39"/>
      <c r="Q800" s="39"/>
      <c r="R800" s="39"/>
      <c r="S800" s="39"/>
      <c r="T800" s="39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  <c r="AH800" s="14"/>
      <c r="AI800" s="14"/>
      <c r="AJ800" s="14"/>
      <c r="AK800" s="14"/>
      <c r="AL800" s="14"/>
      <c r="AM800" s="14"/>
      <c r="AN800" s="14"/>
      <c r="AO800" s="14"/>
      <c r="AP800" s="14"/>
    </row>
    <row r="801" spans="1:42" ht="13">
      <c r="A801" s="38"/>
      <c r="B801" s="14"/>
      <c r="C801" s="38"/>
      <c r="D801" s="38"/>
      <c r="E801" s="38"/>
      <c r="F801" s="38"/>
      <c r="G801" s="38"/>
      <c r="H801" s="14"/>
      <c r="I801" s="38"/>
      <c r="J801" s="38"/>
      <c r="K801" s="14"/>
      <c r="L801" s="14"/>
      <c r="M801" s="14"/>
      <c r="N801" s="39"/>
      <c r="O801" s="39"/>
      <c r="P801" s="39"/>
      <c r="Q801" s="39"/>
      <c r="R801" s="39"/>
      <c r="S801" s="39"/>
      <c r="T801" s="39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  <c r="AH801" s="14"/>
      <c r="AI801" s="14"/>
      <c r="AJ801" s="14"/>
      <c r="AK801" s="14"/>
      <c r="AL801" s="14"/>
      <c r="AM801" s="14"/>
      <c r="AN801" s="14"/>
      <c r="AO801" s="14"/>
      <c r="AP801" s="14"/>
    </row>
    <row r="802" spans="1:42" ht="13">
      <c r="A802" s="38"/>
      <c r="B802" s="14"/>
      <c r="C802" s="38"/>
      <c r="D802" s="38"/>
      <c r="E802" s="38"/>
      <c r="F802" s="38"/>
      <c r="G802" s="38"/>
      <c r="H802" s="14"/>
      <c r="I802" s="38"/>
      <c r="J802" s="38"/>
      <c r="K802" s="14"/>
      <c r="L802" s="14"/>
      <c r="M802" s="14"/>
      <c r="N802" s="39"/>
      <c r="O802" s="39"/>
      <c r="P802" s="39"/>
      <c r="Q802" s="39"/>
      <c r="R802" s="39"/>
      <c r="S802" s="39"/>
      <c r="T802" s="39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  <c r="AH802" s="14"/>
      <c r="AI802" s="14"/>
      <c r="AJ802" s="14"/>
      <c r="AK802" s="14"/>
      <c r="AL802" s="14"/>
      <c r="AM802" s="14"/>
      <c r="AN802" s="14"/>
      <c r="AO802" s="14"/>
      <c r="AP802" s="14"/>
    </row>
    <row r="803" spans="1:42" ht="13">
      <c r="A803" s="38"/>
      <c r="B803" s="14"/>
      <c r="C803" s="38"/>
      <c r="D803" s="38"/>
      <c r="E803" s="38"/>
      <c r="F803" s="38"/>
      <c r="G803" s="38"/>
      <c r="H803" s="14"/>
      <c r="I803" s="38"/>
      <c r="J803" s="38"/>
      <c r="K803" s="14"/>
      <c r="L803" s="14"/>
      <c r="M803" s="14"/>
      <c r="N803" s="39"/>
      <c r="O803" s="39"/>
      <c r="P803" s="39"/>
      <c r="Q803" s="39"/>
      <c r="R803" s="39"/>
      <c r="S803" s="39"/>
      <c r="T803" s="39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  <c r="AH803" s="14"/>
      <c r="AI803" s="14"/>
      <c r="AJ803" s="14"/>
      <c r="AK803" s="14"/>
      <c r="AL803" s="14"/>
      <c r="AM803" s="14"/>
      <c r="AN803" s="14"/>
      <c r="AO803" s="14"/>
      <c r="AP803" s="14"/>
    </row>
    <row r="804" spans="1:42" ht="13">
      <c r="A804" s="38"/>
      <c r="B804" s="14"/>
      <c r="C804" s="38"/>
      <c r="D804" s="38"/>
      <c r="E804" s="38"/>
      <c r="F804" s="38"/>
      <c r="G804" s="38"/>
      <c r="H804" s="14"/>
      <c r="I804" s="38"/>
      <c r="J804" s="38"/>
      <c r="K804" s="14"/>
      <c r="L804" s="14"/>
      <c r="M804" s="14"/>
      <c r="N804" s="39"/>
      <c r="O804" s="39"/>
      <c r="P804" s="39"/>
      <c r="Q804" s="39"/>
      <c r="R804" s="39"/>
      <c r="S804" s="39"/>
      <c r="T804" s="39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  <c r="AH804" s="14"/>
      <c r="AI804" s="14"/>
      <c r="AJ804" s="14"/>
      <c r="AK804" s="14"/>
      <c r="AL804" s="14"/>
      <c r="AM804" s="14"/>
      <c r="AN804" s="14"/>
      <c r="AO804" s="14"/>
      <c r="AP804" s="14"/>
    </row>
    <row r="805" spans="1:42" ht="13">
      <c r="A805" s="38"/>
      <c r="B805" s="14"/>
      <c r="C805" s="38"/>
      <c r="D805" s="38"/>
      <c r="E805" s="38"/>
      <c r="F805" s="38"/>
      <c r="G805" s="38"/>
      <c r="H805" s="14"/>
      <c r="I805" s="38"/>
      <c r="J805" s="38"/>
      <c r="K805" s="14"/>
      <c r="L805" s="14"/>
      <c r="M805" s="14"/>
      <c r="N805" s="39"/>
      <c r="O805" s="39"/>
      <c r="P805" s="39"/>
      <c r="Q805" s="39"/>
      <c r="R805" s="39"/>
      <c r="S805" s="39"/>
      <c r="T805" s="39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  <c r="AH805" s="14"/>
      <c r="AI805" s="14"/>
      <c r="AJ805" s="14"/>
      <c r="AK805" s="14"/>
      <c r="AL805" s="14"/>
      <c r="AM805" s="14"/>
      <c r="AN805" s="14"/>
      <c r="AO805" s="14"/>
      <c r="AP805" s="14"/>
    </row>
    <row r="806" spans="1:42" ht="13">
      <c r="A806" s="38"/>
      <c r="B806" s="14"/>
      <c r="C806" s="38"/>
      <c r="D806" s="38"/>
      <c r="E806" s="38"/>
      <c r="F806" s="38"/>
      <c r="G806" s="38"/>
      <c r="H806" s="14"/>
      <c r="I806" s="38"/>
      <c r="J806" s="38"/>
      <c r="K806" s="14"/>
      <c r="L806" s="14"/>
      <c r="M806" s="14"/>
      <c r="N806" s="39"/>
      <c r="O806" s="39"/>
      <c r="P806" s="39"/>
      <c r="Q806" s="39"/>
      <c r="R806" s="39"/>
      <c r="S806" s="39"/>
      <c r="T806" s="39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  <c r="AH806" s="14"/>
      <c r="AI806" s="14"/>
      <c r="AJ806" s="14"/>
      <c r="AK806" s="14"/>
      <c r="AL806" s="14"/>
      <c r="AM806" s="14"/>
      <c r="AN806" s="14"/>
      <c r="AO806" s="14"/>
      <c r="AP806" s="14"/>
    </row>
    <row r="807" spans="1:42" ht="13">
      <c r="A807" s="38"/>
      <c r="B807" s="14"/>
      <c r="C807" s="38"/>
      <c r="D807" s="38"/>
      <c r="E807" s="38"/>
      <c r="F807" s="38"/>
      <c r="G807" s="38"/>
      <c r="H807" s="14"/>
      <c r="I807" s="38"/>
      <c r="J807" s="38"/>
      <c r="K807" s="14"/>
      <c r="L807" s="14"/>
      <c r="M807" s="14"/>
      <c r="N807" s="39"/>
      <c r="O807" s="39"/>
      <c r="P807" s="39"/>
      <c r="Q807" s="39"/>
      <c r="R807" s="39"/>
      <c r="S807" s="39"/>
      <c r="T807" s="39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  <c r="AH807" s="14"/>
      <c r="AI807" s="14"/>
      <c r="AJ807" s="14"/>
      <c r="AK807" s="14"/>
      <c r="AL807" s="14"/>
      <c r="AM807" s="14"/>
      <c r="AN807" s="14"/>
      <c r="AO807" s="14"/>
      <c r="AP807" s="14"/>
    </row>
    <row r="808" spans="1:42" ht="13">
      <c r="A808" s="38"/>
      <c r="B808" s="14"/>
      <c r="C808" s="38"/>
      <c r="D808" s="38"/>
      <c r="E808" s="38"/>
      <c r="F808" s="38"/>
      <c r="G808" s="38"/>
      <c r="H808" s="14"/>
      <c r="I808" s="38"/>
      <c r="J808" s="38"/>
      <c r="K808" s="14"/>
      <c r="L808" s="14"/>
      <c r="M808" s="14"/>
      <c r="N808" s="39"/>
      <c r="O808" s="39"/>
      <c r="P808" s="39"/>
      <c r="Q808" s="39"/>
      <c r="R808" s="39"/>
      <c r="S808" s="39"/>
      <c r="T808" s="39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  <c r="AH808" s="14"/>
      <c r="AI808" s="14"/>
      <c r="AJ808" s="14"/>
      <c r="AK808" s="14"/>
      <c r="AL808" s="14"/>
      <c r="AM808" s="14"/>
      <c r="AN808" s="14"/>
      <c r="AO808" s="14"/>
      <c r="AP808" s="14"/>
    </row>
    <row r="809" spans="1:42" ht="13">
      <c r="A809" s="38"/>
      <c r="B809" s="14"/>
      <c r="C809" s="38"/>
      <c r="D809" s="38"/>
      <c r="E809" s="38"/>
      <c r="F809" s="38"/>
      <c r="G809" s="38"/>
      <c r="H809" s="14"/>
      <c r="I809" s="38"/>
      <c r="J809" s="38"/>
      <c r="K809" s="14"/>
      <c r="L809" s="14"/>
      <c r="M809" s="14"/>
      <c r="N809" s="39"/>
      <c r="O809" s="39"/>
      <c r="P809" s="39"/>
      <c r="Q809" s="39"/>
      <c r="R809" s="39"/>
      <c r="S809" s="39"/>
      <c r="T809" s="39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  <c r="AH809" s="14"/>
      <c r="AI809" s="14"/>
      <c r="AJ809" s="14"/>
      <c r="AK809" s="14"/>
      <c r="AL809" s="14"/>
      <c r="AM809" s="14"/>
      <c r="AN809" s="14"/>
      <c r="AO809" s="14"/>
      <c r="AP809" s="14"/>
    </row>
    <row r="810" spans="1:42" ht="13">
      <c r="A810" s="38"/>
      <c r="B810" s="14"/>
      <c r="C810" s="38"/>
      <c r="D810" s="38"/>
      <c r="E810" s="38"/>
      <c r="F810" s="38"/>
      <c r="G810" s="38"/>
      <c r="H810" s="14"/>
      <c r="I810" s="38"/>
      <c r="J810" s="38"/>
      <c r="K810" s="14"/>
      <c r="L810" s="14"/>
      <c r="M810" s="14"/>
      <c r="N810" s="39"/>
      <c r="O810" s="39"/>
      <c r="P810" s="39"/>
      <c r="Q810" s="39"/>
      <c r="R810" s="39"/>
      <c r="S810" s="39"/>
      <c r="T810" s="39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  <c r="AH810" s="14"/>
      <c r="AI810" s="14"/>
      <c r="AJ810" s="14"/>
      <c r="AK810" s="14"/>
      <c r="AL810" s="14"/>
      <c r="AM810" s="14"/>
      <c r="AN810" s="14"/>
      <c r="AO810" s="14"/>
      <c r="AP810" s="14"/>
    </row>
    <row r="811" spans="1:42" ht="13">
      <c r="A811" s="38"/>
      <c r="B811" s="14"/>
      <c r="C811" s="38"/>
      <c r="D811" s="38"/>
      <c r="E811" s="38"/>
      <c r="F811" s="38"/>
      <c r="G811" s="38"/>
      <c r="H811" s="14"/>
      <c r="I811" s="38"/>
      <c r="J811" s="38"/>
      <c r="K811" s="14"/>
      <c r="L811" s="14"/>
      <c r="M811" s="14"/>
      <c r="N811" s="39"/>
      <c r="O811" s="39"/>
      <c r="P811" s="39"/>
      <c r="Q811" s="39"/>
      <c r="R811" s="39"/>
      <c r="S811" s="39"/>
      <c r="T811" s="39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  <c r="AH811" s="14"/>
      <c r="AI811" s="14"/>
      <c r="AJ811" s="14"/>
      <c r="AK811" s="14"/>
      <c r="AL811" s="14"/>
      <c r="AM811" s="14"/>
      <c r="AN811" s="14"/>
      <c r="AO811" s="14"/>
      <c r="AP811" s="14"/>
    </row>
    <row r="812" spans="1:42" ht="13">
      <c r="A812" s="38"/>
      <c r="B812" s="14"/>
      <c r="C812" s="38"/>
      <c r="D812" s="38"/>
      <c r="E812" s="38"/>
      <c r="F812" s="38"/>
      <c r="G812" s="38"/>
      <c r="H812" s="14"/>
      <c r="I812" s="38"/>
      <c r="J812" s="38"/>
      <c r="K812" s="14"/>
      <c r="L812" s="14"/>
      <c r="M812" s="14"/>
      <c r="N812" s="39"/>
      <c r="O812" s="39"/>
      <c r="P812" s="39"/>
      <c r="Q812" s="39"/>
      <c r="R812" s="39"/>
      <c r="S812" s="39"/>
      <c r="T812" s="39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  <c r="AF812" s="14"/>
      <c r="AG812" s="14"/>
      <c r="AH812" s="14"/>
      <c r="AI812" s="14"/>
      <c r="AJ812" s="14"/>
      <c r="AK812" s="14"/>
      <c r="AL812" s="14"/>
      <c r="AM812" s="14"/>
      <c r="AN812" s="14"/>
      <c r="AO812" s="14"/>
      <c r="AP812" s="14"/>
    </row>
    <row r="813" spans="1:42" ht="13">
      <c r="A813" s="38"/>
      <c r="B813" s="14"/>
      <c r="C813" s="38"/>
      <c r="D813" s="38"/>
      <c r="E813" s="38"/>
      <c r="F813" s="38"/>
      <c r="G813" s="38"/>
      <c r="H813" s="14"/>
      <c r="I813" s="38"/>
      <c r="J813" s="38"/>
      <c r="K813" s="14"/>
      <c r="L813" s="14"/>
      <c r="M813" s="14"/>
      <c r="N813" s="39"/>
      <c r="O813" s="39"/>
      <c r="P813" s="39"/>
      <c r="Q813" s="39"/>
      <c r="R813" s="39"/>
      <c r="S813" s="39"/>
      <c r="T813" s="39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  <c r="AH813" s="14"/>
      <c r="AI813" s="14"/>
      <c r="AJ813" s="14"/>
      <c r="AK813" s="14"/>
      <c r="AL813" s="14"/>
      <c r="AM813" s="14"/>
      <c r="AN813" s="14"/>
      <c r="AO813" s="14"/>
      <c r="AP813" s="14"/>
    </row>
    <row r="814" spans="1:42" ht="13">
      <c r="A814" s="38"/>
      <c r="B814" s="14"/>
      <c r="C814" s="38"/>
      <c r="D814" s="38"/>
      <c r="E814" s="38"/>
      <c r="F814" s="38"/>
      <c r="G814" s="38"/>
      <c r="H814" s="14"/>
      <c r="I814" s="38"/>
      <c r="J814" s="38"/>
      <c r="K814" s="14"/>
      <c r="L814" s="14"/>
      <c r="M814" s="14"/>
      <c r="N814" s="39"/>
      <c r="O814" s="39"/>
      <c r="P814" s="39"/>
      <c r="Q814" s="39"/>
      <c r="R814" s="39"/>
      <c r="S814" s="39"/>
      <c r="T814" s="39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  <c r="AH814" s="14"/>
      <c r="AI814" s="14"/>
      <c r="AJ814" s="14"/>
      <c r="AK814" s="14"/>
      <c r="AL814" s="14"/>
      <c r="AM814" s="14"/>
      <c r="AN814" s="14"/>
      <c r="AO814" s="14"/>
      <c r="AP814" s="14"/>
    </row>
    <row r="815" spans="1:42" ht="13">
      <c r="A815" s="38"/>
      <c r="B815" s="14"/>
      <c r="C815" s="38"/>
      <c r="D815" s="38"/>
      <c r="E815" s="38"/>
      <c r="F815" s="38"/>
      <c r="G815" s="38"/>
      <c r="H815" s="14"/>
      <c r="I815" s="38"/>
      <c r="J815" s="38"/>
      <c r="K815" s="14"/>
      <c r="L815" s="14"/>
      <c r="M815" s="14"/>
      <c r="N815" s="39"/>
      <c r="O815" s="39"/>
      <c r="P815" s="39"/>
      <c r="Q815" s="39"/>
      <c r="R815" s="39"/>
      <c r="S815" s="39"/>
      <c r="T815" s="39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  <c r="AH815" s="14"/>
      <c r="AI815" s="14"/>
      <c r="AJ815" s="14"/>
      <c r="AK815" s="14"/>
      <c r="AL815" s="14"/>
      <c r="AM815" s="14"/>
      <c r="AN815" s="14"/>
      <c r="AO815" s="14"/>
      <c r="AP815" s="14"/>
    </row>
    <row r="816" spans="1:42" ht="13">
      <c r="A816" s="38"/>
      <c r="B816" s="14"/>
      <c r="C816" s="38"/>
      <c r="D816" s="38"/>
      <c r="E816" s="38"/>
      <c r="F816" s="38"/>
      <c r="G816" s="38"/>
      <c r="H816" s="14"/>
      <c r="I816" s="38"/>
      <c r="J816" s="38"/>
      <c r="K816" s="14"/>
      <c r="L816" s="14"/>
      <c r="M816" s="14"/>
      <c r="N816" s="39"/>
      <c r="O816" s="39"/>
      <c r="P816" s="39"/>
      <c r="Q816" s="39"/>
      <c r="R816" s="39"/>
      <c r="S816" s="39"/>
      <c r="T816" s="39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  <c r="AH816" s="14"/>
      <c r="AI816" s="14"/>
      <c r="AJ816" s="14"/>
      <c r="AK816" s="14"/>
      <c r="AL816" s="14"/>
      <c r="AM816" s="14"/>
      <c r="AN816" s="14"/>
      <c r="AO816" s="14"/>
      <c r="AP816" s="14"/>
    </row>
    <row r="817" spans="1:42" ht="13">
      <c r="A817" s="38"/>
      <c r="B817" s="14"/>
      <c r="C817" s="38"/>
      <c r="D817" s="38"/>
      <c r="E817" s="38"/>
      <c r="F817" s="38"/>
      <c r="G817" s="38"/>
      <c r="H817" s="14"/>
      <c r="I817" s="38"/>
      <c r="J817" s="38"/>
      <c r="K817" s="14"/>
      <c r="L817" s="14"/>
      <c r="M817" s="14"/>
      <c r="N817" s="39"/>
      <c r="O817" s="39"/>
      <c r="P817" s="39"/>
      <c r="Q817" s="39"/>
      <c r="R817" s="39"/>
      <c r="S817" s="39"/>
      <c r="T817" s="39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  <c r="AH817" s="14"/>
      <c r="AI817" s="14"/>
      <c r="AJ817" s="14"/>
      <c r="AK817" s="14"/>
      <c r="AL817" s="14"/>
      <c r="AM817" s="14"/>
      <c r="AN817" s="14"/>
      <c r="AO817" s="14"/>
      <c r="AP817" s="14"/>
    </row>
    <row r="818" spans="1:42" ht="13">
      <c r="A818" s="38"/>
      <c r="B818" s="14"/>
      <c r="C818" s="38"/>
      <c r="D818" s="38"/>
      <c r="E818" s="38"/>
      <c r="F818" s="38"/>
      <c r="G818" s="38"/>
      <c r="H818" s="14"/>
      <c r="I818" s="38"/>
      <c r="J818" s="38"/>
      <c r="K818" s="14"/>
      <c r="L818" s="14"/>
      <c r="M818" s="14"/>
      <c r="N818" s="39"/>
      <c r="O818" s="39"/>
      <c r="P818" s="39"/>
      <c r="Q818" s="39"/>
      <c r="R818" s="39"/>
      <c r="S818" s="39"/>
      <c r="T818" s="39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  <c r="AH818" s="14"/>
      <c r="AI818" s="14"/>
      <c r="AJ818" s="14"/>
      <c r="AK818" s="14"/>
      <c r="AL818" s="14"/>
      <c r="AM818" s="14"/>
      <c r="AN818" s="14"/>
      <c r="AO818" s="14"/>
      <c r="AP818" s="14"/>
    </row>
    <row r="819" spans="1:42" ht="13">
      <c r="A819" s="38"/>
      <c r="B819" s="14"/>
      <c r="C819" s="38"/>
      <c r="D819" s="38"/>
      <c r="E819" s="38"/>
      <c r="F819" s="38"/>
      <c r="G819" s="38"/>
      <c r="H819" s="14"/>
      <c r="I819" s="38"/>
      <c r="J819" s="38"/>
      <c r="K819" s="14"/>
      <c r="L819" s="14"/>
      <c r="M819" s="14"/>
      <c r="N819" s="39"/>
      <c r="O819" s="39"/>
      <c r="P819" s="39"/>
      <c r="Q819" s="39"/>
      <c r="R819" s="39"/>
      <c r="S819" s="39"/>
      <c r="T819" s="39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  <c r="AH819" s="14"/>
      <c r="AI819" s="14"/>
      <c r="AJ819" s="14"/>
      <c r="AK819" s="14"/>
      <c r="AL819" s="14"/>
      <c r="AM819" s="14"/>
      <c r="AN819" s="14"/>
      <c r="AO819" s="14"/>
      <c r="AP819" s="14"/>
    </row>
    <row r="820" spans="1:42" ht="13">
      <c r="A820" s="38"/>
      <c r="B820" s="14"/>
      <c r="C820" s="38"/>
      <c r="D820" s="38"/>
      <c r="E820" s="38"/>
      <c r="F820" s="38"/>
      <c r="G820" s="38"/>
      <c r="H820" s="14"/>
      <c r="I820" s="38"/>
      <c r="J820" s="38"/>
      <c r="K820" s="14"/>
      <c r="L820" s="14"/>
      <c r="M820" s="14"/>
      <c r="N820" s="39"/>
      <c r="O820" s="39"/>
      <c r="P820" s="39"/>
      <c r="Q820" s="39"/>
      <c r="R820" s="39"/>
      <c r="S820" s="39"/>
      <c r="T820" s="39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  <c r="AH820" s="14"/>
      <c r="AI820" s="14"/>
      <c r="AJ820" s="14"/>
      <c r="AK820" s="14"/>
      <c r="AL820" s="14"/>
      <c r="AM820" s="14"/>
      <c r="AN820" s="14"/>
      <c r="AO820" s="14"/>
      <c r="AP820" s="14"/>
    </row>
    <row r="821" spans="1:42" ht="13">
      <c r="A821" s="38"/>
      <c r="B821" s="14"/>
      <c r="C821" s="38"/>
      <c r="D821" s="38"/>
      <c r="E821" s="38"/>
      <c r="F821" s="38"/>
      <c r="G821" s="38"/>
      <c r="H821" s="14"/>
      <c r="I821" s="38"/>
      <c r="J821" s="38"/>
      <c r="K821" s="14"/>
      <c r="L821" s="14"/>
      <c r="M821" s="14"/>
      <c r="N821" s="39"/>
      <c r="O821" s="39"/>
      <c r="P821" s="39"/>
      <c r="Q821" s="39"/>
      <c r="R821" s="39"/>
      <c r="S821" s="39"/>
      <c r="T821" s="39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  <c r="AH821" s="14"/>
      <c r="AI821" s="14"/>
      <c r="AJ821" s="14"/>
      <c r="AK821" s="14"/>
      <c r="AL821" s="14"/>
      <c r="AM821" s="14"/>
      <c r="AN821" s="14"/>
      <c r="AO821" s="14"/>
      <c r="AP821" s="14"/>
    </row>
    <row r="822" spans="1:42" ht="13">
      <c r="A822" s="38"/>
      <c r="B822" s="14"/>
      <c r="C822" s="38"/>
      <c r="D822" s="38"/>
      <c r="E822" s="38"/>
      <c r="F822" s="38"/>
      <c r="G822" s="38"/>
      <c r="H822" s="14"/>
      <c r="I822" s="38"/>
      <c r="J822" s="38"/>
      <c r="K822" s="14"/>
      <c r="L822" s="14"/>
      <c r="M822" s="14"/>
      <c r="N822" s="39"/>
      <c r="O822" s="39"/>
      <c r="P822" s="39"/>
      <c r="Q822" s="39"/>
      <c r="R822" s="39"/>
      <c r="S822" s="39"/>
      <c r="T822" s="39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  <c r="AH822" s="14"/>
      <c r="AI822" s="14"/>
      <c r="AJ822" s="14"/>
      <c r="AK822" s="14"/>
      <c r="AL822" s="14"/>
      <c r="AM822" s="14"/>
      <c r="AN822" s="14"/>
      <c r="AO822" s="14"/>
      <c r="AP822" s="14"/>
    </row>
    <row r="823" spans="1:42" ht="13">
      <c r="A823" s="38"/>
      <c r="B823" s="14"/>
      <c r="C823" s="38"/>
      <c r="D823" s="38"/>
      <c r="E823" s="38"/>
      <c r="F823" s="38"/>
      <c r="G823" s="38"/>
      <c r="H823" s="14"/>
      <c r="I823" s="38"/>
      <c r="J823" s="38"/>
      <c r="K823" s="14"/>
      <c r="L823" s="14"/>
      <c r="M823" s="14"/>
      <c r="N823" s="39"/>
      <c r="O823" s="39"/>
      <c r="P823" s="39"/>
      <c r="Q823" s="39"/>
      <c r="R823" s="39"/>
      <c r="S823" s="39"/>
      <c r="T823" s="39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  <c r="AH823" s="14"/>
      <c r="AI823" s="14"/>
      <c r="AJ823" s="14"/>
      <c r="AK823" s="14"/>
      <c r="AL823" s="14"/>
      <c r="AM823" s="14"/>
      <c r="AN823" s="14"/>
      <c r="AO823" s="14"/>
      <c r="AP823" s="14"/>
    </row>
    <row r="824" spans="1:42" ht="13">
      <c r="A824" s="38"/>
      <c r="B824" s="14"/>
      <c r="C824" s="38"/>
      <c r="D824" s="38"/>
      <c r="E824" s="38"/>
      <c r="F824" s="38"/>
      <c r="G824" s="38"/>
      <c r="H824" s="14"/>
      <c r="I824" s="38"/>
      <c r="J824" s="38"/>
      <c r="K824" s="14"/>
      <c r="L824" s="14"/>
      <c r="M824" s="14"/>
      <c r="N824" s="39"/>
      <c r="O824" s="39"/>
      <c r="P824" s="39"/>
      <c r="Q824" s="39"/>
      <c r="R824" s="39"/>
      <c r="S824" s="39"/>
      <c r="T824" s="39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  <c r="AH824" s="14"/>
      <c r="AI824" s="14"/>
      <c r="AJ824" s="14"/>
      <c r="AK824" s="14"/>
      <c r="AL824" s="14"/>
      <c r="AM824" s="14"/>
      <c r="AN824" s="14"/>
      <c r="AO824" s="14"/>
      <c r="AP824" s="14"/>
    </row>
    <row r="825" spans="1:42" ht="13">
      <c r="A825" s="38"/>
      <c r="B825" s="14"/>
      <c r="C825" s="38"/>
      <c r="D825" s="38"/>
      <c r="E825" s="38"/>
      <c r="F825" s="38"/>
      <c r="G825" s="38"/>
      <c r="H825" s="14"/>
      <c r="I825" s="38"/>
      <c r="J825" s="38"/>
      <c r="K825" s="14"/>
      <c r="L825" s="14"/>
      <c r="M825" s="14"/>
      <c r="N825" s="39"/>
      <c r="O825" s="39"/>
      <c r="P825" s="39"/>
      <c r="Q825" s="39"/>
      <c r="R825" s="39"/>
      <c r="S825" s="39"/>
      <c r="T825" s="39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  <c r="AH825" s="14"/>
      <c r="AI825" s="14"/>
      <c r="AJ825" s="14"/>
      <c r="AK825" s="14"/>
      <c r="AL825" s="14"/>
      <c r="AM825" s="14"/>
      <c r="AN825" s="14"/>
      <c r="AO825" s="14"/>
      <c r="AP825" s="14"/>
    </row>
    <row r="826" spans="1:42" ht="13">
      <c r="A826" s="38"/>
      <c r="B826" s="14"/>
      <c r="C826" s="38"/>
      <c r="D826" s="38"/>
      <c r="E826" s="38"/>
      <c r="F826" s="38"/>
      <c r="G826" s="38"/>
      <c r="H826" s="14"/>
      <c r="I826" s="38"/>
      <c r="J826" s="38"/>
      <c r="K826" s="14"/>
      <c r="L826" s="14"/>
      <c r="M826" s="14"/>
      <c r="N826" s="39"/>
      <c r="O826" s="39"/>
      <c r="P826" s="39"/>
      <c r="Q826" s="39"/>
      <c r="R826" s="39"/>
      <c r="S826" s="39"/>
      <c r="T826" s="39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  <c r="AH826" s="14"/>
      <c r="AI826" s="14"/>
      <c r="AJ826" s="14"/>
      <c r="AK826" s="14"/>
      <c r="AL826" s="14"/>
      <c r="AM826" s="14"/>
      <c r="AN826" s="14"/>
      <c r="AO826" s="14"/>
      <c r="AP826" s="14"/>
    </row>
    <row r="827" spans="1:42" ht="13">
      <c r="A827" s="38"/>
      <c r="B827" s="14"/>
      <c r="C827" s="38"/>
      <c r="D827" s="38"/>
      <c r="E827" s="38"/>
      <c r="F827" s="38"/>
      <c r="G827" s="38"/>
      <c r="H827" s="14"/>
      <c r="I827" s="38"/>
      <c r="J827" s="38"/>
      <c r="K827" s="14"/>
      <c r="L827" s="14"/>
      <c r="M827" s="14"/>
      <c r="N827" s="39"/>
      <c r="O827" s="39"/>
      <c r="P827" s="39"/>
      <c r="Q827" s="39"/>
      <c r="R827" s="39"/>
      <c r="S827" s="39"/>
      <c r="T827" s="39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  <c r="AH827" s="14"/>
      <c r="AI827" s="14"/>
      <c r="AJ827" s="14"/>
      <c r="AK827" s="14"/>
      <c r="AL827" s="14"/>
      <c r="AM827" s="14"/>
      <c r="AN827" s="14"/>
      <c r="AO827" s="14"/>
      <c r="AP827" s="14"/>
    </row>
    <row r="828" spans="1:42" ht="13">
      <c r="A828" s="38"/>
      <c r="B828" s="14"/>
      <c r="C828" s="38"/>
      <c r="D828" s="38"/>
      <c r="E828" s="38"/>
      <c r="F828" s="38"/>
      <c r="G828" s="38"/>
      <c r="H828" s="14"/>
      <c r="I828" s="38"/>
      <c r="J828" s="38"/>
      <c r="K828" s="14"/>
      <c r="L828" s="14"/>
      <c r="M828" s="14"/>
      <c r="N828" s="39"/>
      <c r="O828" s="39"/>
      <c r="P828" s="39"/>
      <c r="Q828" s="39"/>
      <c r="R828" s="39"/>
      <c r="S828" s="39"/>
      <c r="T828" s="39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  <c r="AH828" s="14"/>
      <c r="AI828" s="14"/>
      <c r="AJ828" s="14"/>
      <c r="AK828" s="14"/>
      <c r="AL828" s="14"/>
      <c r="AM828" s="14"/>
      <c r="AN828" s="14"/>
      <c r="AO828" s="14"/>
      <c r="AP828" s="14"/>
    </row>
    <row r="829" spans="1:42" ht="13">
      <c r="A829" s="38"/>
      <c r="B829" s="14"/>
      <c r="C829" s="38"/>
      <c r="D829" s="38"/>
      <c r="E829" s="38"/>
      <c r="F829" s="38"/>
      <c r="G829" s="38"/>
      <c r="H829" s="14"/>
      <c r="I829" s="38"/>
      <c r="J829" s="38"/>
      <c r="K829" s="14"/>
      <c r="L829" s="14"/>
      <c r="M829" s="14"/>
      <c r="N829" s="39"/>
      <c r="O829" s="39"/>
      <c r="P829" s="39"/>
      <c r="Q829" s="39"/>
      <c r="R829" s="39"/>
      <c r="S829" s="39"/>
      <c r="T829" s="39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  <c r="AH829" s="14"/>
      <c r="AI829" s="14"/>
      <c r="AJ829" s="14"/>
      <c r="AK829" s="14"/>
      <c r="AL829" s="14"/>
      <c r="AM829" s="14"/>
      <c r="AN829" s="14"/>
      <c r="AO829" s="14"/>
      <c r="AP829" s="14"/>
    </row>
    <row r="830" spans="1:42" ht="13">
      <c r="A830" s="38"/>
      <c r="B830" s="14"/>
      <c r="C830" s="38"/>
      <c r="D830" s="38"/>
      <c r="E830" s="38"/>
      <c r="F830" s="38"/>
      <c r="G830" s="38"/>
      <c r="H830" s="14"/>
      <c r="I830" s="38"/>
      <c r="J830" s="38"/>
      <c r="K830" s="14"/>
      <c r="L830" s="14"/>
      <c r="M830" s="14"/>
      <c r="N830" s="39"/>
      <c r="O830" s="39"/>
      <c r="P830" s="39"/>
      <c r="Q830" s="39"/>
      <c r="R830" s="39"/>
      <c r="S830" s="39"/>
      <c r="T830" s="39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  <c r="AH830" s="14"/>
      <c r="AI830" s="14"/>
      <c r="AJ830" s="14"/>
      <c r="AK830" s="14"/>
      <c r="AL830" s="14"/>
      <c r="AM830" s="14"/>
      <c r="AN830" s="14"/>
      <c r="AO830" s="14"/>
      <c r="AP830" s="14"/>
    </row>
    <row r="831" spans="1:42" ht="13">
      <c r="A831" s="38"/>
      <c r="B831" s="14"/>
      <c r="C831" s="38"/>
      <c r="D831" s="38"/>
      <c r="E831" s="38"/>
      <c r="F831" s="38"/>
      <c r="G831" s="38"/>
      <c r="H831" s="14"/>
      <c r="I831" s="38"/>
      <c r="J831" s="38"/>
      <c r="K831" s="14"/>
      <c r="L831" s="14"/>
      <c r="M831" s="14"/>
      <c r="N831" s="39"/>
      <c r="O831" s="39"/>
      <c r="P831" s="39"/>
      <c r="Q831" s="39"/>
      <c r="R831" s="39"/>
      <c r="S831" s="39"/>
      <c r="T831" s="39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  <c r="AH831" s="14"/>
      <c r="AI831" s="14"/>
      <c r="AJ831" s="14"/>
      <c r="AK831" s="14"/>
      <c r="AL831" s="14"/>
      <c r="AM831" s="14"/>
      <c r="AN831" s="14"/>
      <c r="AO831" s="14"/>
      <c r="AP831" s="14"/>
    </row>
    <row r="832" spans="1:42" ht="13">
      <c r="A832" s="38"/>
      <c r="B832" s="14"/>
      <c r="C832" s="38"/>
      <c r="D832" s="38"/>
      <c r="E832" s="38"/>
      <c r="F832" s="38"/>
      <c r="G832" s="38"/>
      <c r="H832" s="14"/>
      <c r="I832" s="38"/>
      <c r="J832" s="38"/>
      <c r="K832" s="14"/>
      <c r="L832" s="14"/>
      <c r="M832" s="14"/>
      <c r="N832" s="39"/>
      <c r="O832" s="39"/>
      <c r="P832" s="39"/>
      <c r="Q832" s="39"/>
      <c r="R832" s="39"/>
      <c r="S832" s="39"/>
      <c r="T832" s="39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  <c r="AH832" s="14"/>
      <c r="AI832" s="14"/>
      <c r="AJ832" s="14"/>
      <c r="AK832" s="14"/>
      <c r="AL832" s="14"/>
      <c r="AM832" s="14"/>
      <c r="AN832" s="14"/>
      <c r="AO832" s="14"/>
      <c r="AP832" s="14"/>
    </row>
    <row r="833" spans="1:42" ht="13">
      <c r="A833" s="38"/>
      <c r="B833" s="14"/>
      <c r="C833" s="38"/>
      <c r="D833" s="38"/>
      <c r="E833" s="38"/>
      <c r="F833" s="38"/>
      <c r="G833" s="38"/>
      <c r="H833" s="14"/>
      <c r="I833" s="38"/>
      <c r="J833" s="38"/>
      <c r="K833" s="14"/>
      <c r="L833" s="14"/>
      <c r="M833" s="14"/>
      <c r="N833" s="39"/>
      <c r="O833" s="39"/>
      <c r="P833" s="39"/>
      <c r="Q833" s="39"/>
      <c r="R833" s="39"/>
      <c r="S833" s="39"/>
      <c r="T833" s="39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  <c r="AH833" s="14"/>
      <c r="AI833" s="14"/>
      <c r="AJ833" s="14"/>
      <c r="AK833" s="14"/>
      <c r="AL833" s="14"/>
      <c r="AM833" s="14"/>
      <c r="AN833" s="14"/>
      <c r="AO833" s="14"/>
      <c r="AP833" s="14"/>
    </row>
    <row r="834" spans="1:42" ht="13">
      <c r="A834" s="38"/>
      <c r="B834" s="14"/>
      <c r="C834" s="38"/>
      <c r="D834" s="38"/>
      <c r="E834" s="38"/>
      <c r="F834" s="38"/>
      <c r="G834" s="38"/>
      <c r="H834" s="14"/>
      <c r="I834" s="38"/>
      <c r="J834" s="38"/>
      <c r="K834" s="14"/>
      <c r="L834" s="14"/>
      <c r="M834" s="14"/>
      <c r="N834" s="39"/>
      <c r="O834" s="39"/>
      <c r="P834" s="39"/>
      <c r="Q834" s="39"/>
      <c r="R834" s="39"/>
      <c r="S834" s="39"/>
      <c r="T834" s="39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  <c r="AH834" s="14"/>
      <c r="AI834" s="14"/>
      <c r="AJ834" s="14"/>
      <c r="AK834" s="14"/>
      <c r="AL834" s="14"/>
      <c r="AM834" s="14"/>
      <c r="AN834" s="14"/>
      <c r="AO834" s="14"/>
      <c r="AP834" s="14"/>
    </row>
    <row r="835" spans="1:42" ht="13">
      <c r="A835" s="38"/>
      <c r="B835" s="14"/>
      <c r="C835" s="38"/>
      <c r="D835" s="38"/>
      <c r="E835" s="38"/>
      <c r="F835" s="38"/>
      <c r="G835" s="38"/>
      <c r="H835" s="14"/>
      <c r="I835" s="38"/>
      <c r="J835" s="38"/>
      <c r="K835" s="14"/>
      <c r="L835" s="14"/>
      <c r="M835" s="14"/>
      <c r="N835" s="39"/>
      <c r="O835" s="39"/>
      <c r="P835" s="39"/>
      <c r="Q835" s="39"/>
      <c r="R835" s="39"/>
      <c r="S835" s="39"/>
      <c r="T835" s="39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  <c r="AH835" s="14"/>
      <c r="AI835" s="14"/>
      <c r="AJ835" s="14"/>
      <c r="AK835" s="14"/>
      <c r="AL835" s="14"/>
      <c r="AM835" s="14"/>
      <c r="AN835" s="14"/>
      <c r="AO835" s="14"/>
      <c r="AP835" s="14"/>
    </row>
    <row r="836" spans="1:42" ht="13">
      <c r="A836" s="38"/>
      <c r="B836" s="14"/>
      <c r="C836" s="38"/>
      <c r="D836" s="38"/>
      <c r="E836" s="38"/>
      <c r="F836" s="38"/>
      <c r="G836" s="38"/>
      <c r="H836" s="14"/>
      <c r="I836" s="38"/>
      <c r="J836" s="38"/>
      <c r="K836" s="14"/>
      <c r="L836" s="14"/>
      <c r="M836" s="14"/>
      <c r="N836" s="39"/>
      <c r="O836" s="39"/>
      <c r="P836" s="39"/>
      <c r="Q836" s="39"/>
      <c r="R836" s="39"/>
      <c r="S836" s="39"/>
      <c r="T836" s="39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  <c r="AF836" s="14"/>
      <c r="AG836" s="14"/>
      <c r="AH836" s="14"/>
      <c r="AI836" s="14"/>
      <c r="AJ836" s="14"/>
      <c r="AK836" s="14"/>
      <c r="AL836" s="14"/>
      <c r="AM836" s="14"/>
      <c r="AN836" s="14"/>
      <c r="AO836" s="14"/>
      <c r="AP836" s="14"/>
    </row>
    <row r="837" spans="1:42" ht="13">
      <c r="A837" s="38"/>
      <c r="B837" s="14"/>
      <c r="C837" s="38"/>
      <c r="D837" s="38"/>
      <c r="E837" s="38"/>
      <c r="F837" s="38"/>
      <c r="G837" s="38"/>
      <c r="H837" s="14"/>
      <c r="I837" s="38"/>
      <c r="J837" s="38"/>
      <c r="K837" s="14"/>
      <c r="L837" s="14"/>
      <c r="M837" s="14"/>
      <c r="N837" s="39"/>
      <c r="O837" s="39"/>
      <c r="P837" s="39"/>
      <c r="Q837" s="39"/>
      <c r="R837" s="39"/>
      <c r="S837" s="39"/>
      <c r="T837" s="39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  <c r="AH837" s="14"/>
      <c r="AI837" s="14"/>
      <c r="AJ837" s="14"/>
      <c r="AK837" s="14"/>
      <c r="AL837" s="14"/>
      <c r="AM837" s="14"/>
      <c r="AN837" s="14"/>
      <c r="AO837" s="14"/>
      <c r="AP837" s="14"/>
    </row>
    <row r="838" spans="1:42" ht="13">
      <c r="A838" s="38"/>
      <c r="B838" s="14"/>
      <c r="C838" s="38"/>
      <c r="D838" s="38"/>
      <c r="E838" s="38"/>
      <c r="F838" s="38"/>
      <c r="G838" s="38"/>
      <c r="H838" s="14"/>
      <c r="I838" s="38"/>
      <c r="J838" s="38"/>
      <c r="K838" s="14"/>
      <c r="L838" s="14"/>
      <c r="M838" s="14"/>
      <c r="N838" s="39"/>
      <c r="O838" s="39"/>
      <c r="P838" s="39"/>
      <c r="Q838" s="39"/>
      <c r="R838" s="39"/>
      <c r="S838" s="39"/>
      <c r="T838" s="39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  <c r="AF838" s="14"/>
      <c r="AG838" s="14"/>
      <c r="AH838" s="14"/>
      <c r="AI838" s="14"/>
      <c r="AJ838" s="14"/>
      <c r="AK838" s="14"/>
      <c r="AL838" s="14"/>
      <c r="AM838" s="14"/>
      <c r="AN838" s="14"/>
      <c r="AO838" s="14"/>
      <c r="AP838" s="14"/>
    </row>
    <row r="839" spans="1:42" ht="13">
      <c r="A839" s="38"/>
      <c r="B839" s="14"/>
      <c r="C839" s="38"/>
      <c r="D839" s="38"/>
      <c r="E839" s="38"/>
      <c r="F839" s="38"/>
      <c r="G839" s="38"/>
      <c r="H839" s="14"/>
      <c r="I839" s="38"/>
      <c r="J839" s="38"/>
      <c r="K839" s="14"/>
      <c r="L839" s="14"/>
      <c r="M839" s="14"/>
      <c r="N839" s="39"/>
      <c r="O839" s="39"/>
      <c r="P839" s="39"/>
      <c r="Q839" s="39"/>
      <c r="R839" s="39"/>
      <c r="S839" s="39"/>
      <c r="T839" s="39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  <c r="AH839" s="14"/>
      <c r="AI839" s="14"/>
      <c r="AJ839" s="14"/>
      <c r="AK839" s="14"/>
      <c r="AL839" s="14"/>
      <c r="AM839" s="14"/>
      <c r="AN839" s="14"/>
      <c r="AO839" s="14"/>
      <c r="AP839" s="14"/>
    </row>
    <row r="840" spans="1:42" ht="13">
      <c r="A840" s="38"/>
      <c r="B840" s="14"/>
      <c r="C840" s="38"/>
      <c r="D840" s="38"/>
      <c r="E840" s="38"/>
      <c r="F840" s="38"/>
      <c r="G840" s="38"/>
      <c r="H840" s="14"/>
      <c r="I840" s="38"/>
      <c r="J840" s="38"/>
      <c r="K840" s="14"/>
      <c r="L840" s="14"/>
      <c r="M840" s="14"/>
      <c r="N840" s="39"/>
      <c r="O840" s="39"/>
      <c r="P840" s="39"/>
      <c r="Q840" s="39"/>
      <c r="R840" s="39"/>
      <c r="S840" s="39"/>
      <c r="T840" s="39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  <c r="AF840" s="14"/>
      <c r="AG840" s="14"/>
      <c r="AH840" s="14"/>
      <c r="AI840" s="14"/>
      <c r="AJ840" s="14"/>
      <c r="AK840" s="14"/>
      <c r="AL840" s="14"/>
      <c r="AM840" s="14"/>
      <c r="AN840" s="14"/>
      <c r="AO840" s="14"/>
      <c r="AP840" s="14"/>
    </row>
    <row r="841" spans="1:42" ht="13">
      <c r="A841" s="38"/>
      <c r="B841" s="14"/>
      <c r="C841" s="38"/>
      <c r="D841" s="38"/>
      <c r="E841" s="38"/>
      <c r="F841" s="38"/>
      <c r="G841" s="38"/>
      <c r="H841" s="14"/>
      <c r="I841" s="38"/>
      <c r="J841" s="38"/>
      <c r="K841" s="14"/>
      <c r="L841" s="14"/>
      <c r="M841" s="14"/>
      <c r="N841" s="39"/>
      <c r="O841" s="39"/>
      <c r="P841" s="39"/>
      <c r="Q841" s="39"/>
      <c r="R841" s="39"/>
      <c r="S841" s="39"/>
      <c r="T841" s="39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  <c r="AH841" s="14"/>
      <c r="AI841" s="14"/>
      <c r="AJ841" s="14"/>
      <c r="AK841" s="14"/>
      <c r="AL841" s="14"/>
      <c r="AM841" s="14"/>
      <c r="AN841" s="14"/>
      <c r="AO841" s="14"/>
      <c r="AP841" s="14"/>
    </row>
    <row r="842" spans="1:42" ht="13">
      <c r="A842" s="38"/>
      <c r="B842" s="14"/>
      <c r="C842" s="38"/>
      <c r="D842" s="38"/>
      <c r="E842" s="38"/>
      <c r="F842" s="38"/>
      <c r="G842" s="38"/>
      <c r="H842" s="14"/>
      <c r="I842" s="38"/>
      <c r="J842" s="38"/>
      <c r="K842" s="14"/>
      <c r="L842" s="14"/>
      <c r="M842" s="14"/>
      <c r="N842" s="39"/>
      <c r="O842" s="39"/>
      <c r="P842" s="39"/>
      <c r="Q842" s="39"/>
      <c r="R842" s="39"/>
      <c r="S842" s="39"/>
      <c r="T842" s="39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  <c r="AF842" s="14"/>
      <c r="AG842" s="14"/>
      <c r="AH842" s="14"/>
      <c r="AI842" s="14"/>
      <c r="AJ842" s="14"/>
      <c r="AK842" s="14"/>
      <c r="AL842" s="14"/>
      <c r="AM842" s="14"/>
      <c r="AN842" s="14"/>
      <c r="AO842" s="14"/>
      <c r="AP842" s="14"/>
    </row>
    <row r="843" spans="1:42" ht="13">
      <c r="A843" s="38"/>
      <c r="B843" s="14"/>
      <c r="C843" s="38"/>
      <c r="D843" s="38"/>
      <c r="E843" s="38"/>
      <c r="F843" s="38"/>
      <c r="G843" s="38"/>
      <c r="H843" s="14"/>
      <c r="I843" s="38"/>
      <c r="J843" s="38"/>
      <c r="K843" s="14"/>
      <c r="L843" s="14"/>
      <c r="M843" s="14"/>
      <c r="N843" s="39"/>
      <c r="O843" s="39"/>
      <c r="P843" s="39"/>
      <c r="Q843" s="39"/>
      <c r="R843" s="39"/>
      <c r="S843" s="39"/>
      <c r="T843" s="39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  <c r="AH843" s="14"/>
      <c r="AI843" s="14"/>
      <c r="AJ843" s="14"/>
      <c r="AK843" s="14"/>
      <c r="AL843" s="14"/>
      <c r="AM843" s="14"/>
      <c r="AN843" s="14"/>
      <c r="AO843" s="14"/>
      <c r="AP843" s="14"/>
    </row>
    <row r="844" spans="1:42" ht="13">
      <c r="A844" s="38"/>
      <c r="B844" s="14"/>
      <c r="C844" s="38"/>
      <c r="D844" s="38"/>
      <c r="E844" s="38"/>
      <c r="F844" s="38"/>
      <c r="G844" s="38"/>
      <c r="H844" s="14"/>
      <c r="I844" s="38"/>
      <c r="J844" s="38"/>
      <c r="K844" s="14"/>
      <c r="L844" s="14"/>
      <c r="M844" s="14"/>
      <c r="N844" s="39"/>
      <c r="O844" s="39"/>
      <c r="P844" s="39"/>
      <c r="Q844" s="39"/>
      <c r="R844" s="39"/>
      <c r="S844" s="39"/>
      <c r="T844" s="39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  <c r="AH844" s="14"/>
      <c r="AI844" s="14"/>
      <c r="AJ844" s="14"/>
      <c r="AK844" s="14"/>
      <c r="AL844" s="14"/>
      <c r="AM844" s="14"/>
      <c r="AN844" s="14"/>
      <c r="AO844" s="14"/>
      <c r="AP844" s="14"/>
    </row>
    <row r="845" spans="1:42" ht="13">
      <c r="A845" s="38"/>
      <c r="B845" s="14"/>
      <c r="C845" s="38"/>
      <c r="D845" s="38"/>
      <c r="E845" s="38"/>
      <c r="F845" s="38"/>
      <c r="G845" s="38"/>
      <c r="H845" s="14"/>
      <c r="I845" s="38"/>
      <c r="J845" s="38"/>
      <c r="K845" s="14"/>
      <c r="L845" s="14"/>
      <c r="M845" s="14"/>
      <c r="N845" s="39"/>
      <c r="O845" s="39"/>
      <c r="P845" s="39"/>
      <c r="Q845" s="39"/>
      <c r="R845" s="39"/>
      <c r="S845" s="39"/>
      <c r="T845" s="39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  <c r="AH845" s="14"/>
      <c r="AI845" s="14"/>
      <c r="AJ845" s="14"/>
      <c r="AK845" s="14"/>
      <c r="AL845" s="14"/>
      <c r="AM845" s="14"/>
      <c r="AN845" s="14"/>
      <c r="AO845" s="14"/>
      <c r="AP845" s="14"/>
    </row>
    <row r="846" spans="1:42" ht="13">
      <c r="A846" s="38"/>
      <c r="B846" s="14"/>
      <c r="C846" s="38"/>
      <c r="D846" s="38"/>
      <c r="E846" s="38"/>
      <c r="F846" s="38"/>
      <c r="G846" s="38"/>
      <c r="H846" s="14"/>
      <c r="I846" s="38"/>
      <c r="J846" s="38"/>
      <c r="K846" s="14"/>
      <c r="L846" s="14"/>
      <c r="M846" s="14"/>
      <c r="N846" s="39"/>
      <c r="O846" s="39"/>
      <c r="P846" s="39"/>
      <c r="Q846" s="39"/>
      <c r="R846" s="39"/>
      <c r="S846" s="39"/>
      <c r="T846" s="39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  <c r="AH846" s="14"/>
      <c r="AI846" s="14"/>
      <c r="AJ846" s="14"/>
      <c r="AK846" s="14"/>
      <c r="AL846" s="14"/>
      <c r="AM846" s="14"/>
      <c r="AN846" s="14"/>
      <c r="AO846" s="14"/>
      <c r="AP846" s="14"/>
    </row>
    <row r="847" spans="1:42" ht="13">
      <c r="A847" s="38"/>
      <c r="B847" s="14"/>
      <c r="C847" s="38"/>
      <c r="D847" s="38"/>
      <c r="E847" s="38"/>
      <c r="F847" s="38"/>
      <c r="G847" s="38"/>
      <c r="H847" s="14"/>
      <c r="I847" s="38"/>
      <c r="J847" s="38"/>
      <c r="K847" s="14"/>
      <c r="L847" s="14"/>
      <c r="M847" s="14"/>
      <c r="N847" s="39"/>
      <c r="O847" s="39"/>
      <c r="P847" s="39"/>
      <c r="Q847" s="39"/>
      <c r="R847" s="39"/>
      <c r="S847" s="39"/>
      <c r="T847" s="39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  <c r="AH847" s="14"/>
      <c r="AI847" s="14"/>
      <c r="AJ847" s="14"/>
      <c r="AK847" s="14"/>
      <c r="AL847" s="14"/>
      <c r="AM847" s="14"/>
      <c r="AN847" s="14"/>
      <c r="AO847" s="14"/>
      <c r="AP847" s="14"/>
    </row>
    <row r="848" spans="1:42" ht="13">
      <c r="A848" s="38"/>
      <c r="B848" s="14"/>
      <c r="C848" s="38"/>
      <c r="D848" s="38"/>
      <c r="E848" s="38"/>
      <c r="F848" s="38"/>
      <c r="G848" s="38"/>
      <c r="H848" s="14"/>
      <c r="I848" s="38"/>
      <c r="J848" s="38"/>
      <c r="K848" s="14"/>
      <c r="L848" s="14"/>
      <c r="M848" s="14"/>
      <c r="N848" s="39"/>
      <c r="O848" s="39"/>
      <c r="P848" s="39"/>
      <c r="Q848" s="39"/>
      <c r="R848" s="39"/>
      <c r="S848" s="39"/>
      <c r="T848" s="39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  <c r="AH848" s="14"/>
      <c r="AI848" s="14"/>
      <c r="AJ848" s="14"/>
      <c r="AK848" s="14"/>
      <c r="AL848" s="14"/>
      <c r="AM848" s="14"/>
      <c r="AN848" s="14"/>
      <c r="AO848" s="14"/>
      <c r="AP848" s="14"/>
    </row>
    <row r="849" spans="1:42" ht="13">
      <c r="A849" s="38"/>
      <c r="B849" s="14"/>
      <c r="C849" s="38"/>
      <c r="D849" s="38"/>
      <c r="E849" s="38"/>
      <c r="F849" s="38"/>
      <c r="G849" s="38"/>
      <c r="H849" s="14"/>
      <c r="I849" s="38"/>
      <c r="J849" s="38"/>
      <c r="K849" s="14"/>
      <c r="L849" s="14"/>
      <c r="M849" s="14"/>
      <c r="N849" s="39"/>
      <c r="O849" s="39"/>
      <c r="P849" s="39"/>
      <c r="Q849" s="39"/>
      <c r="R849" s="39"/>
      <c r="S849" s="39"/>
      <c r="T849" s="39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  <c r="AH849" s="14"/>
      <c r="AI849" s="14"/>
      <c r="AJ849" s="14"/>
      <c r="AK849" s="14"/>
      <c r="AL849" s="14"/>
      <c r="AM849" s="14"/>
      <c r="AN849" s="14"/>
      <c r="AO849" s="14"/>
      <c r="AP849" s="14"/>
    </row>
    <row r="850" spans="1:42" ht="13">
      <c r="A850" s="38"/>
      <c r="B850" s="14"/>
      <c r="C850" s="38"/>
      <c r="D850" s="38"/>
      <c r="E850" s="38"/>
      <c r="F850" s="38"/>
      <c r="G850" s="38"/>
      <c r="H850" s="14"/>
      <c r="I850" s="38"/>
      <c r="J850" s="38"/>
      <c r="K850" s="14"/>
      <c r="L850" s="14"/>
      <c r="M850" s="14"/>
      <c r="N850" s="39"/>
      <c r="O850" s="39"/>
      <c r="P850" s="39"/>
      <c r="Q850" s="39"/>
      <c r="R850" s="39"/>
      <c r="S850" s="39"/>
      <c r="T850" s="39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  <c r="AF850" s="14"/>
      <c r="AG850" s="14"/>
      <c r="AH850" s="14"/>
      <c r="AI850" s="14"/>
      <c r="AJ850" s="14"/>
      <c r="AK850" s="14"/>
      <c r="AL850" s="14"/>
      <c r="AM850" s="14"/>
      <c r="AN850" s="14"/>
      <c r="AO850" s="14"/>
      <c r="AP850" s="14"/>
    </row>
    <row r="851" spans="1:42" ht="13">
      <c r="A851" s="38"/>
      <c r="B851" s="14"/>
      <c r="C851" s="38"/>
      <c r="D851" s="38"/>
      <c r="E851" s="38"/>
      <c r="F851" s="38"/>
      <c r="G851" s="38"/>
      <c r="H851" s="14"/>
      <c r="I851" s="38"/>
      <c r="J851" s="38"/>
      <c r="K851" s="14"/>
      <c r="L851" s="14"/>
      <c r="M851" s="14"/>
      <c r="N851" s="39"/>
      <c r="O851" s="39"/>
      <c r="P851" s="39"/>
      <c r="Q851" s="39"/>
      <c r="R851" s="39"/>
      <c r="S851" s="39"/>
      <c r="T851" s="39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  <c r="AH851" s="14"/>
      <c r="AI851" s="14"/>
      <c r="AJ851" s="14"/>
      <c r="AK851" s="14"/>
      <c r="AL851" s="14"/>
      <c r="AM851" s="14"/>
      <c r="AN851" s="14"/>
      <c r="AO851" s="14"/>
      <c r="AP851" s="14"/>
    </row>
    <row r="852" spans="1:42" ht="13">
      <c r="A852" s="38"/>
      <c r="B852" s="14"/>
      <c r="C852" s="38"/>
      <c r="D852" s="38"/>
      <c r="E852" s="38"/>
      <c r="F852" s="38"/>
      <c r="G852" s="38"/>
      <c r="H852" s="14"/>
      <c r="I852" s="38"/>
      <c r="J852" s="38"/>
      <c r="K852" s="14"/>
      <c r="L852" s="14"/>
      <c r="M852" s="14"/>
      <c r="N852" s="39"/>
      <c r="O852" s="39"/>
      <c r="P852" s="39"/>
      <c r="Q852" s="39"/>
      <c r="R852" s="39"/>
      <c r="S852" s="39"/>
      <c r="T852" s="39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  <c r="AH852" s="14"/>
      <c r="AI852" s="14"/>
      <c r="AJ852" s="14"/>
      <c r="AK852" s="14"/>
      <c r="AL852" s="14"/>
      <c r="AM852" s="14"/>
      <c r="AN852" s="14"/>
      <c r="AO852" s="14"/>
      <c r="AP852" s="14"/>
    </row>
    <row r="853" spans="1:42" ht="13">
      <c r="A853" s="38"/>
      <c r="B853" s="14"/>
      <c r="C853" s="38"/>
      <c r="D853" s="38"/>
      <c r="E853" s="38"/>
      <c r="F853" s="38"/>
      <c r="G853" s="38"/>
      <c r="H853" s="14"/>
      <c r="I853" s="38"/>
      <c r="J853" s="38"/>
      <c r="K853" s="14"/>
      <c r="L853" s="14"/>
      <c r="M853" s="14"/>
      <c r="N853" s="39"/>
      <c r="O853" s="39"/>
      <c r="P853" s="39"/>
      <c r="Q853" s="39"/>
      <c r="R853" s="39"/>
      <c r="S853" s="39"/>
      <c r="T853" s="39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  <c r="AH853" s="14"/>
      <c r="AI853" s="14"/>
      <c r="AJ853" s="14"/>
      <c r="AK853" s="14"/>
      <c r="AL853" s="14"/>
      <c r="AM853" s="14"/>
      <c r="AN853" s="14"/>
      <c r="AO853" s="14"/>
      <c r="AP853" s="14"/>
    </row>
    <row r="854" spans="1:42" ht="13">
      <c r="A854" s="38"/>
      <c r="B854" s="14"/>
      <c r="C854" s="38"/>
      <c r="D854" s="38"/>
      <c r="E854" s="38"/>
      <c r="F854" s="38"/>
      <c r="G854" s="38"/>
      <c r="H854" s="14"/>
      <c r="I854" s="38"/>
      <c r="J854" s="38"/>
      <c r="K854" s="14"/>
      <c r="L854" s="14"/>
      <c r="M854" s="14"/>
      <c r="N854" s="39"/>
      <c r="O854" s="39"/>
      <c r="P854" s="39"/>
      <c r="Q854" s="39"/>
      <c r="R854" s="39"/>
      <c r="S854" s="39"/>
      <c r="T854" s="39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  <c r="AH854" s="14"/>
      <c r="AI854" s="14"/>
      <c r="AJ854" s="14"/>
      <c r="AK854" s="14"/>
      <c r="AL854" s="14"/>
      <c r="AM854" s="14"/>
      <c r="AN854" s="14"/>
      <c r="AO854" s="14"/>
      <c r="AP854" s="14"/>
    </row>
    <row r="855" spans="1:42" ht="13">
      <c r="A855" s="38"/>
      <c r="B855" s="14"/>
      <c r="C855" s="38"/>
      <c r="D855" s="38"/>
      <c r="E855" s="38"/>
      <c r="F855" s="38"/>
      <c r="G855" s="38"/>
      <c r="H855" s="14"/>
      <c r="I855" s="38"/>
      <c r="J855" s="38"/>
      <c r="K855" s="14"/>
      <c r="L855" s="14"/>
      <c r="M855" s="14"/>
      <c r="N855" s="39"/>
      <c r="O855" s="39"/>
      <c r="P855" s="39"/>
      <c r="Q855" s="39"/>
      <c r="R855" s="39"/>
      <c r="S855" s="39"/>
      <c r="T855" s="39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  <c r="AH855" s="14"/>
      <c r="AI855" s="14"/>
      <c r="AJ855" s="14"/>
      <c r="AK855" s="14"/>
      <c r="AL855" s="14"/>
      <c r="AM855" s="14"/>
      <c r="AN855" s="14"/>
      <c r="AO855" s="14"/>
      <c r="AP855" s="14"/>
    </row>
    <row r="856" spans="1:42" ht="13">
      <c r="A856" s="38"/>
      <c r="B856" s="14"/>
      <c r="C856" s="38"/>
      <c r="D856" s="38"/>
      <c r="E856" s="38"/>
      <c r="F856" s="38"/>
      <c r="G856" s="38"/>
      <c r="H856" s="14"/>
      <c r="I856" s="38"/>
      <c r="J856" s="38"/>
      <c r="K856" s="14"/>
      <c r="L856" s="14"/>
      <c r="M856" s="14"/>
      <c r="N856" s="39"/>
      <c r="O856" s="39"/>
      <c r="P856" s="39"/>
      <c r="Q856" s="39"/>
      <c r="R856" s="39"/>
      <c r="S856" s="39"/>
      <c r="T856" s="39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  <c r="AH856" s="14"/>
      <c r="AI856" s="14"/>
      <c r="AJ856" s="14"/>
      <c r="AK856" s="14"/>
      <c r="AL856" s="14"/>
      <c r="AM856" s="14"/>
      <c r="AN856" s="14"/>
      <c r="AO856" s="14"/>
      <c r="AP856" s="14"/>
    </row>
    <row r="857" spans="1:42" ht="13">
      <c r="A857" s="38"/>
      <c r="B857" s="14"/>
      <c r="C857" s="38"/>
      <c r="D857" s="38"/>
      <c r="E857" s="38"/>
      <c r="F857" s="38"/>
      <c r="G857" s="38"/>
      <c r="H857" s="14"/>
      <c r="I857" s="38"/>
      <c r="J857" s="38"/>
      <c r="K857" s="14"/>
      <c r="L857" s="14"/>
      <c r="M857" s="14"/>
      <c r="N857" s="39"/>
      <c r="O857" s="39"/>
      <c r="P857" s="39"/>
      <c r="Q857" s="39"/>
      <c r="R857" s="39"/>
      <c r="S857" s="39"/>
      <c r="T857" s="39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  <c r="AH857" s="14"/>
      <c r="AI857" s="14"/>
      <c r="AJ857" s="14"/>
      <c r="AK857" s="14"/>
      <c r="AL857" s="14"/>
      <c r="AM857" s="14"/>
      <c r="AN857" s="14"/>
      <c r="AO857" s="14"/>
      <c r="AP857" s="14"/>
    </row>
    <row r="858" spans="1:42" ht="13">
      <c r="A858" s="38"/>
      <c r="B858" s="14"/>
      <c r="C858" s="38"/>
      <c r="D858" s="38"/>
      <c r="E858" s="38"/>
      <c r="F858" s="38"/>
      <c r="G858" s="38"/>
      <c r="H858" s="14"/>
      <c r="I858" s="38"/>
      <c r="J858" s="38"/>
      <c r="K858" s="14"/>
      <c r="L858" s="14"/>
      <c r="M858" s="14"/>
      <c r="N858" s="39"/>
      <c r="O858" s="39"/>
      <c r="P858" s="39"/>
      <c r="Q858" s="39"/>
      <c r="R858" s="39"/>
      <c r="S858" s="39"/>
      <c r="T858" s="39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14"/>
      <c r="AG858" s="14"/>
      <c r="AH858" s="14"/>
      <c r="AI858" s="14"/>
      <c r="AJ858" s="14"/>
      <c r="AK858" s="14"/>
      <c r="AL858" s="14"/>
      <c r="AM858" s="14"/>
      <c r="AN858" s="14"/>
      <c r="AO858" s="14"/>
      <c r="AP858" s="14"/>
    </row>
    <row r="859" spans="1:42" ht="13">
      <c r="A859" s="38"/>
      <c r="B859" s="14"/>
      <c r="C859" s="38"/>
      <c r="D859" s="38"/>
      <c r="E859" s="38"/>
      <c r="F859" s="38"/>
      <c r="G859" s="38"/>
      <c r="H859" s="14"/>
      <c r="I859" s="38"/>
      <c r="J859" s="38"/>
      <c r="K859" s="14"/>
      <c r="L859" s="14"/>
      <c r="M859" s="14"/>
      <c r="N859" s="39"/>
      <c r="O859" s="39"/>
      <c r="P859" s="39"/>
      <c r="Q859" s="39"/>
      <c r="R859" s="39"/>
      <c r="S859" s="39"/>
      <c r="T859" s="39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  <c r="AH859" s="14"/>
      <c r="AI859" s="14"/>
      <c r="AJ859" s="14"/>
      <c r="AK859" s="14"/>
      <c r="AL859" s="14"/>
      <c r="AM859" s="14"/>
      <c r="AN859" s="14"/>
      <c r="AO859" s="14"/>
      <c r="AP859" s="14"/>
    </row>
    <row r="860" spans="1:42" ht="13">
      <c r="A860" s="38"/>
      <c r="B860" s="14"/>
      <c r="C860" s="38"/>
      <c r="D860" s="38"/>
      <c r="E860" s="38"/>
      <c r="F860" s="38"/>
      <c r="G860" s="38"/>
      <c r="H860" s="14"/>
      <c r="I860" s="38"/>
      <c r="J860" s="38"/>
      <c r="K860" s="14"/>
      <c r="L860" s="14"/>
      <c r="M860" s="14"/>
      <c r="N860" s="39"/>
      <c r="O860" s="39"/>
      <c r="P860" s="39"/>
      <c r="Q860" s="39"/>
      <c r="R860" s="39"/>
      <c r="S860" s="39"/>
      <c r="T860" s="39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14"/>
      <c r="AG860" s="14"/>
      <c r="AH860" s="14"/>
      <c r="AI860" s="14"/>
      <c r="AJ860" s="14"/>
      <c r="AK860" s="14"/>
      <c r="AL860" s="14"/>
      <c r="AM860" s="14"/>
      <c r="AN860" s="14"/>
      <c r="AO860" s="14"/>
      <c r="AP860" s="14"/>
    </row>
    <row r="861" spans="1:42" ht="13">
      <c r="A861" s="38"/>
      <c r="B861" s="14"/>
      <c r="C861" s="38"/>
      <c r="D861" s="38"/>
      <c r="E861" s="38"/>
      <c r="F861" s="38"/>
      <c r="G861" s="38"/>
      <c r="H861" s="14"/>
      <c r="I861" s="38"/>
      <c r="J861" s="38"/>
      <c r="K861" s="14"/>
      <c r="L861" s="14"/>
      <c r="M861" s="14"/>
      <c r="N861" s="39"/>
      <c r="O861" s="39"/>
      <c r="P861" s="39"/>
      <c r="Q861" s="39"/>
      <c r="R861" s="39"/>
      <c r="S861" s="39"/>
      <c r="T861" s="39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  <c r="AH861" s="14"/>
      <c r="AI861" s="14"/>
      <c r="AJ861" s="14"/>
      <c r="AK861" s="14"/>
      <c r="AL861" s="14"/>
      <c r="AM861" s="14"/>
      <c r="AN861" s="14"/>
      <c r="AO861" s="14"/>
      <c r="AP861" s="14"/>
    </row>
    <row r="862" spans="1:42" ht="13">
      <c r="A862" s="38"/>
      <c r="B862" s="14"/>
      <c r="C862" s="38"/>
      <c r="D862" s="38"/>
      <c r="E862" s="38"/>
      <c r="F862" s="38"/>
      <c r="G862" s="38"/>
      <c r="H862" s="14"/>
      <c r="I862" s="38"/>
      <c r="J862" s="38"/>
      <c r="K862" s="14"/>
      <c r="L862" s="14"/>
      <c r="M862" s="14"/>
      <c r="N862" s="39"/>
      <c r="O862" s="39"/>
      <c r="P862" s="39"/>
      <c r="Q862" s="39"/>
      <c r="R862" s="39"/>
      <c r="S862" s="39"/>
      <c r="T862" s="39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  <c r="AH862" s="14"/>
      <c r="AI862" s="14"/>
      <c r="AJ862" s="14"/>
      <c r="AK862" s="14"/>
      <c r="AL862" s="14"/>
      <c r="AM862" s="14"/>
      <c r="AN862" s="14"/>
      <c r="AO862" s="14"/>
      <c r="AP862" s="14"/>
    </row>
    <row r="863" spans="1:42" ht="13">
      <c r="A863" s="38"/>
      <c r="B863" s="14"/>
      <c r="C863" s="38"/>
      <c r="D863" s="38"/>
      <c r="E863" s="38"/>
      <c r="F863" s="38"/>
      <c r="G863" s="38"/>
      <c r="H863" s="14"/>
      <c r="I863" s="38"/>
      <c r="J863" s="38"/>
      <c r="K863" s="14"/>
      <c r="L863" s="14"/>
      <c r="M863" s="14"/>
      <c r="N863" s="39"/>
      <c r="O863" s="39"/>
      <c r="P863" s="39"/>
      <c r="Q863" s="39"/>
      <c r="R863" s="39"/>
      <c r="S863" s="39"/>
      <c r="T863" s="39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  <c r="AH863" s="14"/>
      <c r="AI863" s="14"/>
      <c r="AJ863" s="14"/>
      <c r="AK863" s="14"/>
      <c r="AL863" s="14"/>
      <c r="AM863" s="14"/>
      <c r="AN863" s="14"/>
      <c r="AO863" s="14"/>
      <c r="AP863" s="14"/>
    </row>
    <row r="864" spans="1:42" ht="13">
      <c r="A864" s="38"/>
      <c r="B864" s="14"/>
      <c r="C864" s="38"/>
      <c r="D864" s="38"/>
      <c r="E864" s="38"/>
      <c r="F864" s="38"/>
      <c r="G864" s="38"/>
      <c r="H864" s="14"/>
      <c r="I864" s="38"/>
      <c r="J864" s="38"/>
      <c r="K864" s="14"/>
      <c r="L864" s="14"/>
      <c r="M864" s="14"/>
      <c r="N864" s="39"/>
      <c r="O864" s="39"/>
      <c r="P864" s="39"/>
      <c r="Q864" s="39"/>
      <c r="R864" s="39"/>
      <c r="S864" s="39"/>
      <c r="T864" s="39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14"/>
      <c r="AG864" s="14"/>
      <c r="AH864" s="14"/>
      <c r="AI864" s="14"/>
      <c r="AJ864" s="14"/>
      <c r="AK864" s="14"/>
      <c r="AL864" s="14"/>
      <c r="AM864" s="14"/>
      <c r="AN864" s="14"/>
      <c r="AO864" s="14"/>
      <c r="AP864" s="14"/>
    </row>
    <row r="865" spans="1:42" ht="13">
      <c r="A865" s="38"/>
      <c r="B865" s="14"/>
      <c r="C865" s="38"/>
      <c r="D865" s="38"/>
      <c r="E865" s="38"/>
      <c r="F865" s="38"/>
      <c r="G865" s="38"/>
      <c r="H865" s="14"/>
      <c r="I865" s="38"/>
      <c r="J865" s="38"/>
      <c r="K865" s="14"/>
      <c r="L865" s="14"/>
      <c r="M865" s="14"/>
      <c r="N865" s="39"/>
      <c r="O865" s="39"/>
      <c r="P865" s="39"/>
      <c r="Q865" s="39"/>
      <c r="R865" s="39"/>
      <c r="S865" s="39"/>
      <c r="T865" s="39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  <c r="AH865" s="14"/>
      <c r="AI865" s="14"/>
      <c r="AJ865" s="14"/>
      <c r="AK865" s="14"/>
      <c r="AL865" s="14"/>
      <c r="AM865" s="14"/>
      <c r="AN865" s="14"/>
      <c r="AO865" s="14"/>
      <c r="AP865" s="14"/>
    </row>
    <row r="866" spans="1:42" ht="13">
      <c r="A866" s="38"/>
      <c r="B866" s="14"/>
      <c r="C866" s="38"/>
      <c r="D866" s="38"/>
      <c r="E866" s="38"/>
      <c r="F866" s="38"/>
      <c r="G866" s="38"/>
      <c r="H866" s="14"/>
      <c r="I866" s="38"/>
      <c r="J866" s="38"/>
      <c r="K866" s="14"/>
      <c r="L866" s="14"/>
      <c r="M866" s="14"/>
      <c r="N866" s="39"/>
      <c r="O866" s="39"/>
      <c r="P866" s="39"/>
      <c r="Q866" s="39"/>
      <c r="R866" s="39"/>
      <c r="S866" s="39"/>
      <c r="T866" s="39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14"/>
      <c r="AG866" s="14"/>
      <c r="AH866" s="14"/>
      <c r="AI866" s="14"/>
      <c r="AJ866" s="14"/>
      <c r="AK866" s="14"/>
      <c r="AL866" s="14"/>
      <c r="AM866" s="14"/>
      <c r="AN866" s="14"/>
      <c r="AO866" s="14"/>
      <c r="AP866" s="14"/>
    </row>
    <row r="867" spans="1:42" ht="13">
      <c r="A867" s="38"/>
      <c r="B867" s="14"/>
      <c r="C867" s="38"/>
      <c r="D867" s="38"/>
      <c r="E867" s="38"/>
      <c r="F867" s="38"/>
      <c r="G867" s="38"/>
      <c r="H867" s="14"/>
      <c r="I867" s="38"/>
      <c r="J867" s="38"/>
      <c r="K867" s="14"/>
      <c r="L867" s="14"/>
      <c r="M867" s="14"/>
      <c r="N867" s="39"/>
      <c r="O867" s="39"/>
      <c r="P867" s="39"/>
      <c r="Q867" s="39"/>
      <c r="R867" s="39"/>
      <c r="S867" s="39"/>
      <c r="T867" s="39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14"/>
      <c r="AG867" s="14"/>
      <c r="AH867" s="14"/>
      <c r="AI867" s="14"/>
      <c r="AJ867" s="14"/>
      <c r="AK867" s="14"/>
      <c r="AL867" s="14"/>
      <c r="AM867" s="14"/>
      <c r="AN867" s="14"/>
      <c r="AO867" s="14"/>
      <c r="AP867" s="14"/>
    </row>
    <row r="868" spans="1:42" ht="13">
      <c r="A868" s="38"/>
      <c r="B868" s="14"/>
      <c r="C868" s="38"/>
      <c r="D868" s="38"/>
      <c r="E868" s="38"/>
      <c r="F868" s="38"/>
      <c r="G868" s="38"/>
      <c r="H868" s="14"/>
      <c r="I868" s="38"/>
      <c r="J868" s="38"/>
      <c r="K868" s="14"/>
      <c r="L868" s="14"/>
      <c r="M868" s="14"/>
      <c r="N868" s="39"/>
      <c r="O868" s="39"/>
      <c r="P868" s="39"/>
      <c r="Q868" s="39"/>
      <c r="R868" s="39"/>
      <c r="S868" s="39"/>
      <c r="T868" s="39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14"/>
      <c r="AG868" s="14"/>
      <c r="AH868" s="14"/>
      <c r="AI868" s="14"/>
      <c r="AJ868" s="14"/>
      <c r="AK868" s="14"/>
      <c r="AL868" s="14"/>
      <c r="AM868" s="14"/>
      <c r="AN868" s="14"/>
      <c r="AO868" s="14"/>
      <c r="AP868" s="14"/>
    </row>
    <row r="869" spans="1:42" ht="13">
      <c r="A869" s="38"/>
      <c r="B869" s="14"/>
      <c r="C869" s="38"/>
      <c r="D869" s="38"/>
      <c r="E869" s="38"/>
      <c r="F869" s="38"/>
      <c r="G869" s="38"/>
      <c r="H869" s="14"/>
      <c r="I869" s="38"/>
      <c r="J869" s="38"/>
      <c r="K869" s="14"/>
      <c r="L869" s="14"/>
      <c r="M869" s="14"/>
      <c r="N869" s="39"/>
      <c r="O869" s="39"/>
      <c r="P869" s="39"/>
      <c r="Q869" s="39"/>
      <c r="R869" s="39"/>
      <c r="S869" s="39"/>
      <c r="T869" s="39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  <c r="AH869" s="14"/>
      <c r="AI869" s="14"/>
      <c r="AJ869" s="14"/>
      <c r="AK869" s="14"/>
      <c r="AL869" s="14"/>
      <c r="AM869" s="14"/>
      <c r="AN869" s="14"/>
      <c r="AO869" s="14"/>
      <c r="AP869" s="14"/>
    </row>
    <row r="870" spans="1:42" ht="13">
      <c r="A870" s="38"/>
      <c r="B870" s="14"/>
      <c r="C870" s="38"/>
      <c r="D870" s="38"/>
      <c r="E870" s="38"/>
      <c r="F870" s="38"/>
      <c r="G870" s="38"/>
      <c r="H870" s="14"/>
      <c r="I870" s="38"/>
      <c r="J870" s="38"/>
      <c r="K870" s="14"/>
      <c r="L870" s="14"/>
      <c r="M870" s="14"/>
      <c r="N870" s="39"/>
      <c r="O870" s="39"/>
      <c r="P870" s="39"/>
      <c r="Q870" s="39"/>
      <c r="R870" s="39"/>
      <c r="S870" s="39"/>
      <c r="T870" s="39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14"/>
      <c r="AG870" s="14"/>
      <c r="AH870" s="14"/>
      <c r="AI870" s="14"/>
      <c r="AJ870" s="14"/>
      <c r="AK870" s="14"/>
      <c r="AL870" s="14"/>
      <c r="AM870" s="14"/>
      <c r="AN870" s="14"/>
      <c r="AO870" s="14"/>
      <c r="AP870" s="14"/>
    </row>
    <row r="871" spans="1:42" ht="13">
      <c r="A871" s="38"/>
      <c r="B871" s="14"/>
      <c r="C871" s="38"/>
      <c r="D871" s="38"/>
      <c r="E871" s="38"/>
      <c r="F871" s="38"/>
      <c r="G871" s="38"/>
      <c r="H871" s="14"/>
      <c r="I871" s="38"/>
      <c r="J871" s="38"/>
      <c r="K871" s="14"/>
      <c r="L871" s="14"/>
      <c r="M871" s="14"/>
      <c r="N871" s="39"/>
      <c r="O871" s="39"/>
      <c r="P871" s="39"/>
      <c r="Q871" s="39"/>
      <c r="R871" s="39"/>
      <c r="S871" s="39"/>
      <c r="T871" s="39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  <c r="AH871" s="14"/>
      <c r="AI871" s="14"/>
      <c r="AJ871" s="14"/>
      <c r="AK871" s="14"/>
      <c r="AL871" s="14"/>
      <c r="AM871" s="14"/>
      <c r="AN871" s="14"/>
      <c r="AO871" s="14"/>
      <c r="AP871" s="14"/>
    </row>
    <row r="872" spans="1:42" ht="13">
      <c r="A872" s="38"/>
      <c r="B872" s="14"/>
      <c r="C872" s="38"/>
      <c r="D872" s="38"/>
      <c r="E872" s="38"/>
      <c r="F872" s="38"/>
      <c r="G872" s="38"/>
      <c r="H872" s="14"/>
      <c r="I872" s="38"/>
      <c r="J872" s="38"/>
      <c r="K872" s="14"/>
      <c r="L872" s="14"/>
      <c r="M872" s="14"/>
      <c r="N872" s="39"/>
      <c r="O872" s="39"/>
      <c r="P872" s="39"/>
      <c r="Q872" s="39"/>
      <c r="R872" s="39"/>
      <c r="S872" s="39"/>
      <c r="T872" s="39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  <c r="AF872" s="14"/>
      <c r="AG872" s="14"/>
      <c r="AH872" s="14"/>
      <c r="AI872" s="14"/>
      <c r="AJ872" s="14"/>
      <c r="AK872" s="14"/>
      <c r="AL872" s="14"/>
      <c r="AM872" s="14"/>
      <c r="AN872" s="14"/>
      <c r="AO872" s="14"/>
      <c r="AP872" s="14"/>
    </row>
    <row r="873" spans="1:42" ht="13">
      <c r="A873" s="38"/>
      <c r="B873" s="14"/>
      <c r="C873" s="38"/>
      <c r="D873" s="38"/>
      <c r="E873" s="38"/>
      <c r="F873" s="38"/>
      <c r="G873" s="38"/>
      <c r="H873" s="14"/>
      <c r="I873" s="38"/>
      <c r="J873" s="38"/>
      <c r="K873" s="14"/>
      <c r="L873" s="14"/>
      <c r="M873" s="14"/>
      <c r="N873" s="39"/>
      <c r="O873" s="39"/>
      <c r="P873" s="39"/>
      <c r="Q873" s="39"/>
      <c r="R873" s="39"/>
      <c r="S873" s="39"/>
      <c r="T873" s="39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  <c r="AH873" s="14"/>
      <c r="AI873" s="14"/>
      <c r="AJ873" s="14"/>
      <c r="AK873" s="14"/>
      <c r="AL873" s="14"/>
      <c r="AM873" s="14"/>
      <c r="AN873" s="14"/>
      <c r="AO873" s="14"/>
      <c r="AP873" s="14"/>
    </row>
    <row r="874" spans="1:42" ht="13">
      <c r="A874" s="38"/>
      <c r="B874" s="14"/>
      <c r="C874" s="38"/>
      <c r="D874" s="38"/>
      <c r="E874" s="38"/>
      <c r="F874" s="38"/>
      <c r="G874" s="38"/>
      <c r="H874" s="14"/>
      <c r="I874" s="38"/>
      <c r="J874" s="38"/>
      <c r="K874" s="14"/>
      <c r="L874" s="14"/>
      <c r="M874" s="14"/>
      <c r="N874" s="39"/>
      <c r="O874" s="39"/>
      <c r="P874" s="39"/>
      <c r="Q874" s="39"/>
      <c r="R874" s="39"/>
      <c r="S874" s="39"/>
      <c r="T874" s="39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  <c r="AF874" s="14"/>
      <c r="AG874" s="14"/>
      <c r="AH874" s="14"/>
      <c r="AI874" s="14"/>
      <c r="AJ874" s="14"/>
      <c r="AK874" s="14"/>
      <c r="AL874" s="14"/>
      <c r="AM874" s="14"/>
      <c r="AN874" s="14"/>
      <c r="AO874" s="14"/>
      <c r="AP874" s="14"/>
    </row>
    <row r="875" spans="1:42" ht="13">
      <c r="A875" s="38"/>
      <c r="B875" s="14"/>
      <c r="C875" s="38"/>
      <c r="D875" s="38"/>
      <c r="E875" s="38"/>
      <c r="F875" s="38"/>
      <c r="G875" s="38"/>
      <c r="H875" s="14"/>
      <c r="I875" s="38"/>
      <c r="J875" s="38"/>
      <c r="K875" s="14"/>
      <c r="L875" s="14"/>
      <c r="M875" s="14"/>
      <c r="N875" s="39"/>
      <c r="O875" s="39"/>
      <c r="P875" s="39"/>
      <c r="Q875" s="39"/>
      <c r="R875" s="39"/>
      <c r="S875" s="39"/>
      <c r="T875" s="39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  <c r="AH875" s="14"/>
      <c r="AI875" s="14"/>
      <c r="AJ875" s="14"/>
      <c r="AK875" s="14"/>
      <c r="AL875" s="14"/>
      <c r="AM875" s="14"/>
      <c r="AN875" s="14"/>
      <c r="AO875" s="14"/>
      <c r="AP875" s="14"/>
    </row>
    <row r="876" spans="1:42" ht="13">
      <c r="A876" s="38"/>
      <c r="B876" s="14"/>
      <c r="C876" s="38"/>
      <c r="D876" s="38"/>
      <c r="E876" s="38"/>
      <c r="F876" s="38"/>
      <c r="G876" s="38"/>
      <c r="H876" s="14"/>
      <c r="I876" s="38"/>
      <c r="J876" s="38"/>
      <c r="K876" s="14"/>
      <c r="L876" s="14"/>
      <c r="M876" s="14"/>
      <c r="N876" s="39"/>
      <c r="O876" s="39"/>
      <c r="P876" s="39"/>
      <c r="Q876" s="39"/>
      <c r="R876" s="39"/>
      <c r="S876" s="39"/>
      <c r="T876" s="39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  <c r="AF876" s="14"/>
      <c r="AG876" s="14"/>
      <c r="AH876" s="14"/>
      <c r="AI876" s="14"/>
      <c r="AJ876" s="14"/>
      <c r="AK876" s="14"/>
      <c r="AL876" s="14"/>
      <c r="AM876" s="14"/>
      <c r="AN876" s="14"/>
      <c r="AO876" s="14"/>
      <c r="AP876" s="14"/>
    </row>
    <row r="877" spans="1:42" ht="13">
      <c r="A877" s="38"/>
      <c r="B877" s="14"/>
      <c r="C877" s="38"/>
      <c r="D877" s="38"/>
      <c r="E877" s="38"/>
      <c r="F877" s="38"/>
      <c r="G877" s="38"/>
      <c r="H877" s="14"/>
      <c r="I877" s="38"/>
      <c r="J877" s="38"/>
      <c r="K877" s="14"/>
      <c r="L877" s="14"/>
      <c r="M877" s="14"/>
      <c r="N877" s="39"/>
      <c r="O877" s="39"/>
      <c r="P877" s="39"/>
      <c r="Q877" s="39"/>
      <c r="R877" s="39"/>
      <c r="S877" s="39"/>
      <c r="T877" s="39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  <c r="AH877" s="14"/>
      <c r="AI877" s="14"/>
      <c r="AJ877" s="14"/>
      <c r="AK877" s="14"/>
      <c r="AL877" s="14"/>
      <c r="AM877" s="14"/>
      <c r="AN877" s="14"/>
      <c r="AO877" s="14"/>
      <c r="AP877" s="14"/>
    </row>
    <row r="878" spans="1:42" ht="13">
      <c r="A878" s="38"/>
      <c r="B878" s="14"/>
      <c r="C878" s="38"/>
      <c r="D878" s="38"/>
      <c r="E878" s="38"/>
      <c r="F878" s="38"/>
      <c r="G878" s="38"/>
      <c r="H878" s="14"/>
      <c r="I878" s="38"/>
      <c r="J878" s="38"/>
      <c r="K878" s="14"/>
      <c r="L878" s="14"/>
      <c r="M878" s="14"/>
      <c r="N878" s="39"/>
      <c r="O878" s="39"/>
      <c r="P878" s="39"/>
      <c r="Q878" s="39"/>
      <c r="R878" s="39"/>
      <c r="S878" s="39"/>
      <c r="T878" s="39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  <c r="AH878" s="14"/>
      <c r="AI878" s="14"/>
      <c r="AJ878" s="14"/>
      <c r="AK878" s="14"/>
      <c r="AL878" s="14"/>
      <c r="AM878" s="14"/>
      <c r="AN878" s="14"/>
      <c r="AO878" s="14"/>
      <c r="AP878" s="14"/>
    </row>
    <row r="879" spans="1:42" ht="13">
      <c r="A879" s="38"/>
      <c r="B879" s="14"/>
      <c r="C879" s="38"/>
      <c r="D879" s="38"/>
      <c r="E879" s="38"/>
      <c r="F879" s="38"/>
      <c r="G879" s="38"/>
      <c r="H879" s="14"/>
      <c r="I879" s="38"/>
      <c r="J879" s="38"/>
      <c r="K879" s="14"/>
      <c r="L879" s="14"/>
      <c r="M879" s="14"/>
      <c r="N879" s="39"/>
      <c r="O879" s="39"/>
      <c r="P879" s="39"/>
      <c r="Q879" s="39"/>
      <c r="R879" s="39"/>
      <c r="S879" s="39"/>
      <c r="T879" s="39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  <c r="AH879" s="14"/>
      <c r="AI879" s="14"/>
      <c r="AJ879" s="14"/>
      <c r="AK879" s="14"/>
      <c r="AL879" s="14"/>
      <c r="AM879" s="14"/>
      <c r="AN879" s="14"/>
      <c r="AO879" s="14"/>
      <c r="AP879" s="14"/>
    </row>
    <row r="880" spans="1:42" ht="13">
      <c r="A880" s="38"/>
      <c r="B880" s="14"/>
      <c r="C880" s="38"/>
      <c r="D880" s="38"/>
      <c r="E880" s="38"/>
      <c r="F880" s="38"/>
      <c r="G880" s="38"/>
      <c r="H880" s="14"/>
      <c r="I880" s="38"/>
      <c r="J880" s="38"/>
      <c r="K880" s="14"/>
      <c r="L880" s="14"/>
      <c r="M880" s="14"/>
      <c r="N880" s="39"/>
      <c r="O880" s="39"/>
      <c r="P880" s="39"/>
      <c r="Q880" s="39"/>
      <c r="R880" s="39"/>
      <c r="S880" s="39"/>
      <c r="T880" s="39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  <c r="AF880" s="14"/>
      <c r="AG880" s="14"/>
      <c r="AH880" s="14"/>
      <c r="AI880" s="14"/>
      <c r="AJ880" s="14"/>
      <c r="AK880" s="14"/>
      <c r="AL880" s="14"/>
      <c r="AM880" s="14"/>
      <c r="AN880" s="14"/>
      <c r="AO880" s="14"/>
      <c r="AP880" s="14"/>
    </row>
    <row r="881" spans="1:42" ht="13">
      <c r="A881" s="38"/>
      <c r="B881" s="14"/>
      <c r="C881" s="38"/>
      <c r="D881" s="38"/>
      <c r="E881" s="38"/>
      <c r="F881" s="38"/>
      <c r="G881" s="38"/>
      <c r="H881" s="14"/>
      <c r="I881" s="38"/>
      <c r="J881" s="38"/>
      <c r="K881" s="14"/>
      <c r="L881" s="14"/>
      <c r="M881" s="14"/>
      <c r="N881" s="39"/>
      <c r="O881" s="39"/>
      <c r="P881" s="39"/>
      <c r="Q881" s="39"/>
      <c r="R881" s="39"/>
      <c r="S881" s="39"/>
      <c r="T881" s="39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  <c r="AH881" s="14"/>
      <c r="AI881" s="14"/>
      <c r="AJ881" s="14"/>
      <c r="AK881" s="14"/>
      <c r="AL881" s="14"/>
      <c r="AM881" s="14"/>
      <c r="AN881" s="14"/>
      <c r="AO881" s="14"/>
      <c r="AP881" s="14"/>
    </row>
    <row r="882" spans="1:42" ht="13">
      <c r="A882" s="38"/>
      <c r="B882" s="14"/>
      <c r="C882" s="38"/>
      <c r="D882" s="38"/>
      <c r="E882" s="38"/>
      <c r="F882" s="38"/>
      <c r="G882" s="38"/>
      <c r="H882" s="14"/>
      <c r="I882" s="38"/>
      <c r="J882" s="38"/>
      <c r="K882" s="14"/>
      <c r="L882" s="14"/>
      <c r="M882" s="14"/>
      <c r="N882" s="39"/>
      <c r="O882" s="39"/>
      <c r="P882" s="39"/>
      <c r="Q882" s="39"/>
      <c r="R882" s="39"/>
      <c r="S882" s="39"/>
      <c r="T882" s="39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  <c r="AH882" s="14"/>
      <c r="AI882" s="14"/>
      <c r="AJ882" s="14"/>
      <c r="AK882" s="14"/>
      <c r="AL882" s="14"/>
      <c r="AM882" s="14"/>
      <c r="AN882" s="14"/>
      <c r="AO882" s="14"/>
      <c r="AP882" s="14"/>
    </row>
    <row r="883" spans="1:42" ht="13">
      <c r="A883" s="38"/>
      <c r="B883" s="14"/>
      <c r="C883" s="38"/>
      <c r="D883" s="38"/>
      <c r="E883" s="38"/>
      <c r="F883" s="38"/>
      <c r="G883" s="38"/>
      <c r="H883" s="14"/>
      <c r="I883" s="38"/>
      <c r="J883" s="38"/>
      <c r="K883" s="14"/>
      <c r="L883" s="14"/>
      <c r="M883" s="14"/>
      <c r="N883" s="39"/>
      <c r="O883" s="39"/>
      <c r="P883" s="39"/>
      <c r="Q883" s="39"/>
      <c r="R883" s="39"/>
      <c r="S883" s="39"/>
      <c r="T883" s="39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  <c r="AH883" s="14"/>
      <c r="AI883" s="14"/>
      <c r="AJ883" s="14"/>
      <c r="AK883" s="14"/>
      <c r="AL883" s="14"/>
      <c r="AM883" s="14"/>
      <c r="AN883" s="14"/>
      <c r="AO883" s="14"/>
      <c r="AP883" s="14"/>
    </row>
    <row r="884" spans="1:42" ht="13">
      <c r="A884" s="38"/>
      <c r="B884" s="14"/>
      <c r="C884" s="38"/>
      <c r="D884" s="38"/>
      <c r="E884" s="38"/>
      <c r="F884" s="38"/>
      <c r="G884" s="38"/>
      <c r="H884" s="14"/>
      <c r="I884" s="38"/>
      <c r="J884" s="38"/>
      <c r="K884" s="14"/>
      <c r="L884" s="14"/>
      <c r="M884" s="14"/>
      <c r="N884" s="39"/>
      <c r="O884" s="39"/>
      <c r="P884" s="39"/>
      <c r="Q884" s="39"/>
      <c r="R884" s="39"/>
      <c r="S884" s="39"/>
      <c r="T884" s="39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  <c r="AF884" s="14"/>
      <c r="AG884" s="14"/>
      <c r="AH884" s="14"/>
      <c r="AI884" s="14"/>
      <c r="AJ884" s="14"/>
      <c r="AK884" s="14"/>
      <c r="AL884" s="14"/>
      <c r="AM884" s="14"/>
      <c r="AN884" s="14"/>
      <c r="AO884" s="14"/>
      <c r="AP884" s="14"/>
    </row>
    <row r="885" spans="1:42" ht="13">
      <c r="A885" s="38"/>
      <c r="B885" s="14"/>
      <c r="C885" s="38"/>
      <c r="D885" s="38"/>
      <c r="E885" s="38"/>
      <c r="F885" s="38"/>
      <c r="G885" s="38"/>
      <c r="H885" s="14"/>
      <c r="I885" s="38"/>
      <c r="J885" s="38"/>
      <c r="K885" s="14"/>
      <c r="L885" s="14"/>
      <c r="M885" s="14"/>
      <c r="N885" s="39"/>
      <c r="O885" s="39"/>
      <c r="P885" s="39"/>
      <c r="Q885" s="39"/>
      <c r="R885" s="39"/>
      <c r="S885" s="39"/>
      <c r="T885" s="39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  <c r="AF885" s="14"/>
      <c r="AG885" s="14"/>
      <c r="AH885" s="14"/>
      <c r="AI885" s="14"/>
      <c r="AJ885" s="14"/>
      <c r="AK885" s="14"/>
      <c r="AL885" s="14"/>
      <c r="AM885" s="14"/>
      <c r="AN885" s="14"/>
      <c r="AO885" s="14"/>
      <c r="AP885" s="14"/>
    </row>
    <row r="886" spans="1:42" ht="13">
      <c r="A886" s="38"/>
      <c r="B886" s="14"/>
      <c r="C886" s="38"/>
      <c r="D886" s="38"/>
      <c r="E886" s="38"/>
      <c r="F886" s="38"/>
      <c r="G886" s="38"/>
      <c r="H886" s="14"/>
      <c r="I886" s="38"/>
      <c r="J886" s="38"/>
      <c r="K886" s="14"/>
      <c r="L886" s="14"/>
      <c r="M886" s="14"/>
      <c r="N886" s="39"/>
      <c r="O886" s="39"/>
      <c r="P886" s="39"/>
      <c r="Q886" s="39"/>
      <c r="R886" s="39"/>
      <c r="S886" s="39"/>
      <c r="T886" s="39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  <c r="AH886" s="14"/>
      <c r="AI886" s="14"/>
      <c r="AJ886" s="14"/>
      <c r="AK886" s="14"/>
      <c r="AL886" s="14"/>
      <c r="AM886" s="14"/>
      <c r="AN886" s="14"/>
      <c r="AO886" s="14"/>
      <c r="AP886" s="14"/>
    </row>
    <row r="887" spans="1:42" ht="13">
      <c r="A887" s="38"/>
      <c r="B887" s="14"/>
      <c r="C887" s="38"/>
      <c r="D887" s="38"/>
      <c r="E887" s="38"/>
      <c r="F887" s="38"/>
      <c r="G887" s="38"/>
      <c r="H887" s="14"/>
      <c r="I887" s="38"/>
      <c r="J887" s="38"/>
      <c r="K887" s="14"/>
      <c r="L887" s="14"/>
      <c r="M887" s="14"/>
      <c r="N887" s="39"/>
      <c r="O887" s="39"/>
      <c r="P887" s="39"/>
      <c r="Q887" s="39"/>
      <c r="R887" s="39"/>
      <c r="S887" s="39"/>
      <c r="T887" s="39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  <c r="AH887" s="14"/>
      <c r="AI887" s="14"/>
      <c r="AJ887" s="14"/>
      <c r="AK887" s="14"/>
      <c r="AL887" s="14"/>
      <c r="AM887" s="14"/>
      <c r="AN887" s="14"/>
      <c r="AO887" s="14"/>
      <c r="AP887" s="14"/>
    </row>
    <row r="888" spans="1:42" ht="13">
      <c r="A888" s="38"/>
      <c r="B888" s="14"/>
      <c r="C888" s="38"/>
      <c r="D888" s="38"/>
      <c r="E888" s="38"/>
      <c r="F888" s="38"/>
      <c r="G888" s="38"/>
      <c r="H888" s="14"/>
      <c r="I888" s="38"/>
      <c r="J888" s="38"/>
      <c r="K888" s="14"/>
      <c r="L888" s="14"/>
      <c r="M888" s="14"/>
      <c r="N888" s="39"/>
      <c r="O888" s="39"/>
      <c r="P888" s="39"/>
      <c r="Q888" s="39"/>
      <c r="R888" s="39"/>
      <c r="S888" s="39"/>
      <c r="T888" s="39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  <c r="AF888" s="14"/>
      <c r="AG888" s="14"/>
      <c r="AH888" s="14"/>
      <c r="AI888" s="14"/>
      <c r="AJ888" s="14"/>
      <c r="AK888" s="14"/>
      <c r="AL888" s="14"/>
      <c r="AM888" s="14"/>
      <c r="AN888" s="14"/>
      <c r="AO888" s="14"/>
      <c r="AP888" s="14"/>
    </row>
    <row r="889" spans="1:42" ht="13">
      <c r="A889" s="38"/>
      <c r="B889" s="14"/>
      <c r="C889" s="38"/>
      <c r="D889" s="38"/>
      <c r="E889" s="38"/>
      <c r="F889" s="38"/>
      <c r="G889" s="38"/>
      <c r="H889" s="14"/>
      <c r="I889" s="38"/>
      <c r="J889" s="38"/>
      <c r="K889" s="14"/>
      <c r="L889" s="14"/>
      <c r="M889" s="14"/>
      <c r="N889" s="39"/>
      <c r="O889" s="39"/>
      <c r="P889" s="39"/>
      <c r="Q889" s="39"/>
      <c r="R889" s="39"/>
      <c r="S889" s="39"/>
      <c r="T889" s="39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  <c r="AH889" s="14"/>
      <c r="AI889" s="14"/>
      <c r="AJ889" s="14"/>
      <c r="AK889" s="14"/>
      <c r="AL889" s="14"/>
      <c r="AM889" s="14"/>
      <c r="AN889" s="14"/>
      <c r="AO889" s="14"/>
      <c r="AP889" s="14"/>
    </row>
    <row r="890" spans="1:42" ht="13">
      <c r="A890" s="38"/>
      <c r="B890" s="14"/>
      <c r="C890" s="38"/>
      <c r="D890" s="38"/>
      <c r="E890" s="38"/>
      <c r="F890" s="38"/>
      <c r="G890" s="38"/>
      <c r="H890" s="14"/>
      <c r="I890" s="38"/>
      <c r="J890" s="38"/>
      <c r="K890" s="14"/>
      <c r="L890" s="14"/>
      <c r="M890" s="14"/>
      <c r="N890" s="39"/>
      <c r="O890" s="39"/>
      <c r="P890" s="39"/>
      <c r="Q890" s="39"/>
      <c r="R890" s="39"/>
      <c r="S890" s="39"/>
      <c r="T890" s="39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  <c r="AH890" s="14"/>
      <c r="AI890" s="14"/>
      <c r="AJ890" s="14"/>
      <c r="AK890" s="14"/>
      <c r="AL890" s="14"/>
      <c r="AM890" s="14"/>
      <c r="AN890" s="14"/>
      <c r="AO890" s="14"/>
      <c r="AP890" s="14"/>
    </row>
    <row r="891" spans="1:42" ht="13">
      <c r="A891" s="38"/>
      <c r="B891" s="14"/>
      <c r="C891" s="38"/>
      <c r="D891" s="38"/>
      <c r="E891" s="38"/>
      <c r="F891" s="38"/>
      <c r="G891" s="38"/>
      <c r="H891" s="14"/>
      <c r="I891" s="38"/>
      <c r="J891" s="38"/>
      <c r="K891" s="14"/>
      <c r="L891" s="14"/>
      <c r="M891" s="14"/>
      <c r="N891" s="39"/>
      <c r="O891" s="39"/>
      <c r="P891" s="39"/>
      <c r="Q891" s="39"/>
      <c r="R891" s="39"/>
      <c r="S891" s="39"/>
      <c r="T891" s="39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  <c r="AH891" s="14"/>
      <c r="AI891" s="14"/>
      <c r="AJ891" s="14"/>
      <c r="AK891" s="14"/>
      <c r="AL891" s="14"/>
      <c r="AM891" s="14"/>
      <c r="AN891" s="14"/>
      <c r="AO891" s="14"/>
      <c r="AP891" s="14"/>
    </row>
    <row r="892" spans="1:42" ht="13">
      <c r="A892" s="38"/>
      <c r="B892" s="14"/>
      <c r="C892" s="38"/>
      <c r="D892" s="38"/>
      <c r="E892" s="38"/>
      <c r="F892" s="38"/>
      <c r="G892" s="38"/>
      <c r="H892" s="14"/>
      <c r="I892" s="38"/>
      <c r="J892" s="38"/>
      <c r="K892" s="14"/>
      <c r="L892" s="14"/>
      <c r="M892" s="14"/>
      <c r="N892" s="39"/>
      <c r="O892" s="39"/>
      <c r="P892" s="39"/>
      <c r="Q892" s="39"/>
      <c r="R892" s="39"/>
      <c r="S892" s="39"/>
      <c r="T892" s="39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  <c r="AF892" s="14"/>
      <c r="AG892" s="14"/>
      <c r="AH892" s="14"/>
      <c r="AI892" s="14"/>
      <c r="AJ892" s="14"/>
      <c r="AK892" s="14"/>
      <c r="AL892" s="14"/>
      <c r="AM892" s="14"/>
      <c r="AN892" s="14"/>
      <c r="AO892" s="14"/>
      <c r="AP892" s="14"/>
    </row>
    <row r="893" spans="1:42" ht="13">
      <c r="A893" s="38"/>
      <c r="B893" s="14"/>
      <c r="C893" s="38"/>
      <c r="D893" s="38"/>
      <c r="E893" s="38"/>
      <c r="F893" s="38"/>
      <c r="G893" s="38"/>
      <c r="H893" s="14"/>
      <c r="I893" s="38"/>
      <c r="J893" s="38"/>
      <c r="K893" s="14"/>
      <c r="L893" s="14"/>
      <c r="M893" s="14"/>
      <c r="N893" s="39"/>
      <c r="O893" s="39"/>
      <c r="P893" s="39"/>
      <c r="Q893" s="39"/>
      <c r="R893" s="39"/>
      <c r="S893" s="39"/>
      <c r="T893" s="39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  <c r="AH893" s="14"/>
      <c r="AI893" s="14"/>
      <c r="AJ893" s="14"/>
      <c r="AK893" s="14"/>
      <c r="AL893" s="14"/>
      <c r="AM893" s="14"/>
      <c r="AN893" s="14"/>
      <c r="AO893" s="14"/>
      <c r="AP893" s="14"/>
    </row>
    <row r="894" spans="1:42" ht="13">
      <c r="A894" s="38"/>
      <c r="B894" s="14"/>
      <c r="C894" s="38"/>
      <c r="D894" s="38"/>
      <c r="E894" s="38"/>
      <c r="F894" s="38"/>
      <c r="G894" s="38"/>
      <c r="H894" s="14"/>
      <c r="I894" s="38"/>
      <c r="J894" s="38"/>
      <c r="K894" s="14"/>
      <c r="L894" s="14"/>
      <c r="M894" s="14"/>
      <c r="N894" s="39"/>
      <c r="O894" s="39"/>
      <c r="P894" s="39"/>
      <c r="Q894" s="39"/>
      <c r="R894" s="39"/>
      <c r="S894" s="39"/>
      <c r="T894" s="39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  <c r="AH894" s="14"/>
      <c r="AI894" s="14"/>
      <c r="AJ894" s="14"/>
      <c r="AK894" s="14"/>
      <c r="AL894" s="14"/>
      <c r="AM894" s="14"/>
      <c r="AN894" s="14"/>
      <c r="AO894" s="14"/>
      <c r="AP894" s="14"/>
    </row>
    <row r="895" spans="1:42" ht="13">
      <c r="A895" s="38"/>
      <c r="B895" s="14"/>
      <c r="C895" s="38"/>
      <c r="D895" s="38"/>
      <c r="E895" s="38"/>
      <c r="F895" s="38"/>
      <c r="G895" s="38"/>
      <c r="H895" s="14"/>
      <c r="I895" s="38"/>
      <c r="J895" s="38"/>
      <c r="K895" s="14"/>
      <c r="L895" s="14"/>
      <c r="M895" s="14"/>
      <c r="N895" s="39"/>
      <c r="O895" s="39"/>
      <c r="P895" s="39"/>
      <c r="Q895" s="39"/>
      <c r="R895" s="39"/>
      <c r="S895" s="39"/>
      <c r="T895" s="39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  <c r="AH895" s="14"/>
      <c r="AI895" s="14"/>
      <c r="AJ895" s="14"/>
      <c r="AK895" s="14"/>
      <c r="AL895" s="14"/>
      <c r="AM895" s="14"/>
      <c r="AN895" s="14"/>
      <c r="AO895" s="14"/>
      <c r="AP895" s="14"/>
    </row>
    <row r="896" spans="1:42" ht="13">
      <c r="A896" s="38"/>
      <c r="B896" s="14"/>
      <c r="C896" s="38"/>
      <c r="D896" s="38"/>
      <c r="E896" s="38"/>
      <c r="F896" s="38"/>
      <c r="G896" s="38"/>
      <c r="H896" s="14"/>
      <c r="I896" s="38"/>
      <c r="J896" s="38"/>
      <c r="K896" s="14"/>
      <c r="L896" s="14"/>
      <c r="M896" s="14"/>
      <c r="N896" s="39"/>
      <c r="O896" s="39"/>
      <c r="P896" s="39"/>
      <c r="Q896" s="39"/>
      <c r="R896" s="39"/>
      <c r="S896" s="39"/>
      <c r="T896" s="39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  <c r="AF896" s="14"/>
      <c r="AG896" s="14"/>
      <c r="AH896" s="14"/>
      <c r="AI896" s="14"/>
      <c r="AJ896" s="14"/>
      <c r="AK896" s="14"/>
      <c r="AL896" s="14"/>
      <c r="AM896" s="14"/>
      <c r="AN896" s="14"/>
      <c r="AO896" s="14"/>
      <c r="AP896" s="14"/>
    </row>
    <row r="897" spans="1:42" ht="13">
      <c r="A897" s="38"/>
      <c r="B897" s="14"/>
      <c r="C897" s="38"/>
      <c r="D897" s="38"/>
      <c r="E897" s="38"/>
      <c r="F897" s="38"/>
      <c r="G897" s="38"/>
      <c r="H897" s="14"/>
      <c r="I897" s="38"/>
      <c r="J897" s="38"/>
      <c r="K897" s="14"/>
      <c r="L897" s="14"/>
      <c r="M897" s="14"/>
      <c r="N897" s="39"/>
      <c r="O897" s="39"/>
      <c r="P897" s="39"/>
      <c r="Q897" s="39"/>
      <c r="R897" s="39"/>
      <c r="S897" s="39"/>
      <c r="T897" s="39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  <c r="AH897" s="14"/>
      <c r="AI897" s="14"/>
      <c r="AJ897" s="14"/>
      <c r="AK897" s="14"/>
      <c r="AL897" s="14"/>
      <c r="AM897" s="14"/>
      <c r="AN897" s="14"/>
      <c r="AO897" s="14"/>
      <c r="AP897" s="14"/>
    </row>
    <row r="898" spans="1:42" ht="13">
      <c r="A898" s="38"/>
      <c r="B898" s="14"/>
      <c r="C898" s="38"/>
      <c r="D898" s="38"/>
      <c r="E898" s="38"/>
      <c r="F898" s="38"/>
      <c r="G898" s="38"/>
      <c r="H898" s="14"/>
      <c r="I898" s="38"/>
      <c r="J898" s="38"/>
      <c r="K898" s="14"/>
      <c r="L898" s="14"/>
      <c r="M898" s="14"/>
      <c r="N898" s="39"/>
      <c r="O898" s="39"/>
      <c r="P898" s="39"/>
      <c r="Q898" s="39"/>
      <c r="R898" s="39"/>
      <c r="S898" s="39"/>
      <c r="T898" s="39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  <c r="AH898" s="14"/>
      <c r="AI898" s="14"/>
      <c r="AJ898" s="14"/>
      <c r="AK898" s="14"/>
      <c r="AL898" s="14"/>
      <c r="AM898" s="14"/>
      <c r="AN898" s="14"/>
      <c r="AO898" s="14"/>
      <c r="AP898" s="14"/>
    </row>
    <row r="899" spans="1:42" ht="13">
      <c r="A899" s="38"/>
      <c r="B899" s="14"/>
      <c r="C899" s="38"/>
      <c r="D899" s="38"/>
      <c r="E899" s="38"/>
      <c r="F899" s="38"/>
      <c r="G899" s="38"/>
      <c r="H899" s="14"/>
      <c r="I899" s="38"/>
      <c r="J899" s="38"/>
      <c r="K899" s="14"/>
      <c r="L899" s="14"/>
      <c r="M899" s="14"/>
      <c r="N899" s="39"/>
      <c r="O899" s="39"/>
      <c r="P899" s="39"/>
      <c r="Q899" s="39"/>
      <c r="R899" s="39"/>
      <c r="S899" s="39"/>
      <c r="T899" s="39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  <c r="AH899" s="14"/>
      <c r="AI899" s="14"/>
      <c r="AJ899" s="14"/>
      <c r="AK899" s="14"/>
      <c r="AL899" s="14"/>
      <c r="AM899" s="14"/>
      <c r="AN899" s="14"/>
      <c r="AO899" s="14"/>
      <c r="AP899" s="14"/>
    </row>
    <row r="900" spans="1:42" ht="13">
      <c r="A900" s="38"/>
      <c r="B900" s="14"/>
      <c r="C900" s="38"/>
      <c r="D900" s="38"/>
      <c r="E900" s="38"/>
      <c r="F900" s="38"/>
      <c r="G900" s="38"/>
      <c r="H900" s="14"/>
      <c r="I900" s="38"/>
      <c r="J900" s="38"/>
      <c r="K900" s="14"/>
      <c r="L900" s="14"/>
      <c r="M900" s="14"/>
      <c r="N900" s="39"/>
      <c r="O900" s="39"/>
      <c r="P900" s="39"/>
      <c r="Q900" s="39"/>
      <c r="R900" s="39"/>
      <c r="S900" s="39"/>
      <c r="T900" s="39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  <c r="AH900" s="14"/>
      <c r="AI900" s="14"/>
      <c r="AJ900" s="14"/>
      <c r="AK900" s="14"/>
      <c r="AL900" s="14"/>
      <c r="AM900" s="14"/>
      <c r="AN900" s="14"/>
      <c r="AO900" s="14"/>
      <c r="AP900" s="14"/>
    </row>
    <row r="901" spans="1:42" ht="13">
      <c r="A901" s="38"/>
      <c r="B901" s="14"/>
      <c r="C901" s="38"/>
      <c r="D901" s="38"/>
      <c r="E901" s="38"/>
      <c r="F901" s="38"/>
      <c r="G901" s="38"/>
      <c r="H901" s="14"/>
      <c r="I901" s="38"/>
      <c r="J901" s="38"/>
      <c r="K901" s="14"/>
      <c r="L901" s="14"/>
      <c r="M901" s="14"/>
      <c r="N901" s="39"/>
      <c r="O901" s="39"/>
      <c r="P901" s="39"/>
      <c r="Q901" s="39"/>
      <c r="R901" s="39"/>
      <c r="S901" s="39"/>
      <c r="T901" s="39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  <c r="AH901" s="14"/>
      <c r="AI901" s="14"/>
      <c r="AJ901" s="14"/>
      <c r="AK901" s="14"/>
      <c r="AL901" s="14"/>
      <c r="AM901" s="14"/>
      <c r="AN901" s="14"/>
      <c r="AO901" s="14"/>
      <c r="AP901" s="14"/>
    </row>
    <row r="902" spans="1:42" ht="13">
      <c r="A902" s="38"/>
      <c r="B902" s="14"/>
      <c r="C902" s="38"/>
      <c r="D902" s="38"/>
      <c r="E902" s="38"/>
      <c r="F902" s="38"/>
      <c r="G902" s="38"/>
      <c r="H902" s="14"/>
      <c r="I902" s="38"/>
      <c r="J902" s="38"/>
      <c r="K902" s="14"/>
      <c r="L902" s="14"/>
      <c r="M902" s="14"/>
      <c r="N902" s="39"/>
      <c r="O902" s="39"/>
      <c r="P902" s="39"/>
      <c r="Q902" s="39"/>
      <c r="R902" s="39"/>
      <c r="S902" s="39"/>
      <c r="T902" s="39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  <c r="AF902" s="14"/>
      <c r="AG902" s="14"/>
      <c r="AH902" s="14"/>
      <c r="AI902" s="14"/>
      <c r="AJ902" s="14"/>
      <c r="AK902" s="14"/>
      <c r="AL902" s="14"/>
      <c r="AM902" s="14"/>
      <c r="AN902" s="14"/>
      <c r="AO902" s="14"/>
      <c r="AP902" s="14"/>
    </row>
    <row r="903" spans="1:42" ht="13">
      <c r="A903" s="38"/>
      <c r="B903" s="14"/>
      <c r="C903" s="38"/>
      <c r="D903" s="38"/>
      <c r="E903" s="38"/>
      <c r="F903" s="38"/>
      <c r="G903" s="38"/>
      <c r="H903" s="14"/>
      <c r="I903" s="38"/>
      <c r="J903" s="38"/>
      <c r="K903" s="14"/>
      <c r="L903" s="14"/>
      <c r="M903" s="14"/>
      <c r="N903" s="39"/>
      <c r="O903" s="39"/>
      <c r="P903" s="39"/>
      <c r="Q903" s="39"/>
      <c r="R903" s="39"/>
      <c r="S903" s="39"/>
      <c r="T903" s="39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  <c r="AH903" s="14"/>
      <c r="AI903" s="14"/>
      <c r="AJ903" s="14"/>
      <c r="AK903" s="14"/>
      <c r="AL903" s="14"/>
      <c r="AM903" s="14"/>
      <c r="AN903" s="14"/>
      <c r="AO903" s="14"/>
      <c r="AP903" s="14"/>
    </row>
    <row r="904" spans="1:42" ht="13">
      <c r="A904" s="38"/>
      <c r="B904" s="14"/>
      <c r="C904" s="38"/>
      <c r="D904" s="38"/>
      <c r="E904" s="38"/>
      <c r="F904" s="38"/>
      <c r="G904" s="38"/>
      <c r="H904" s="14"/>
      <c r="I904" s="38"/>
      <c r="J904" s="38"/>
      <c r="K904" s="14"/>
      <c r="L904" s="14"/>
      <c r="M904" s="14"/>
      <c r="N904" s="39"/>
      <c r="O904" s="39"/>
      <c r="P904" s="39"/>
      <c r="Q904" s="39"/>
      <c r="R904" s="39"/>
      <c r="S904" s="39"/>
      <c r="T904" s="39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  <c r="AH904" s="14"/>
      <c r="AI904" s="14"/>
      <c r="AJ904" s="14"/>
      <c r="AK904" s="14"/>
      <c r="AL904" s="14"/>
      <c r="AM904" s="14"/>
      <c r="AN904" s="14"/>
      <c r="AO904" s="14"/>
      <c r="AP904" s="14"/>
    </row>
    <row r="905" spans="1:42" ht="13">
      <c r="A905" s="38"/>
      <c r="B905" s="14"/>
      <c r="C905" s="38"/>
      <c r="D905" s="38"/>
      <c r="E905" s="38"/>
      <c r="F905" s="38"/>
      <c r="G905" s="38"/>
      <c r="H905" s="14"/>
      <c r="I905" s="38"/>
      <c r="J905" s="38"/>
      <c r="K905" s="14"/>
      <c r="L905" s="14"/>
      <c r="M905" s="14"/>
      <c r="N905" s="39"/>
      <c r="O905" s="39"/>
      <c r="P905" s="39"/>
      <c r="Q905" s="39"/>
      <c r="R905" s="39"/>
      <c r="S905" s="39"/>
      <c r="T905" s="39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  <c r="AH905" s="14"/>
      <c r="AI905" s="14"/>
      <c r="AJ905" s="14"/>
      <c r="AK905" s="14"/>
      <c r="AL905" s="14"/>
      <c r="AM905" s="14"/>
      <c r="AN905" s="14"/>
      <c r="AO905" s="14"/>
      <c r="AP905" s="14"/>
    </row>
    <row r="906" spans="1:42" ht="13">
      <c r="A906" s="38"/>
      <c r="B906" s="14"/>
      <c r="C906" s="38"/>
      <c r="D906" s="38"/>
      <c r="E906" s="38"/>
      <c r="F906" s="38"/>
      <c r="G906" s="38"/>
      <c r="H906" s="14"/>
      <c r="I906" s="38"/>
      <c r="J906" s="38"/>
      <c r="K906" s="14"/>
      <c r="L906" s="14"/>
      <c r="M906" s="14"/>
      <c r="N906" s="39"/>
      <c r="O906" s="39"/>
      <c r="P906" s="39"/>
      <c r="Q906" s="39"/>
      <c r="R906" s="39"/>
      <c r="S906" s="39"/>
      <c r="T906" s="39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  <c r="AH906" s="14"/>
      <c r="AI906" s="14"/>
      <c r="AJ906" s="14"/>
      <c r="AK906" s="14"/>
      <c r="AL906" s="14"/>
      <c r="AM906" s="14"/>
      <c r="AN906" s="14"/>
      <c r="AO906" s="14"/>
      <c r="AP906" s="14"/>
    </row>
    <row r="907" spans="1:42" ht="13">
      <c r="A907" s="38"/>
      <c r="B907" s="14"/>
      <c r="C907" s="38"/>
      <c r="D907" s="38"/>
      <c r="E907" s="38"/>
      <c r="F907" s="38"/>
      <c r="G907" s="38"/>
      <c r="H907" s="14"/>
      <c r="I907" s="38"/>
      <c r="J907" s="38"/>
      <c r="K907" s="14"/>
      <c r="L907" s="14"/>
      <c r="M907" s="14"/>
      <c r="N907" s="39"/>
      <c r="O907" s="39"/>
      <c r="P907" s="39"/>
      <c r="Q907" s="39"/>
      <c r="R907" s="39"/>
      <c r="S907" s="39"/>
      <c r="T907" s="39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  <c r="AH907" s="14"/>
      <c r="AI907" s="14"/>
      <c r="AJ907" s="14"/>
      <c r="AK907" s="14"/>
      <c r="AL907" s="14"/>
      <c r="AM907" s="14"/>
      <c r="AN907" s="14"/>
      <c r="AO907" s="14"/>
      <c r="AP907" s="14"/>
    </row>
    <row r="908" spans="1:42" ht="13">
      <c r="A908" s="38"/>
      <c r="B908" s="14"/>
      <c r="C908" s="38"/>
      <c r="D908" s="38"/>
      <c r="E908" s="38"/>
      <c r="F908" s="38"/>
      <c r="G908" s="38"/>
      <c r="H908" s="14"/>
      <c r="I908" s="38"/>
      <c r="J908" s="38"/>
      <c r="K908" s="14"/>
      <c r="L908" s="14"/>
      <c r="M908" s="14"/>
      <c r="N908" s="39"/>
      <c r="O908" s="39"/>
      <c r="P908" s="39"/>
      <c r="Q908" s="39"/>
      <c r="R908" s="39"/>
      <c r="S908" s="39"/>
      <c r="T908" s="39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  <c r="AH908" s="14"/>
      <c r="AI908" s="14"/>
      <c r="AJ908" s="14"/>
      <c r="AK908" s="14"/>
      <c r="AL908" s="14"/>
      <c r="AM908" s="14"/>
      <c r="AN908" s="14"/>
      <c r="AO908" s="14"/>
      <c r="AP908" s="14"/>
    </row>
    <row r="909" spans="1:42" ht="13">
      <c r="A909" s="38"/>
      <c r="B909" s="14"/>
      <c r="C909" s="38"/>
      <c r="D909" s="38"/>
      <c r="E909" s="38"/>
      <c r="F909" s="38"/>
      <c r="G909" s="38"/>
      <c r="H909" s="14"/>
      <c r="I909" s="38"/>
      <c r="J909" s="38"/>
      <c r="K909" s="14"/>
      <c r="L909" s="14"/>
      <c r="M909" s="14"/>
      <c r="N909" s="39"/>
      <c r="O909" s="39"/>
      <c r="P909" s="39"/>
      <c r="Q909" s="39"/>
      <c r="R909" s="39"/>
      <c r="S909" s="39"/>
      <c r="T909" s="39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  <c r="AH909" s="14"/>
      <c r="AI909" s="14"/>
      <c r="AJ909" s="14"/>
      <c r="AK909" s="14"/>
      <c r="AL909" s="14"/>
      <c r="AM909" s="14"/>
      <c r="AN909" s="14"/>
      <c r="AO909" s="14"/>
      <c r="AP909" s="14"/>
    </row>
    <row r="910" spans="1:42" ht="13">
      <c r="A910" s="38"/>
      <c r="B910" s="14"/>
      <c r="C910" s="38"/>
      <c r="D910" s="38"/>
      <c r="E910" s="38"/>
      <c r="F910" s="38"/>
      <c r="G910" s="38"/>
      <c r="H910" s="14"/>
      <c r="I910" s="38"/>
      <c r="J910" s="38"/>
      <c r="K910" s="14"/>
      <c r="L910" s="14"/>
      <c r="M910" s="14"/>
      <c r="N910" s="39"/>
      <c r="O910" s="39"/>
      <c r="P910" s="39"/>
      <c r="Q910" s="39"/>
      <c r="R910" s="39"/>
      <c r="S910" s="39"/>
      <c r="T910" s="39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  <c r="AH910" s="14"/>
      <c r="AI910" s="14"/>
      <c r="AJ910" s="14"/>
      <c r="AK910" s="14"/>
      <c r="AL910" s="14"/>
      <c r="AM910" s="14"/>
      <c r="AN910" s="14"/>
      <c r="AO910" s="14"/>
      <c r="AP910" s="14"/>
    </row>
    <row r="911" spans="1:42" ht="13">
      <c r="A911" s="38"/>
      <c r="B911" s="14"/>
      <c r="C911" s="38"/>
      <c r="D911" s="38"/>
      <c r="E911" s="38"/>
      <c r="F911" s="38"/>
      <c r="G911" s="38"/>
      <c r="H911" s="14"/>
      <c r="I911" s="38"/>
      <c r="J911" s="38"/>
      <c r="K911" s="14"/>
      <c r="L911" s="14"/>
      <c r="M911" s="14"/>
      <c r="N911" s="39"/>
      <c r="O911" s="39"/>
      <c r="P911" s="39"/>
      <c r="Q911" s="39"/>
      <c r="R911" s="39"/>
      <c r="S911" s="39"/>
      <c r="T911" s="39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  <c r="AH911" s="14"/>
      <c r="AI911" s="14"/>
      <c r="AJ911" s="14"/>
      <c r="AK911" s="14"/>
      <c r="AL911" s="14"/>
      <c r="AM911" s="14"/>
      <c r="AN911" s="14"/>
      <c r="AO911" s="14"/>
      <c r="AP911" s="14"/>
    </row>
    <row r="912" spans="1:42" ht="13">
      <c r="A912" s="38"/>
      <c r="B912" s="14"/>
      <c r="C912" s="38"/>
      <c r="D912" s="38"/>
      <c r="E912" s="38"/>
      <c r="F912" s="38"/>
      <c r="G912" s="38"/>
      <c r="H912" s="14"/>
      <c r="I912" s="38"/>
      <c r="J912" s="38"/>
      <c r="K912" s="14"/>
      <c r="L912" s="14"/>
      <c r="M912" s="14"/>
      <c r="N912" s="39"/>
      <c r="O912" s="39"/>
      <c r="P912" s="39"/>
      <c r="Q912" s="39"/>
      <c r="R912" s="39"/>
      <c r="S912" s="39"/>
      <c r="T912" s="39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  <c r="AH912" s="14"/>
      <c r="AI912" s="14"/>
      <c r="AJ912" s="14"/>
      <c r="AK912" s="14"/>
      <c r="AL912" s="14"/>
      <c r="AM912" s="14"/>
      <c r="AN912" s="14"/>
      <c r="AO912" s="14"/>
      <c r="AP912" s="14"/>
    </row>
    <row r="913" spans="1:42" ht="13">
      <c r="A913" s="38"/>
      <c r="B913" s="14"/>
      <c r="C913" s="38"/>
      <c r="D913" s="38"/>
      <c r="E913" s="38"/>
      <c r="F913" s="38"/>
      <c r="G913" s="38"/>
      <c r="H913" s="14"/>
      <c r="I913" s="38"/>
      <c r="J913" s="38"/>
      <c r="K913" s="14"/>
      <c r="L913" s="14"/>
      <c r="M913" s="14"/>
      <c r="N913" s="39"/>
      <c r="O913" s="39"/>
      <c r="P913" s="39"/>
      <c r="Q913" s="39"/>
      <c r="R913" s="39"/>
      <c r="S913" s="39"/>
      <c r="T913" s="39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  <c r="AH913" s="14"/>
      <c r="AI913" s="14"/>
      <c r="AJ913" s="14"/>
      <c r="AK913" s="14"/>
      <c r="AL913" s="14"/>
      <c r="AM913" s="14"/>
      <c r="AN913" s="14"/>
      <c r="AO913" s="14"/>
      <c r="AP913" s="14"/>
    </row>
    <row r="914" spans="1:42" ht="13">
      <c r="A914" s="38"/>
      <c r="B914" s="14"/>
      <c r="C914" s="38"/>
      <c r="D914" s="38"/>
      <c r="E914" s="38"/>
      <c r="F914" s="38"/>
      <c r="G914" s="38"/>
      <c r="H914" s="14"/>
      <c r="I914" s="38"/>
      <c r="J914" s="38"/>
      <c r="K914" s="14"/>
      <c r="L914" s="14"/>
      <c r="M914" s="14"/>
      <c r="N914" s="39"/>
      <c r="O914" s="39"/>
      <c r="P914" s="39"/>
      <c r="Q914" s="39"/>
      <c r="R914" s="39"/>
      <c r="S914" s="39"/>
      <c r="T914" s="39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  <c r="AH914" s="14"/>
      <c r="AI914" s="14"/>
      <c r="AJ914" s="14"/>
      <c r="AK914" s="14"/>
      <c r="AL914" s="14"/>
      <c r="AM914" s="14"/>
      <c r="AN914" s="14"/>
      <c r="AO914" s="14"/>
      <c r="AP914" s="14"/>
    </row>
    <row r="915" spans="1:42" ht="13">
      <c r="A915" s="38"/>
      <c r="B915" s="14"/>
      <c r="C915" s="38"/>
      <c r="D915" s="38"/>
      <c r="E915" s="38"/>
      <c r="F915" s="38"/>
      <c r="G915" s="38"/>
      <c r="H915" s="14"/>
      <c r="I915" s="38"/>
      <c r="J915" s="38"/>
      <c r="K915" s="14"/>
      <c r="L915" s="14"/>
      <c r="M915" s="14"/>
      <c r="N915" s="39"/>
      <c r="O915" s="39"/>
      <c r="P915" s="39"/>
      <c r="Q915" s="39"/>
      <c r="R915" s="39"/>
      <c r="S915" s="39"/>
      <c r="T915" s="39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  <c r="AI915" s="14"/>
      <c r="AJ915" s="14"/>
      <c r="AK915" s="14"/>
      <c r="AL915" s="14"/>
      <c r="AM915" s="14"/>
      <c r="AN915" s="14"/>
      <c r="AO915" s="14"/>
      <c r="AP915" s="14"/>
    </row>
    <row r="916" spans="1:42" ht="13">
      <c r="A916" s="38"/>
      <c r="B916" s="14"/>
      <c r="C916" s="38"/>
      <c r="D916" s="38"/>
      <c r="E916" s="38"/>
      <c r="F916" s="38"/>
      <c r="G916" s="38"/>
      <c r="H916" s="14"/>
      <c r="I916" s="38"/>
      <c r="J916" s="38"/>
      <c r="K916" s="14"/>
      <c r="L916" s="14"/>
      <c r="M916" s="14"/>
      <c r="N916" s="39"/>
      <c r="O916" s="39"/>
      <c r="P916" s="39"/>
      <c r="Q916" s="39"/>
      <c r="R916" s="39"/>
      <c r="S916" s="39"/>
      <c r="T916" s="39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  <c r="AH916" s="14"/>
      <c r="AI916" s="14"/>
      <c r="AJ916" s="14"/>
      <c r="AK916" s="14"/>
      <c r="AL916" s="14"/>
      <c r="AM916" s="14"/>
      <c r="AN916" s="14"/>
      <c r="AO916" s="14"/>
      <c r="AP916" s="14"/>
    </row>
    <row r="917" spans="1:42" ht="13">
      <c r="A917" s="38"/>
      <c r="B917" s="14"/>
      <c r="C917" s="38"/>
      <c r="D917" s="38"/>
      <c r="E917" s="38"/>
      <c r="F917" s="38"/>
      <c r="G917" s="38"/>
      <c r="H917" s="14"/>
      <c r="I917" s="38"/>
      <c r="J917" s="38"/>
      <c r="K917" s="14"/>
      <c r="L917" s="14"/>
      <c r="M917" s="14"/>
      <c r="N917" s="39"/>
      <c r="O917" s="39"/>
      <c r="P917" s="39"/>
      <c r="Q917" s="39"/>
      <c r="R917" s="39"/>
      <c r="S917" s="39"/>
      <c r="T917" s="39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  <c r="AH917" s="14"/>
      <c r="AI917" s="14"/>
      <c r="AJ917" s="14"/>
      <c r="AK917" s="14"/>
      <c r="AL917" s="14"/>
      <c r="AM917" s="14"/>
      <c r="AN917" s="14"/>
      <c r="AO917" s="14"/>
      <c r="AP917" s="14"/>
    </row>
    <row r="918" spans="1:42" ht="13">
      <c r="A918" s="38"/>
      <c r="B918" s="14"/>
      <c r="C918" s="38"/>
      <c r="D918" s="38"/>
      <c r="E918" s="38"/>
      <c r="F918" s="38"/>
      <c r="G918" s="38"/>
      <c r="H918" s="14"/>
      <c r="I918" s="38"/>
      <c r="J918" s="38"/>
      <c r="K918" s="14"/>
      <c r="L918" s="14"/>
      <c r="M918" s="14"/>
      <c r="N918" s="39"/>
      <c r="O918" s="39"/>
      <c r="P918" s="39"/>
      <c r="Q918" s="39"/>
      <c r="R918" s="39"/>
      <c r="S918" s="39"/>
      <c r="T918" s="39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  <c r="AH918" s="14"/>
      <c r="AI918" s="14"/>
      <c r="AJ918" s="14"/>
      <c r="AK918" s="14"/>
      <c r="AL918" s="14"/>
      <c r="AM918" s="14"/>
      <c r="AN918" s="14"/>
      <c r="AO918" s="14"/>
      <c r="AP918" s="14"/>
    </row>
    <row r="919" spans="1:42" ht="13">
      <c r="A919" s="38"/>
      <c r="B919" s="14"/>
      <c r="C919" s="38"/>
      <c r="D919" s="38"/>
      <c r="E919" s="38"/>
      <c r="F919" s="38"/>
      <c r="G919" s="38"/>
      <c r="H919" s="14"/>
      <c r="I919" s="38"/>
      <c r="J919" s="38"/>
      <c r="K919" s="14"/>
      <c r="L919" s="14"/>
      <c r="M919" s="14"/>
      <c r="N919" s="39"/>
      <c r="O919" s="39"/>
      <c r="P919" s="39"/>
      <c r="Q919" s="39"/>
      <c r="R919" s="39"/>
      <c r="S919" s="39"/>
      <c r="T919" s="39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  <c r="AH919" s="14"/>
      <c r="AI919" s="14"/>
      <c r="AJ919" s="14"/>
      <c r="AK919" s="14"/>
      <c r="AL919" s="14"/>
      <c r="AM919" s="14"/>
      <c r="AN919" s="14"/>
      <c r="AO919" s="14"/>
      <c r="AP919" s="14"/>
    </row>
    <row r="920" spans="1:42" ht="13">
      <c r="A920" s="38"/>
      <c r="B920" s="14"/>
      <c r="C920" s="38"/>
      <c r="D920" s="38"/>
      <c r="E920" s="38"/>
      <c r="F920" s="38"/>
      <c r="G920" s="38"/>
      <c r="H920" s="14"/>
      <c r="I920" s="38"/>
      <c r="J920" s="38"/>
      <c r="K920" s="14"/>
      <c r="L920" s="14"/>
      <c r="M920" s="14"/>
      <c r="N920" s="39"/>
      <c r="O920" s="39"/>
      <c r="P920" s="39"/>
      <c r="Q920" s="39"/>
      <c r="R920" s="39"/>
      <c r="S920" s="39"/>
      <c r="T920" s="39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  <c r="AH920" s="14"/>
      <c r="AI920" s="14"/>
      <c r="AJ920" s="14"/>
      <c r="AK920" s="14"/>
      <c r="AL920" s="14"/>
      <c r="AM920" s="14"/>
      <c r="AN920" s="14"/>
      <c r="AO920" s="14"/>
      <c r="AP920" s="14"/>
    </row>
    <row r="921" spans="1:42" ht="13">
      <c r="A921" s="38"/>
      <c r="B921" s="14"/>
      <c r="C921" s="38"/>
      <c r="D921" s="38"/>
      <c r="E921" s="38"/>
      <c r="F921" s="38"/>
      <c r="G921" s="38"/>
      <c r="H921" s="14"/>
      <c r="I921" s="38"/>
      <c r="J921" s="38"/>
      <c r="K921" s="14"/>
      <c r="L921" s="14"/>
      <c r="M921" s="14"/>
      <c r="N921" s="39"/>
      <c r="O921" s="39"/>
      <c r="P921" s="39"/>
      <c r="Q921" s="39"/>
      <c r="R921" s="39"/>
      <c r="S921" s="39"/>
      <c r="T921" s="39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  <c r="AH921" s="14"/>
      <c r="AI921" s="14"/>
      <c r="AJ921" s="14"/>
      <c r="AK921" s="14"/>
      <c r="AL921" s="14"/>
      <c r="AM921" s="14"/>
      <c r="AN921" s="14"/>
      <c r="AO921" s="14"/>
      <c r="AP921" s="14"/>
    </row>
    <row r="922" spans="1:42" ht="13">
      <c r="A922" s="38"/>
      <c r="B922" s="14"/>
      <c r="C922" s="38"/>
      <c r="D922" s="38"/>
      <c r="E922" s="38"/>
      <c r="F922" s="38"/>
      <c r="G922" s="38"/>
      <c r="H922" s="14"/>
      <c r="I922" s="38"/>
      <c r="J922" s="38"/>
      <c r="K922" s="14"/>
      <c r="L922" s="14"/>
      <c r="M922" s="14"/>
      <c r="N922" s="39"/>
      <c r="O922" s="39"/>
      <c r="P922" s="39"/>
      <c r="Q922" s="39"/>
      <c r="R922" s="39"/>
      <c r="S922" s="39"/>
      <c r="T922" s="39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  <c r="AH922" s="14"/>
      <c r="AI922" s="14"/>
      <c r="AJ922" s="14"/>
      <c r="AK922" s="14"/>
      <c r="AL922" s="14"/>
      <c r="AM922" s="14"/>
      <c r="AN922" s="14"/>
      <c r="AO922" s="14"/>
      <c r="AP922" s="14"/>
    </row>
    <row r="923" spans="1:42" ht="13">
      <c r="A923" s="38"/>
      <c r="B923" s="14"/>
      <c r="C923" s="38"/>
      <c r="D923" s="38"/>
      <c r="E923" s="38"/>
      <c r="F923" s="38"/>
      <c r="G923" s="38"/>
      <c r="H923" s="14"/>
      <c r="I923" s="38"/>
      <c r="J923" s="38"/>
      <c r="K923" s="14"/>
      <c r="L923" s="14"/>
      <c r="M923" s="14"/>
      <c r="N923" s="39"/>
      <c r="O923" s="39"/>
      <c r="P923" s="39"/>
      <c r="Q923" s="39"/>
      <c r="R923" s="39"/>
      <c r="S923" s="39"/>
      <c r="T923" s="39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  <c r="AH923" s="14"/>
      <c r="AI923" s="14"/>
      <c r="AJ923" s="14"/>
      <c r="AK923" s="14"/>
      <c r="AL923" s="14"/>
      <c r="AM923" s="14"/>
      <c r="AN923" s="14"/>
      <c r="AO923" s="14"/>
      <c r="AP923" s="14"/>
    </row>
    <row r="924" spans="1:42" ht="13">
      <c r="A924" s="38"/>
      <c r="B924" s="14"/>
      <c r="C924" s="38"/>
      <c r="D924" s="38"/>
      <c r="E924" s="38"/>
      <c r="F924" s="38"/>
      <c r="G924" s="38"/>
      <c r="H924" s="14"/>
      <c r="I924" s="38"/>
      <c r="J924" s="38"/>
      <c r="K924" s="14"/>
      <c r="L924" s="14"/>
      <c r="M924" s="14"/>
      <c r="N924" s="39"/>
      <c r="O924" s="39"/>
      <c r="P924" s="39"/>
      <c r="Q924" s="39"/>
      <c r="R924" s="39"/>
      <c r="S924" s="39"/>
      <c r="T924" s="39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  <c r="AH924" s="14"/>
      <c r="AI924" s="14"/>
      <c r="AJ924" s="14"/>
      <c r="AK924" s="14"/>
      <c r="AL924" s="14"/>
      <c r="AM924" s="14"/>
      <c r="AN924" s="14"/>
      <c r="AO924" s="14"/>
      <c r="AP924" s="14"/>
    </row>
    <row r="925" spans="1:42" ht="13">
      <c r="A925" s="38"/>
      <c r="B925" s="14"/>
      <c r="C925" s="38"/>
      <c r="D925" s="38"/>
      <c r="E925" s="38"/>
      <c r="F925" s="38"/>
      <c r="G925" s="38"/>
      <c r="H925" s="14"/>
      <c r="I925" s="38"/>
      <c r="J925" s="38"/>
      <c r="K925" s="14"/>
      <c r="L925" s="14"/>
      <c r="M925" s="14"/>
      <c r="N925" s="39"/>
      <c r="O925" s="39"/>
      <c r="P925" s="39"/>
      <c r="Q925" s="39"/>
      <c r="R925" s="39"/>
      <c r="S925" s="39"/>
      <c r="T925" s="39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  <c r="AH925" s="14"/>
      <c r="AI925" s="14"/>
      <c r="AJ925" s="14"/>
      <c r="AK925" s="14"/>
      <c r="AL925" s="14"/>
      <c r="AM925" s="14"/>
      <c r="AN925" s="14"/>
      <c r="AO925" s="14"/>
      <c r="AP925" s="14"/>
    </row>
    <row r="926" spans="1:42" ht="13">
      <c r="A926" s="38"/>
      <c r="B926" s="14"/>
      <c r="C926" s="38"/>
      <c r="D926" s="38"/>
      <c r="E926" s="38"/>
      <c r="F926" s="38"/>
      <c r="G926" s="38"/>
      <c r="H926" s="14"/>
      <c r="I926" s="38"/>
      <c r="J926" s="38"/>
      <c r="K926" s="14"/>
      <c r="L926" s="14"/>
      <c r="M926" s="14"/>
      <c r="N926" s="39"/>
      <c r="O926" s="39"/>
      <c r="P926" s="39"/>
      <c r="Q926" s="39"/>
      <c r="R926" s="39"/>
      <c r="S926" s="39"/>
      <c r="T926" s="39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  <c r="AH926" s="14"/>
      <c r="AI926" s="14"/>
      <c r="AJ926" s="14"/>
      <c r="AK926" s="14"/>
      <c r="AL926" s="14"/>
      <c r="AM926" s="14"/>
      <c r="AN926" s="14"/>
      <c r="AO926" s="14"/>
      <c r="AP926" s="14"/>
    </row>
    <row r="927" spans="1:42" ht="13">
      <c r="A927" s="38"/>
      <c r="B927" s="14"/>
      <c r="C927" s="38"/>
      <c r="D927" s="38"/>
      <c r="E927" s="38"/>
      <c r="F927" s="38"/>
      <c r="G927" s="38"/>
      <c r="H927" s="14"/>
      <c r="I927" s="38"/>
      <c r="J927" s="38"/>
      <c r="K927" s="14"/>
      <c r="L927" s="14"/>
      <c r="M927" s="14"/>
      <c r="N927" s="39"/>
      <c r="O927" s="39"/>
      <c r="P927" s="39"/>
      <c r="Q927" s="39"/>
      <c r="R927" s="39"/>
      <c r="S927" s="39"/>
      <c r="T927" s="39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  <c r="AH927" s="14"/>
      <c r="AI927" s="14"/>
      <c r="AJ927" s="14"/>
      <c r="AK927" s="14"/>
      <c r="AL927" s="14"/>
      <c r="AM927" s="14"/>
      <c r="AN927" s="14"/>
      <c r="AO927" s="14"/>
      <c r="AP927" s="14"/>
    </row>
    <row r="928" spans="1:42" ht="13">
      <c r="A928" s="38"/>
      <c r="B928" s="14"/>
      <c r="C928" s="38"/>
      <c r="D928" s="38"/>
      <c r="E928" s="38"/>
      <c r="F928" s="38"/>
      <c r="G928" s="38"/>
      <c r="H928" s="14"/>
      <c r="I928" s="38"/>
      <c r="J928" s="38"/>
      <c r="K928" s="14"/>
      <c r="L928" s="14"/>
      <c r="M928" s="14"/>
      <c r="N928" s="39"/>
      <c r="O928" s="39"/>
      <c r="P928" s="39"/>
      <c r="Q928" s="39"/>
      <c r="R928" s="39"/>
      <c r="S928" s="39"/>
      <c r="T928" s="39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  <c r="AH928" s="14"/>
      <c r="AI928" s="14"/>
      <c r="AJ928" s="14"/>
      <c r="AK928" s="14"/>
      <c r="AL928" s="14"/>
      <c r="AM928" s="14"/>
      <c r="AN928" s="14"/>
      <c r="AO928" s="14"/>
      <c r="AP928" s="14"/>
    </row>
    <row r="929" spans="1:42" ht="13">
      <c r="A929" s="38"/>
      <c r="B929" s="14"/>
      <c r="C929" s="38"/>
      <c r="D929" s="38"/>
      <c r="E929" s="38"/>
      <c r="F929" s="38"/>
      <c r="G929" s="38"/>
      <c r="H929" s="14"/>
      <c r="I929" s="38"/>
      <c r="J929" s="38"/>
      <c r="K929" s="14"/>
      <c r="L929" s="14"/>
      <c r="M929" s="14"/>
      <c r="N929" s="39"/>
      <c r="O929" s="39"/>
      <c r="P929" s="39"/>
      <c r="Q929" s="39"/>
      <c r="R929" s="39"/>
      <c r="S929" s="39"/>
      <c r="T929" s="39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  <c r="AH929" s="14"/>
      <c r="AI929" s="14"/>
      <c r="AJ929" s="14"/>
      <c r="AK929" s="14"/>
      <c r="AL929" s="14"/>
      <c r="AM929" s="14"/>
      <c r="AN929" s="14"/>
      <c r="AO929" s="14"/>
      <c r="AP929" s="14"/>
    </row>
  </sheetData>
  <conditionalFormatting sqref="E2:E929">
    <cfRule type="containsBlanks" dxfId="5" priority="1">
      <formula>LEN(TRIM(E2))=0</formula>
    </cfRule>
  </conditionalFormatting>
  <conditionalFormatting sqref="F2:F125">
    <cfRule type="cellIs" dxfId="4" priority="4" operator="greaterThanOrEqual">
      <formula>1</formula>
    </cfRule>
  </conditionalFormatting>
  <conditionalFormatting sqref="F2:G929">
    <cfRule type="cellIs" dxfId="3" priority="2" operator="lessThan">
      <formula>1</formula>
    </cfRule>
  </conditionalFormatting>
  <conditionalFormatting sqref="G2:G929">
    <cfRule type="cellIs" dxfId="2" priority="3" operator="greaterThanOrEqual">
      <formula>1</formula>
    </cfRule>
  </conditionalFormatting>
  <conditionalFormatting sqref="M2:O929">
    <cfRule type="expression" dxfId="1" priority="5">
      <formula>$O2&gt;1</formula>
    </cfRule>
  </conditionalFormatting>
  <dataValidations count="5">
    <dataValidation type="custom" allowBlank="1" showDropDown="1" sqref="E2:E305 C2:C305 G2:K305" xr:uid="{00000000-0002-0000-0200-000000000000}">
      <formula1>AND(ISNUMBER(C2),(NOT(OR(NOT(ISERROR(DATEVALUE(C2))), AND(ISNUMBER(C2), LEFT(CELL("format", C2))="D")))))</formula1>
    </dataValidation>
    <dataValidation type="list" allowBlank="1" sqref="P2:P305" xr:uid="{00000000-0002-0000-0200-000001000000}">
      <formula1>"Active,Obselete,Unknown"</formula1>
    </dataValidation>
    <dataValidation type="list" allowBlank="1" sqref="Q2:Q305" xr:uid="{00000000-0002-0000-0200-000002000000}">
      <formula1>"Metric,Imperial,Universal"</formula1>
    </dataValidation>
    <dataValidation type="list" allowBlank="1" sqref="B2:B305" xr:uid="{00000000-0002-0000-0200-000003000000}">
      <formula1>"Gen Hardware,Illumination,Sample Hold,Imaging,Inspection Scope,Obselete/None"</formula1>
    </dataValidation>
    <dataValidation allowBlank="1" showDropDown="1" sqref="A2:A305 L2:M305 R2:V305" xr:uid="{00000000-0002-0000-0200-000005000000}"/>
  </dataValidations>
  <hyperlinks>
    <hyperlink ref="U32" r:id="rId1" xr:uid="{00000000-0004-0000-0200-000000000000}"/>
    <hyperlink ref="U34" r:id="rId2" xr:uid="{00000000-0004-0000-0200-000001000000}"/>
    <hyperlink ref="U35" r:id="rId3" xr:uid="{00000000-0004-0000-0200-000002000000}"/>
    <hyperlink ref="U37" r:id="rId4" xr:uid="{00000000-0004-0000-0200-000003000000}"/>
    <hyperlink ref="U38" r:id="rId5" xr:uid="{00000000-0004-0000-0200-000004000000}"/>
    <hyperlink ref="U39" r:id="rId6" xr:uid="{00000000-0004-0000-0200-000005000000}"/>
    <hyperlink ref="U41" r:id="rId7" location="ad-image-0" xr:uid="{00000000-0004-0000-0200-000006000000}"/>
    <hyperlink ref="U47" r:id="rId8" xr:uid="{00000000-0004-0000-0200-000007000000}"/>
    <hyperlink ref="U66" r:id="rId9" xr:uid="{00000000-0004-0000-0200-000008000000}"/>
    <hyperlink ref="U70" r:id="rId10" xr:uid="{00000000-0004-0000-0200-000009000000}"/>
    <hyperlink ref="U72" r:id="rId11" xr:uid="{00000000-0004-0000-0200-00000A000000}"/>
    <hyperlink ref="U86" r:id="rId12" location="ad-image-0" xr:uid="{00000000-0004-0000-0200-00000B000000}"/>
    <hyperlink ref="U91" r:id="rId13" location="ad-image-0." xr:uid="{00000000-0004-0000-0200-00000C000000}"/>
    <hyperlink ref="U105" r:id="rId14" xr:uid="{00000000-0004-0000-0200-00000D000000}"/>
    <hyperlink ref="U111" r:id="rId15" xr:uid="{00000000-0004-0000-0200-00000E000000}"/>
    <hyperlink ref="U112" r:id="rId16" xr:uid="{00000000-0004-0000-0200-00000F000000}"/>
    <hyperlink ref="U124" r:id="rId17" xr:uid="{00000000-0004-0000-0200-000010000000}"/>
    <hyperlink ref="U131" r:id="rId18" xr:uid="{00000000-0004-0000-0200-000011000000}"/>
    <hyperlink ref="U132" r:id="rId19" xr:uid="{00000000-0004-0000-0200-000012000000}"/>
    <hyperlink ref="U134" r:id="rId20" xr:uid="{00000000-0004-0000-0200-000013000000}"/>
    <hyperlink ref="U135" r:id="rId21" xr:uid="{00000000-0004-0000-0200-000014000000}"/>
    <hyperlink ref="U144" r:id="rId22" location="6646" xr:uid="{00000000-0004-0000-0200-000015000000}"/>
    <hyperlink ref="U145" r:id="rId23" xr:uid="{00000000-0004-0000-0200-000016000000}"/>
    <hyperlink ref="U153" r:id="rId24" xr:uid="{00000000-0004-0000-0200-000017000000}"/>
    <hyperlink ref="U157" r:id="rId25" location="ad-image-0" xr:uid="{00000000-0004-0000-0200-000018000000}"/>
    <hyperlink ref="U170" r:id="rId26" xr:uid="{00000000-0004-0000-0200-000019000000}"/>
    <hyperlink ref="U173" r:id="rId27" xr:uid="{00000000-0004-0000-0200-00001A000000}"/>
    <hyperlink ref="U174" r:id="rId28" xr:uid="{00000000-0004-0000-0200-00001B000000}"/>
    <hyperlink ref="U208" r:id="rId29" location="ad-image-0" xr:uid="{00000000-0004-0000-0200-00001C000000}"/>
    <hyperlink ref="U209" r:id="rId30" xr:uid="{00000000-0004-0000-0200-00001D000000}"/>
    <hyperlink ref="U210" r:id="rId31" xr:uid="{00000000-0004-0000-0200-00001E000000}"/>
    <hyperlink ref="U221" r:id="rId32" xr:uid="{00000000-0004-0000-0200-00001F000000}"/>
    <hyperlink ref="U222" r:id="rId33" xr:uid="{00000000-0004-0000-0200-000020000000}"/>
    <hyperlink ref="U223" r:id="rId34" xr:uid="{00000000-0004-0000-0200-000021000000}"/>
    <hyperlink ref="U229" r:id="rId35" xr:uid="{00000000-0004-0000-0200-000022000000}"/>
    <hyperlink ref="U231" r:id="rId36" xr:uid="{00000000-0004-0000-0200-000023000000}"/>
    <hyperlink ref="U238" r:id="rId37" location="ad-image-0" xr:uid="{00000000-0004-0000-0200-000024000000}"/>
    <hyperlink ref="U247" r:id="rId38" location="ad-image-0" xr:uid="{00000000-0004-0000-0200-000025000000}"/>
    <hyperlink ref="U249" r:id="rId39" location="ad-image-0" xr:uid="{00000000-0004-0000-0200-000026000000}"/>
    <hyperlink ref="U254" r:id="rId40" xr:uid="{00000000-0004-0000-0200-000027000000}"/>
    <hyperlink ref="U258" r:id="rId41" xr:uid="{00000000-0004-0000-0200-000028000000}"/>
    <hyperlink ref="U259" r:id="rId42" xr:uid="{00000000-0004-0000-0200-000029000000}"/>
    <hyperlink ref="U265" r:id="rId43" xr:uid="{00000000-0004-0000-0200-00002A000000}"/>
    <hyperlink ref="U268" r:id="rId44" xr:uid="{00000000-0004-0000-0200-00002B000000}"/>
    <hyperlink ref="U269" r:id="rId45" location="ad-image-0" xr:uid="{00000000-0004-0000-0200-00002C000000}"/>
    <hyperlink ref="U275" r:id="rId46" xr:uid="{00000000-0004-0000-0200-00002D000000}"/>
    <hyperlink ref="U280" r:id="rId47" xr:uid="{00000000-0004-0000-0200-00002E000000}"/>
    <hyperlink ref="U281" r:id="rId48" xr:uid="{00000000-0004-0000-0200-00002F000000}"/>
    <hyperlink ref="U282" r:id="rId49" xr:uid="{00000000-0004-0000-0200-000030000000}"/>
    <hyperlink ref="U283" r:id="rId50" xr:uid="{00000000-0004-0000-0200-000031000000}"/>
    <hyperlink ref="U286" r:id="rId51" location="ad-image-0" xr:uid="{00000000-0004-0000-0200-000032000000}"/>
    <hyperlink ref="U287" r:id="rId52" xr:uid="{00000000-0004-0000-0200-000033000000}"/>
    <hyperlink ref="U290" r:id="rId53" xr:uid="{00000000-0004-0000-0200-000034000000}"/>
    <hyperlink ref="U292" r:id="rId54" xr:uid="{00000000-0004-0000-0200-000035000000}"/>
    <hyperlink ref="U295" r:id="rId55" xr:uid="{00000000-0004-0000-0200-000036000000}"/>
    <hyperlink ref="U296" r:id="rId56" xr:uid="{00000000-0004-0000-0200-000037000000}"/>
    <hyperlink ref="U301" r:id="rId57" location="ad-image-0" xr:uid="{00000000-0004-0000-0200-000038000000}"/>
    <hyperlink ref="U304" r:id="rId58" xr:uid="{00000000-0004-0000-0200-000039000000}"/>
  </hyperlinks>
  <printOptions horizontalCentered="1" gridLines="1"/>
  <pageMargins left="0.7" right="0.7" top="0.75" bottom="0.75" header="0" footer="0"/>
  <pageSetup fitToWidth="0" pageOrder="overThenDown" orientation="portrait" cellComments="atEnd"/>
  <tableParts count="1">
    <tablePart r:id="rId5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Z1000"/>
  <sheetViews>
    <sheetView workbookViewId="0"/>
  </sheetViews>
  <sheetFormatPr baseColWidth="10" defaultColWidth="12.6640625" defaultRowHeight="15.75" customHeight="1"/>
  <cols>
    <col min="1" max="1" width="17.6640625" customWidth="1"/>
    <col min="2" max="2" width="17.5" customWidth="1"/>
    <col min="3" max="3" width="14.5" customWidth="1"/>
    <col min="4" max="5" width="8.1640625" customWidth="1"/>
    <col min="6" max="7" width="13.33203125" customWidth="1"/>
  </cols>
  <sheetData>
    <row r="1" spans="1:26" ht="34.5" customHeight="1">
      <c r="A1" s="143" t="s">
        <v>6</v>
      </c>
      <c r="B1" s="144" t="s">
        <v>1286</v>
      </c>
      <c r="D1" s="62"/>
      <c r="E1" s="63"/>
      <c r="F1" s="64"/>
      <c r="G1" s="64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</row>
    <row r="2" spans="1:26" ht="13">
      <c r="E2" s="66"/>
      <c r="F2" s="67"/>
      <c r="G2" s="67"/>
      <c r="H2" s="40"/>
      <c r="I2" s="40"/>
      <c r="J2" s="40"/>
      <c r="K2" s="40"/>
      <c r="L2" s="40"/>
    </row>
    <row r="3" spans="1:26" ht="13">
      <c r="A3" s="132" t="s">
        <v>11</v>
      </c>
      <c r="B3" s="132" t="s">
        <v>12</v>
      </c>
      <c r="C3" s="133" t="s">
        <v>613</v>
      </c>
      <c r="E3" s="66"/>
      <c r="F3" s="67"/>
      <c r="G3" s="67"/>
      <c r="H3" s="40"/>
      <c r="I3" s="40"/>
      <c r="J3" s="40"/>
      <c r="K3" s="40"/>
      <c r="L3" s="40"/>
    </row>
    <row r="4" spans="1:26" ht="13">
      <c r="A4" s="134" t="s">
        <v>23</v>
      </c>
      <c r="B4" s="134" t="s">
        <v>24</v>
      </c>
      <c r="C4" s="135">
        <v>0</v>
      </c>
      <c r="E4" s="66"/>
      <c r="F4" s="67"/>
      <c r="G4" s="67"/>
      <c r="H4" s="40"/>
      <c r="I4" s="40"/>
      <c r="J4" s="40"/>
      <c r="K4" s="40"/>
      <c r="L4" s="40"/>
    </row>
    <row r="5" spans="1:26" ht="13">
      <c r="A5" s="134" t="s">
        <v>617</v>
      </c>
      <c r="B5" s="136"/>
      <c r="C5" s="135">
        <v>0</v>
      </c>
      <c r="E5" s="66"/>
      <c r="F5" s="67"/>
      <c r="G5" s="67"/>
      <c r="H5" s="40"/>
      <c r="I5" s="40"/>
      <c r="J5" s="40"/>
      <c r="K5" s="40"/>
      <c r="L5" s="40"/>
    </row>
    <row r="6" spans="1:26" ht="13">
      <c r="A6" s="134" t="s">
        <v>28</v>
      </c>
      <c r="B6" s="134" t="s">
        <v>29</v>
      </c>
      <c r="C6" s="135">
        <v>0</v>
      </c>
      <c r="E6" s="66"/>
      <c r="F6" s="67"/>
      <c r="G6" s="67"/>
      <c r="H6" s="40"/>
      <c r="I6" s="40"/>
      <c r="J6" s="40"/>
      <c r="K6" s="40"/>
      <c r="L6" s="40"/>
    </row>
    <row r="7" spans="1:26" ht="13">
      <c r="A7" s="134" t="s">
        <v>618</v>
      </c>
      <c r="B7" s="136"/>
      <c r="C7" s="135">
        <v>0</v>
      </c>
      <c r="E7" s="66"/>
      <c r="F7" s="67"/>
      <c r="G7" s="67"/>
      <c r="H7" s="40"/>
      <c r="I7" s="40"/>
      <c r="J7" s="40"/>
      <c r="K7" s="40"/>
      <c r="L7" s="40"/>
    </row>
    <row r="8" spans="1:26" ht="13">
      <c r="A8" s="134" t="s">
        <v>32</v>
      </c>
      <c r="B8" s="134" t="s">
        <v>33</v>
      </c>
      <c r="C8" s="135">
        <v>0</v>
      </c>
      <c r="E8" s="66"/>
      <c r="F8" s="67"/>
      <c r="G8" s="67"/>
      <c r="H8" s="40"/>
      <c r="I8" s="40"/>
      <c r="J8" s="40"/>
      <c r="K8" s="40"/>
      <c r="L8" s="40"/>
    </row>
    <row r="9" spans="1:26" ht="13">
      <c r="A9" s="137"/>
      <c r="B9" s="138" t="s">
        <v>35</v>
      </c>
      <c r="C9" s="139">
        <v>0</v>
      </c>
      <c r="E9" s="66"/>
      <c r="F9" s="67"/>
      <c r="G9" s="67"/>
      <c r="H9" s="40"/>
      <c r="I9" s="40"/>
      <c r="J9" s="40"/>
      <c r="K9" s="40"/>
      <c r="L9" s="40"/>
    </row>
    <row r="10" spans="1:26" ht="13">
      <c r="A10" s="137"/>
      <c r="B10" s="138" t="s">
        <v>37</v>
      </c>
      <c r="C10" s="139">
        <v>0</v>
      </c>
      <c r="E10" s="66"/>
      <c r="F10" s="67"/>
      <c r="G10" s="67"/>
      <c r="H10" s="40"/>
      <c r="I10" s="40"/>
      <c r="J10" s="40"/>
      <c r="K10" s="40"/>
      <c r="L10" s="40"/>
    </row>
    <row r="11" spans="1:26" ht="13">
      <c r="A11" s="137"/>
      <c r="B11" s="138" t="s">
        <v>40</v>
      </c>
      <c r="C11" s="139">
        <v>0</v>
      </c>
      <c r="E11" s="66"/>
      <c r="F11" s="67"/>
      <c r="G11" s="67"/>
      <c r="H11" s="40"/>
      <c r="I11" s="40"/>
      <c r="J11" s="40"/>
      <c r="K11" s="40"/>
      <c r="L11" s="40"/>
    </row>
    <row r="12" spans="1:26" ht="13">
      <c r="A12" s="137"/>
      <c r="B12" s="138" t="s">
        <v>42</v>
      </c>
      <c r="C12" s="139">
        <v>0</v>
      </c>
      <c r="E12" s="66"/>
      <c r="F12" s="67"/>
      <c r="G12" s="67"/>
      <c r="H12" s="40"/>
      <c r="I12" s="40"/>
      <c r="J12" s="40"/>
      <c r="K12" s="40"/>
      <c r="L12" s="40"/>
    </row>
    <row r="13" spans="1:26" ht="13">
      <c r="A13" s="137"/>
      <c r="B13" s="138" t="s">
        <v>44</v>
      </c>
      <c r="C13" s="139">
        <v>0</v>
      </c>
      <c r="E13" s="66"/>
      <c r="F13" s="67"/>
      <c r="G13" s="67"/>
      <c r="H13" s="40"/>
      <c r="I13" s="40"/>
      <c r="J13" s="40"/>
      <c r="K13" s="40"/>
      <c r="L13" s="40"/>
    </row>
    <row r="14" spans="1:26" ht="13">
      <c r="A14" s="137"/>
      <c r="B14" s="138" t="s">
        <v>47</v>
      </c>
      <c r="C14" s="139">
        <v>0</v>
      </c>
      <c r="E14" s="66"/>
      <c r="F14" s="67"/>
      <c r="G14" s="67"/>
      <c r="H14" s="40"/>
      <c r="I14" s="40"/>
      <c r="J14" s="40"/>
      <c r="K14" s="40"/>
      <c r="L14" s="40"/>
    </row>
    <row r="15" spans="1:26" ht="13">
      <c r="A15" s="137"/>
      <c r="B15" s="138" t="s">
        <v>49</v>
      </c>
      <c r="C15" s="139">
        <v>0</v>
      </c>
      <c r="E15" s="66"/>
      <c r="F15" s="67"/>
      <c r="G15" s="67"/>
      <c r="H15" s="40"/>
      <c r="I15" s="40"/>
      <c r="J15" s="40"/>
      <c r="K15" s="40"/>
      <c r="L15" s="40"/>
    </row>
    <row r="16" spans="1:26" ht="13">
      <c r="A16" s="137"/>
      <c r="B16" s="138" t="s">
        <v>51</v>
      </c>
      <c r="C16" s="139">
        <v>0</v>
      </c>
      <c r="E16" s="66"/>
      <c r="F16" s="67"/>
      <c r="G16" s="67"/>
      <c r="H16" s="40"/>
      <c r="I16" s="40"/>
      <c r="J16" s="40"/>
      <c r="K16" s="40"/>
      <c r="L16" s="40"/>
    </row>
    <row r="17" spans="1:12" ht="13">
      <c r="A17" s="137"/>
      <c r="B17" s="138" t="s">
        <v>53</v>
      </c>
      <c r="C17" s="139">
        <v>0</v>
      </c>
      <c r="E17" s="66"/>
      <c r="F17" s="67"/>
      <c r="G17" s="67"/>
      <c r="H17" s="40"/>
      <c r="I17" s="40"/>
      <c r="J17" s="40"/>
      <c r="K17" s="40"/>
      <c r="L17" s="40"/>
    </row>
    <row r="18" spans="1:12" ht="13">
      <c r="A18" s="137"/>
      <c r="B18" s="138" t="s">
        <v>55</v>
      </c>
      <c r="C18" s="139">
        <v>0</v>
      </c>
      <c r="E18" s="66"/>
      <c r="F18" s="67"/>
      <c r="G18" s="67"/>
      <c r="H18" s="40"/>
      <c r="I18" s="40"/>
      <c r="J18" s="40"/>
      <c r="K18" s="40"/>
      <c r="L18" s="40"/>
    </row>
    <row r="19" spans="1:12" ht="13">
      <c r="A19" s="137"/>
      <c r="B19" s="138" t="s">
        <v>57</v>
      </c>
      <c r="C19" s="139">
        <v>0</v>
      </c>
      <c r="E19" s="66"/>
      <c r="F19" s="67"/>
      <c r="G19" s="67"/>
      <c r="H19" s="40"/>
      <c r="I19" s="40"/>
      <c r="J19" s="40"/>
      <c r="K19" s="40"/>
      <c r="L19" s="40"/>
    </row>
    <row r="20" spans="1:12" ht="13">
      <c r="A20" s="137"/>
      <c r="B20" s="138" t="s">
        <v>58</v>
      </c>
      <c r="C20" s="139">
        <v>0</v>
      </c>
      <c r="E20" s="66"/>
      <c r="F20" s="67"/>
      <c r="G20" s="67"/>
      <c r="H20" s="40"/>
      <c r="I20" s="40"/>
      <c r="J20" s="40"/>
      <c r="K20" s="40"/>
      <c r="L20" s="40"/>
    </row>
    <row r="21" spans="1:12" ht="13">
      <c r="A21" s="137"/>
      <c r="B21" s="138" t="s">
        <v>60</v>
      </c>
      <c r="C21" s="139">
        <v>0</v>
      </c>
      <c r="E21" s="66"/>
      <c r="F21" s="67"/>
      <c r="G21" s="67"/>
      <c r="H21" s="40"/>
      <c r="I21" s="40"/>
      <c r="J21" s="40"/>
      <c r="K21" s="40"/>
      <c r="L21" s="40"/>
    </row>
    <row r="22" spans="1:12" ht="13">
      <c r="A22" s="137"/>
      <c r="B22" s="138" t="s">
        <v>62</v>
      </c>
      <c r="C22" s="139">
        <v>0</v>
      </c>
      <c r="E22" s="66"/>
      <c r="F22" s="67"/>
      <c r="G22" s="67"/>
      <c r="H22" s="40"/>
      <c r="I22" s="40"/>
      <c r="J22" s="40"/>
      <c r="K22" s="40"/>
      <c r="L22" s="40"/>
    </row>
    <row r="23" spans="1:12" ht="13">
      <c r="A23" s="137"/>
      <c r="B23" s="138" t="s">
        <v>64</v>
      </c>
      <c r="C23" s="139">
        <v>0</v>
      </c>
      <c r="E23" s="66"/>
      <c r="F23" s="67"/>
      <c r="G23" s="67"/>
      <c r="H23" s="40"/>
      <c r="I23" s="40"/>
      <c r="J23" s="40"/>
      <c r="K23" s="40"/>
      <c r="L23" s="40"/>
    </row>
    <row r="24" spans="1:12" ht="13">
      <c r="A24" s="137"/>
      <c r="B24" s="138" t="s">
        <v>66</v>
      </c>
      <c r="C24" s="139">
        <v>0</v>
      </c>
      <c r="E24" s="66"/>
      <c r="F24" s="67"/>
      <c r="G24" s="67"/>
      <c r="H24" s="40"/>
      <c r="I24" s="40"/>
      <c r="J24" s="40"/>
      <c r="K24" s="40"/>
      <c r="L24" s="40"/>
    </row>
    <row r="25" spans="1:12" ht="13">
      <c r="A25" s="137"/>
      <c r="B25" s="138" t="s">
        <v>67</v>
      </c>
      <c r="C25" s="139">
        <v>0</v>
      </c>
      <c r="E25" s="66"/>
      <c r="F25" s="67"/>
      <c r="G25" s="67"/>
      <c r="H25" s="40"/>
      <c r="I25" s="40"/>
      <c r="J25" s="40"/>
      <c r="K25" s="40"/>
      <c r="L25" s="40"/>
    </row>
    <row r="26" spans="1:12" ht="13">
      <c r="A26" s="137"/>
      <c r="B26" s="138" t="s">
        <v>69</v>
      </c>
      <c r="C26" s="139">
        <v>0</v>
      </c>
      <c r="E26" s="66"/>
      <c r="F26" s="67"/>
      <c r="G26" s="67"/>
      <c r="H26" s="40"/>
      <c r="I26" s="40"/>
      <c r="J26" s="40"/>
      <c r="K26" s="40"/>
      <c r="L26" s="40"/>
    </row>
    <row r="27" spans="1:12" ht="13">
      <c r="A27" s="137"/>
      <c r="B27" s="138" t="s">
        <v>71</v>
      </c>
      <c r="C27" s="139">
        <v>0</v>
      </c>
      <c r="E27" s="66"/>
      <c r="F27" s="67"/>
      <c r="G27" s="67"/>
      <c r="H27" s="40"/>
      <c r="I27" s="40"/>
      <c r="J27" s="40"/>
      <c r="K27" s="40"/>
      <c r="L27" s="40"/>
    </row>
    <row r="28" spans="1:12" ht="13">
      <c r="A28" s="137"/>
      <c r="B28" s="138" t="s">
        <v>1284</v>
      </c>
      <c r="C28" s="139">
        <v>0</v>
      </c>
      <c r="E28" s="66"/>
      <c r="F28" s="67"/>
      <c r="G28" s="67"/>
      <c r="H28" s="40"/>
      <c r="I28" s="40"/>
      <c r="J28" s="40"/>
      <c r="K28" s="40"/>
      <c r="L28" s="40"/>
    </row>
    <row r="29" spans="1:12" ht="13">
      <c r="A29" s="134" t="s">
        <v>619</v>
      </c>
      <c r="B29" s="136"/>
      <c r="C29" s="135">
        <v>0</v>
      </c>
      <c r="E29" s="66"/>
      <c r="F29" s="67"/>
      <c r="G29" s="67"/>
      <c r="H29" s="40"/>
      <c r="I29" s="40"/>
      <c r="J29" s="40"/>
      <c r="K29" s="40"/>
      <c r="L29" s="40"/>
    </row>
    <row r="30" spans="1:12" ht="13">
      <c r="A30" s="134" t="s">
        <v>560</v>
      </c>
      <c r="B30" s="134" t="s">
        <v>568</v>
      </c>
      <c r="C30" s="135">
        <v>0</v>
      </c>
      <c r="E30" s="66"/>
      <c r="F30" s="67"/>
      <c r="G30" s="67"/>
      <c r="H30" s="40"/>
      <c r="I30" s="40"/>
      <c r="J30" s="40"/>
      <c r="K30" s="40"/>
      <c r="L30" s="40"/>
    </row>
    <row r="31" spans="1:12" ht="13">
      <c r="A31" s="137"/>
      <c r="B31" s="138" t="s">
        <v>564</v>
      </c>
      <c r="C31" s="139">
        <v>0</v>
      </c>
      <c r="E31" s="66"/>
      <c r="F31" s="67"/>
      <c r="G31" s="67"/>
      <c r="H31" s="40"/>
      <c r="I31" s="40"/>
      <c r="J31" s="40"/>
      <c r="K31" s="40"/>
      <c r="L31" s="40"/>
    </row>
    <row r="32" spans="1:12" ht="13">
      <c r="A32" s="137"/>
      <c r="B32" s="138" t="s">
        <v>561</v>
      </c>
      <c r="C32" s="139">
        <v>0</v>
      </c>
      <c r="E32" s="66"/>
      <c r="F32" s="67"/>
      <c r="G32" s="67"/>
      <c r="H32" s="40"/>
      <c r="I32" s="40"/>
      <c r="J32" s="40"/>
      <c r="K32" s="40"/>
      <c r="L32" s="40"/>
    </row>
    <row r="33" spans="1:12" ht="13">
      <c r="A33" s="134" t="s">
        <v>620</v>
      </c>
      <c r="B33" s="136"/>
      <c r="C33" s="135">
        <v>0</v>
      </c>
      <c r="E33" s="66"/>
      <c r="F33" s="67"/>
      <c r="G33" s="67"/>
    </row>
    <row r="34" spans="1:12" ht="13">
      <c r="A34" s="134" t="s">
        <v>74</v>
      </c>
      <c r="B34" s="134" t="s">
        <v>75</v>
      </c>
      <c r="C34" s="135">
        <v>1</v>
      </c>
      <c r="E34" s="66"/>
      <c r="F34" s="67"/>
      <c r="G34" s="67"/>
      <c r="H34" s="40"/>
      <c r="I34" s="40"/>
      <c r="J34" s="40"/>
      <c r="K34" s="40"/>
      <c r="L34" s="40"/>
    </row>
    <row r="35" spans="1:12" ht="13">
      <c r="A35" s="137"/>
      <c r="B35" s="138" t="s">
        <v>80</v>
      </c>
      <c r="C35" s="139">
        <v>0</v>
      </c>
      <c r="E35" s="66"/>
      <c r="F35" s="67"/>
      <c r="G35" s="67"/>
      <c r="H35" s="40"/>
      <c r="I35" s="40"/>
      <c r="J35" s="40"/>
      <c r="K35" s="40"/>
      <c r="L35" s="40"/>
    </row>
    <row r="36" spans="1:12" ht="13">
      <c r="A36" s="137"/>
      <c r="B36" s="138" t="s">
        <v>84</v>
      </c>
      <c r="C36" s="139">
        <v>0</v>
      </c>
      <c r="E36" s="66"/>
      <c r="F36" s="67"/>
      <c r="G36" s="67"/>
      <c r="H36" s="40"/>
      <c r="I36" s="40"/>
      <c r="J36" s="40"/>
      <c r="K36" s="40"/>
      <c r="L36" s="40"/>
    </row>
    <row r="37" spans="1:12" ht="13">
      <c r="A37" s="137"/>
      <c r="B37" s="138" t="s">
        <v>88</v>
      </c>
      <c r="C37" s="139">
        <v>0</v>
      </c>
      <c r="E37" s="66"/>
      <c r="F37" s="67"/>
      <c r="G37" s="67"/>
      <c r="H37" s="40"/>
      <c r="I37" s="40"/>
      <c r="J37" s="40"/>
      <c r="K37" s="40"/>
      <c r="L37" s="40"/>
    </row>
    <row r="38" spans="1:12" ht="13">
      <c r="A38" s="134" t="s">
        <v>621</v>
      </c>
      <c r="B38" s="136"/>
      <c r="C38" s="135">
        <v>1</v>
      </c>
      <c r="E38" s="66"/>
      <c r="F38" s="67"/>
      <c r="G38" s="67"/>
      <c r="H38" s="40"/>
      <c r="I38" s="40"/>
      <c r="J38" s="40"/>
      <c r="K38" s="40"/>
      <c r="L38" s="40"/>
    </row>
    <row r="39" spans="1:12" ht="13">
      <c r="A39" s="134" t="s">
        <v>91</v>
      </c>
      <c r="B39" s="134" t="s">
        <v>92</v>
      </c>
      <c r="C39" s="135">
        <v>0</v>
      </c>
      <c r="E39" s="66"/>
      <c r="F39" s="67"/>
      <c r="G39" s="67"/>
      <c r="H39" s="40"/>
      <c r="I39" s="40"/>
      <c r="J39" s="40"/>
      <c r="K39" s="40"/>
      <c r="L39" s="40"/>
    </row>
    <row r="40" spans="1:12" ht="13">
      <c r="A40" s="137"/>
      <c r="B40" s="138" t="s">
        <v>94</v>
      </c>
      <c r="C40" s="139">
        <v>0</v>
      </c>
      <c r="E40" s="66"/>
      <c r="F40" s="67"/>
      <c r="G40" s="67"/>
      <c r="H40" s="40"/>
      <c r="I40" s="40"/>
      <c r="J40" s="40"/>
      <c r="K40" s="40"/>
      <c r="L40" s="40"/>
    </row>
    <row r="41" spans="1:12" ht="13">
      <c r="A41" s="134" t="s">
        <v>622</v>
      </c>
      <c r="B41" s="136"/>
      <c r="C41" s="135">
        <v>0</v>
      </c>
      <c r="E41" s="66"/>
      <c r="F41" s="67"/>
      <c r="G41" s="67"/>
      <c r="H41" s="40"/>
      <c r="I41" s="40"/>
      <c r="J41" s="40"/>
      <c r="K41" s="40"/>
      <c r="L41" s="40"/>
    </row>
    <row r="42" spans="1:12" ht="13">
      <c r="A42" s="134" t="s">
        <v>97</v>
      </c>
      <c r="B42" s="134" t="s">
        <v>98</v>
      </c>
      <c r="C42" s="135">
        <v>0</v>
      </c>
      <c r="E42" s="66"/>
      <c r="F42" s="67"/>
      <c r="G42" s="67"/>
      <c r="H42" s="40"/>
      <c r="I42" s="40"/>
      <c r="J42" s="40"/>
      <c r="K42" s="40"/>
      <c r="L42" s="40"/>
    </row>
    <row r="43" spans="1:12" ht="13">
      <c r="A43" s="134" t="s">
        <v>623</v>
      </c>
      <c r="B43" s="136"/>
      <c r="C43" s="135">
        <v>0</v>
      </c>
      <c r="E43" s="66"/>
      <c r="F43" s="67"/>
      <c r="G43" s="67"/>
      <c r="H43" s="40"/>
      <c r="I43" s="40"/>
      <c r="J43" s="40"/>
      <c r="K43" s="40"/>
      <c r="L43" s="40"/>
    </row>
    <row r="44" spans="1:12" ht="13">
      <c r="A44" s="134" t="s">
        <v>102</v>
      </c>
      <c r="B44" s="134" t="s">
        <v>103</v>
      </c>
      <c r="C44" s="135">
        <v>0</v>
      </c>
      <c r="E44" s="66"/>
      <c r="F44" s="67"/>
      <c r="G44" s="67"/>
      <c r="H44" s="40"/>
      <c r="I44" s="40"/>
      <c r="J44" s="40"/>
      <c r="K44" s="40"/>
      <c r="L44" s="40"/>
    </row>
    <row r="45" spans="1:12" ht="13">
      <c r="A45" s="134" t="s">
        <v>624</v>
      </c>
      <c r="B45" s="136"/>
      <c r="C45" s="135">
        <v>0</v>
      </c>
      <c r="E45" s="66"/>
      <c r="F45" s="67"/>
      <c r="G45" s="67"/>
      <c r="H45" s="40"/>
      <c r="I45" s="40"/>
      <c r="J45" s="40"/>
      <c r="K45" s="40"/>
      <c r="L45" s="40"/>
    </row>
    <row r="46" spans="1:12" ht="13">
      <c r="A46" s="134" t="s">
        <v>106</v>
      </c>
      <c r="B46" s="134" t="s">
        <v>569</v>
      </c>
      <c r="C46" s="135">
        <v>0</v>
      </c>
      <c r="E46" s="66"/>
      <c r="F46" s="67"/>
      <c r="G46" s="67"/>
      <c r="H46" s="40"/>
      <c r="I46" s="40"/>
      <c r="J46" s="40"/>
      <c r="K46" s="40"/>
      <c r="L46" s="40"/>
    </row>
    <row r="47" spans="1:12" ht="13">
      <c r="A47" s="137"/>
      <c r="B47" s="138" t="s">
        <v>553</v>
      </c>
      <c r="C47" s="139">
        <v>1</v>
      </c>
      <c r="E47" s="66"/>
      <c r="F47" s="67"/>
      <c r="G47" s="67"/>
      <c r="H47" s="40"/>
      <c r="I47" s="40"/>
      <c r="J47" s="40"/>
      <c r="K47" s="40"/>
      <c r="L47" s="40"/>
    </row>
    <row r="48" spans="1:12" ht="13">
      <c r="A48" s="137"/>
      <c r="B48" s="138" t="s">
        <v>565</v>
      </c>
      <c r="C48" s="139">
        <v>0</v>
      </c>
      <c r="E48" s="66"/>
      <c r="F48" s="67"/>
      <c r="G48" s="67"/>
      <c r="H48" s="40"/>
      <c r="I48" s="40"/>
      <c r="J48" s="40"/>
      <c r="K48" s="40"/>
      <c r="L48" s="40"/>
    </row>
    <row r="49" spans="1:12" ht="13">
      <c r="A49" s="137"/>
      <c r="B49" s="138" t="s">
        <v>562</v>
      </c>
      <c r="C49" s="139">
        <v>0</v>
      </c>
      <c r="E49" s="66"/>
      <c r="F49" s="67"/>
      <c r="G49" s="67"/>
      <c r="H49" s="40"/>
      <c r="I49" s="40"/>
      <c r="J49" s="40"/>
      <c r="K49" s="40"/>
      <c r="L49" s="40"/>
    </row>
    <row r="50" spans="1:12" ht="13">
      <c r="A50" s="137"/>
      <c r="B50" s="138" t="s">
        <v>567</v>
      </c>
      <c r="C50" s="139">
        <v>0</v>
      </c>
      <c r="E50" s="66"/>
      <c r="F50" s="67"/>
      <c r="G50" s="67"/>
      <c r="H50" s="40"/>
      <c r="I50" s="40"/>
      <c r="J50" s="40"/>
      <c r="K50" s="40"/>
      <c r="L50" s="40"/>
    </row>
    <row r="51" spans="1:12" ht="13">
      <c r="A51" s="137"/>
      <c r="B51" s="138" t="s">
        <v>566</v>
      </c>
      <c r="C51" s="139">
        <v>0</v>
      </c>
      <c r="E51" s="66"/>
      <c r="F51" s="67"/>
      <c r="G51" s="67"/>
      <c r="H51" s="40"/>
      <c r="I51" s="40"/>
      <c r="J51" s="40"/>
      <c r="K51" s="40"/>
      <c r="L51" s="40"/>
    </row>
    <row r="52" spans="1:12" ht="13">
      <c r="A52" s="137"/>
      <c r="B52" s="138" t="s">
        <v>107</v>
      </c>
      <c r="C52" s="139">
        <v>1</v>
      </c>
      <c r="E52" s="66"/>
      <c r="F52" s="67"/>
      <c r="G52" s="67"/>
      <c r="H52" s="40"/>
      <c r="I52" s="40"/>
      <c r="J52" s="40"/>
      <c r="K52" s="40"/>
      <c r="L52" s="40"/>
    </row>
    <row r="53" spans="1:12" ht="13">
      <c r="A53" s="137"/>
      <c r="B53" s="138" t="s">
        <v>109</v>
      </c>
      <c r="C53" s="139">
        <v>1</v>
      </c>
      <c r="E53" s="66"/>
      <c r="F53" s="67"/>
      <c r="G53" s="67"/>
      <c r="H53" s="40"/>
      <c r="I53" s="40"/>
      <c r="J53" s="40"/>
      <c r="K53" s="40"/>
      <c r="L53" s="40"/>
    </row>
    <row r="54" spans="1:12" ht="13">
      <c r="A54" s="137"/>
      <c r="B54" s="138" t="s">
        <v>112</v>
      </c>
      <c r="C54" s="139">
        <v>1</v>
      </c>
      <c r="E54" s="66"/>
      <c r="F54" s="67"/>
      <c r="G54" s="67"/>
      <c r="H54" s="40"/>
      <c r="I54" s="40"/>
      <c r="J54" s="40"/>
      <c r="K54" s="40"/>
      <c r="L54" s="40"/>
    </row>
    <row r="55" spans="1:12" ht="13">
      <c r="A55" s="137"/>
      <c r="B55" s="138" t="s">
        <v>557</v>
      </c>
      <c r="C55" s="139">
        <v>0</v>
      </c>
      <c r="E55" s="66"/>
      <c r="F55" s="67"/>
      <c r="G55" s="67"/>
      <c r="H55" s="40"/>
      <c r="I55" s="40"/>
      <c r="J55" s="40"/>
      <c r="K55" s="40"/>
      <c r="L55" s="40"/>
    </row>
    <row r="56" spans="1:12" ht="13">
      <c r="A56" s="134" t="s">
        <v>614</v>
      </c>
      <c r="B56" s="136"/>
      <c r="C56" s="135">
        <v>4</v>
      </c>
      <c r="E56" s="66"/>
      <c r="F56" s="67"/>
      <c r="G56" s="67"/>
      <c r="H56" s="40"/>
      <c r="I56" s="40"/>
      <c r="J56" s="40"/>
      <c r="K56" s="40"/>
      <c r="L56" s="40"/>
    </row>
    <row r="57" spans="1:12" ht="13">
      <c r="A57" s="134" t="s">
        <v>114</v>
      </c>
      <c r="B57" s="134" t="s">
        <v>115</v>
      </c>
      <c r="C57" s="135">
        <v>0</v>
      </c>
      <c r="E57" s="66"/>
      <c r="F57" s="67"/>
      <c r="G57" s="67"/>
      <c r="H57" s="40"/>
      <c r="I57" s="40"/>
      <c r="J57" s="40"/>
      <c r="K57" s="40"/>
      <c r="L57" s="40"/>
    </row>
    <row r="58" spans="1:12" ht="13">
      <c r="A58" s="137"/>
      <c r="B58" s="138" t="s">
        <v>120</v>
      </c>
      <c r="C58" s="139">
        <v>0</v>
      </c>
      <c r="E58" s="66"/>
      <c r="F58" s="67"/>
      <c r="G58" s="67"/>
      <c r="H58" s="40"/>
      <c r="I58" s="40"/>
      <c r="J58" s="40"/>
      <c r="K58" s="40"/>
      <c r="L58" s="40"/>
    </row>
    <row r="59" spans="1:12" ht="13">
      <c r="A59" s="134" t="s">
        <v>625</v>
      </c>
      <c r="B59" s="136"/>
      <c r="C59" s="135">
        <v>0</v>
      </c>
      <c r="E59" s="66"/>
      <c r="F59" s="67"/>
      <c r="G59" s="67"/>
      <c r="H59" s="40"/>
      <c r="I59" s="40"/>
      <c r="J59" s="40"/>
      <c r="K59" s="40"/>
      <c r="L59" s="40"/>
    </row>
    <row r="60" spans="1:12" ht="13">
      <c r="A60" s="134" t="s">
        <v>123</v>
      </c>
      <c r="B60" s="134" t="s">
        <v>124</v>
      </c>
      <c r="C60" s="135">
        <v>0</v>
      </c>
      <c r="E60" s="66"/>
      <c r="F60" s="67"/>
      <c r="G60" s="67"/>
      <c r="H60" s="40"/>
      <c r="I60" s="40"/>
      <c r="J60" s="40"/>
      <c r="K60" s="40"/>
      <c r="L60" s="40"/>
    </row>
    <row r="61" spans="1:12" ht="13">
      <c r="A61" s="137"/>
      <c r="B61" s="138" t="s">
        <v>125</v>
      </c>
      <c r="C61" s="139">
        <v>0</v>
      </c>
      <c r="E61" s="66"/>
      <c r="F61" s="67"/>
      <c r="G61" s="67"/>
      <c r="H61" s="40"/>
      <c r="I61" s="40"/>
      <c r="J61" s="40"/>
      <c r="K61" s="40"/>
      <c r="L61" s="40"/>
    </row>
    <row r="62" spans="1:12" ht="13">
      <c r="A62" s="137"/>
      <c r="B62" s="138" t="s">
        <v>126</v>
      </c>
      <c r="C62" s="139">
        <v>0</v>
      </c>
      <c r="E62" s="66"/>
      <c r="F62" s="67"/>
      <c r="G62" s="67"/>
      <c r="H62" s="40"/>
      <c r="I62" s="40"/>
      <c r="J62" s="40"/>
      <c r="K62" s="40"/>
      <c r="L62" s="40"/>
    </row>
    <row r="63" spans="1:12" ht="13">
      <c r="A63" s="137"/>
      <c r="B63" s="138" t="s">
        <v>127</v>
      </c>
      <c r="C63" s="139">
        <v>0</v>
      </c>
      <c r="E63" s="66"/>
      <c r="F63" s="67"/>
      <c r="G63" s="67"/>
      <c r="H63" s="40"/>
      <c r="I63" s="40"/>
      <c r="J63" s="40"/>
      <c r="K63" s="40"/>
      <c r="L63" s="40"/>
    </row>
    <row r="64" spans="1:12" ht="13">
      <c r="A64" s="137"/>
      <c r="B64" s="138" t="s">
        <v>128</v>
      </c>
      <c r="C64" s="139">
        <v>0</v>
      </c>
      <c r="E64" s="66"/>
      <c r="F64" s="67"/>
      <c r="G64" s="67"/>
      <c r="H64" s="40"/>
      <c r="I64" s="40"/>
      <c r="J64" s="40"/>
      <c r="K64" s="40"/>
      <c r="L64" s="40"/>
    </row>
    <row r="65" spans="1:12" ht="13">
      <c r="A65" s="137"/>
      <c r="B65" s="138" t="s">
        <v>129</v>
      </c>
      <c r="C65" s="139">
        <v>0</v>
      </c>
      <c r="E65" s="66"/>
      <c r="F65" s="67"/>
      <c r="G65" s="67"/>
      <c r="H65" s="40"/>
      <c r="I65" s="40"/>
      <c r="J65" s="40"/>
      <c r="K65" s="40"/>
      <c r="L65" s="40"/>
    </row>
    <row r="66" spans="1:12" ht="13">
      <c r="A66" s="134" t="s">
        <v>626</v>
      </c>
      <c r="B66" s="136"/>
      <c r="C66" s="135">
        <v>0</v>
      </c>
      <c r="E66" s="66"/>
      <c r="F66" s="67"/>
      <c r="G66" s="67"/>
      <c r="H66" s="40"/>
      <c r="I66" s="40"/>
      <c r="J66" s="40"/>
      <c r="K66" s="40"/>
      <c r="L66" s="40"/>
    </row>
    <row r="67" spans="1:12" ht="13">
      <c r="A67" s="134" t="s">
        <v>130</v>
      </c>
      <c r="B67" s="134" t="s">
        <v>131</v>
      </c>
      <c r="C67" s="135">
        <v>0</v>
      </c>
      <c r="E67" s="66"/>
      <c r="F67" s="67"/>
      <c r="G67" s="67"/>
      <c r="H67" s="40"/>
      <c r="I67" s="40"/>
      <c r="J67" s="40"/>
      <c r="K67" s="40"/>
      <c r="L67" s="40"/>
    </row>
    <row r="68" spans="1:12" ht="13">
      <c r="A68" s="137"/>
      <c r="B68" s="138" t="s">
        <v>135</v>
      </c>
      <c r="C68" s="139">
        <v>0</v>
      </c>
      <c r="E68" s="66"/>
      <c r="F68" s="67"/>
      <c r="G68" s="67"/>
      <c r="H68" s="40"/>
      <c r="I68" s="40"/>
      <c r="J68" s="40"/>
      <c r="K68" s="40"/>
      <c r="L68" s="40"/>
    </row>
    <row r="69" spans="1:12" ht="13">
      <c r="A69" s="134" t="s">
        <v>627</v>
      </c>
      <c r="B69" s="136"/>
      <c r="C69" s="135">
        <v>0</v>
      </c>
      <c r="E69" s="66"/>
      <c r="F69" s="67"/>
      <c r="G69" s="67"/>
      <c r="H69" s="40"/>
      <c r="I69" s="40"/>
      <c r="J69" s="40"/>
      <c r="K69" s="40"/>
      <c r="L69" s="40"/>
    </row>
    <row r="70" spans="1:12" ht="13">
      <c r="A70" s="134" t="s">
        <v>138</v>
      </c>
      <c r="B70" s="134" t="s">
        <v>139</v>
      </c>
      <c r="C70" s="135">
        <v>0</v>
      </c>
      <c r="E70" s="66"/>
      <c r="F70" s="67"/>
      <c r="G70" s="67"/>
      <c r="H70" s="40"/>
      <c r="I70" s="40"/>
      <c r="J70" s="40"/>
      <c r="K70" s="40"/>
      <c r="L70" s="40"/>
    </row>
    <row r="71" spans="1:12" ht="13">
      <c r="A71" s="137"/>
      <c r="B71" s="138" t="s">
        <v>142</v>
      </c>
      <c r="C71" s="139">
        <v>0</v>
      </c>
      <c r="E71" s="66"/>
      <c r="F71" s="67"/>
      <c r="G71" s="67"/>
      <c r="H71" s="40"/>
      <c r="I71" s="40"/>
      <c r="J71" s="40"/>
      <c r="K71" s="40"/>
      <c r="L71" s="40"/>
    </row>
    <row r="72" spans="1:12" ht="13">
      <c r="A72" s="137"/>
      <c r="B72" s="138" t="s">
        <v>145</v>
      </c>
      <c r="C72" s="139">
        <v>0</v>
      </c>
      <c r="E72" s="66"/>
      <c r="F72" s="67"/>
      <c r="G72" s="67"/>
    </row>
    <row r="73" spans="1:12" ht="13">
      <c r="A73" s="137"/>
      <c r="B73" s="138" t="s">
        <v>147</v>
      </c>
      <c r="C73" s="139">
        <v>0</v>
      </c>
      <c r="E73" s="66"/>
      <c r="F73" s="67"/>
      <c r="G73" s="67"/>
    </row>
    <row r="74" spans="1:12" ht="13">
      <c r="A74" s="137"/>
      <c r="B74" s="138" t="s">
        <v>148</v>
      </c>
      <c r="C74" s="139">
        <v>0</v>
      </c>
      <c r="E74" s="66"/>
      <c r="F74" s="67"/>
      <c r="G74" s="67"/>
    </row>
    <row r="75" spans="1:12" ht="13">
      <c r="A75" s="137"/>
      <c r="B75" s="138" t="s">
        <v>152</v>
      </c>
      <c r="C75" s="139">
        <v>0</v>
      </c>
      <c r="E75" s="66"/>
      <c r="F75" s="67"/>
      <c r="G75" s="67"/>
    </row>
    <row r="76" spans="1:12" ht="13">
      <c r="A76" s="137"/>
      <c r="B76" s="138" t="s">
        <v>155</v>
      </c>
      <c r="C76" s="139">
        <v>0</v>
      </c>
      <c r="E76" s="66"/>
      <c r="F76" s="67"/>
      <c r="G76" s="67"/>
    </row>
    <row r="77" spans="1:12" ht="13">
      <c r="A77" s="137"/>
      <c r="B77" s="138" t="s">
        <v>158</v>
      </c>
      <c r="C77" s="139">
        <v>1</v>
      </c>
      <c r="E77" s="66"/>
      <c r="F77" s="67"/>
      <c r="G77" s="67"/>
    </row>
    <row r="78" spans="1:12" ht="13">
      <c r="A78" s="137"/>
      <c r="B78" s="138" t="s">
        <v>159</v>
      </c>
      <c r="C78" s="139">
        <v>0</v>
      </c>
      <c r="E78" s="66"/>
      <c r="F78" s="67"/>
      <c r="G78" s="67"/>
    </row>
    <row r="79" spans="1:12" ht="13">
      <c r="A79" s="137"/>
      <c r="B79" s="138" t="s">
        <v>160</v>
      </c>
      <c r="C79" s="139">
        <v>1</v>
      </c>
      <c r="E79" s="66"/>
      <c r="F79" s="67"/>
      <c r="G79" s="67"/>
    </row>
    <row r="80" spans="1:12" ht="13">
      <c r="A80" s="137"/>
      <c r="B80" s="138" t="s">
        <v>161</v>
      </c>
      <c r="C80" s="139">
        <v>0</v>
      </c>
      <c r="E80" s="66"/>
      <c r="F80" s="67"/>
      <c r="G80" s="67"/>
    </row>
    <row r="81" spans="1:7" ht="13">
      <c r="A81" s="137"/>
      <c r="B81" s="138" t="s">
        <v>162</v>
      </c>
      <c r="C81" s="139">
        <v>0</v>
      </c>
      <c r="E81" s="66"/>
      <c r="F81" s="67"/>
      <c r="G81" s="67"/>
    </row>
    <row r="82" spans="1:7" ht="13">
      <c r="A82" s="137"/>
      <c r="B82" s="138" t="s">
        <v>163</v>
      </c>
      <c r="C82" s="139">
        <v>1</v>
      </c>
      <c r="E82" s="66"/>
      <c r="F82" s="67"/>
      <c r="G82" s="67"/>
    </row>
    <row r="83" spans="1:7" ht="13">
      <c r="A83" s="137"/>
      <c r="B83" s="138" t="s">
        <v>166</v>
      </c>
      <c r="C83" s="139">
        <v>0</v>
      </c>
      <c r="E83" s="66"/>
      <c r="F83" s="67"/>
      <c r="G83" s="67"/>
    </row>
    <row r="84" spans="1:7" ht="13">
      <c r="A84" s="137"/>
      <c r="B84" s="138" t="s">
        <v>168</v>
      </c>
      <c r="C84" s="139">
        <v>0</v>
      </c>
      <c r="E84" s="66"/>
      <c r="F84" s="67"/>
      <c r="G84" s="67"/>
    </row>
    <row r="85" spans="1:7" ht="13">
      <c r="A85" s="137"/>
      <c r="B85" s="138" t="s">
        <v>170</v>
      </c>
      <c r="C85" s="139">
        <v>10</v>
      </c>
      <c r="E85" s="66"/>
      <c r="F85" s="67"/>
      <c r="G85" s="67"/>
    </row>
    <row r="86" spans="1:7" ht="13">
      <c r="A86" s="137"/>
      <c r="B86" s="138" t="s">
        <v>172</v>
      </c>
      <c r="C86" s="139">
        <v>2</v>
      </c>
      <c r="E86" s="66"/>
      <c r="F86" s="67"/>
      <c r="G86" s="67"/>
    </row>
    <row r="87" spans="1:7" ht="13">
      <c r="A87" s="137"/>
      <c r="B87" s="138" t="s">
        <v>173</v>
      </c>
      <c r="C87" s="139">
        <v>0</v>
      </c>
      <c r="E87" s="66"/>
      <c r="F87" s="67"/>
      <c r="G87" s="67"/>
    </row>
    <row r="88" spans="1:7" ht="13">
      <c r="A88" s="137"/>
      <c r="B88" s="138" t="s">
        <v>175</v>
      </c>
      <c r="C88" s="139">
        <v>0</v>
      </c>
      <c r="E88" s="66"/>
      <c r="F88" s="67"/>
      <c r="G88" s="67"/>
    </row>
    <row r="89" spans="1:7" ht="13">
      <c r="A89" s="137"/>
      <c r="B89" s="138" t="s">
        <v>176</v>
      </c>
      <c r="C89" s="139">
        <v>0</v>
      </c>
      <c r="E89" s="66"/>
      <c r="F89" s="67"/>
      <c r="G89" s="67"/>
    </row>
    <row r="90" spans="1:7" ht="13">
      <c r="A90" s="137"/>
      <c r="B90" s="138" t="s">
        <v>178</v>
      </c>
      <c r="C90" s="139">
        <v>0</v>
      </c>
      <c r="E90" s="66"/>
      <c r="F90" s="67"/>
      <c r="G90" s="67"/>
    </row>
    <row r="91" spans="1:7" ht="13">
      <c r="A91" s="137"/>
      <c r="B91" s="138" t="s">
        <v>180</v>
      </c>
      <c r="C91" s="139">
        <v>0</v>
      </c>
      <c r="E91" s="66"/>
      <c r="F91" s="67"/>
      <c r="G91" s="67"/>
    </row>
    <row r="92" spans="1:7" ht="13">
      <c r="A92" s="137"/>
      <c r="B92" s="138" t="s">
        <v>182</v>
      </c>
      <c r="C92" s="139">
        <v>1</v>
      </c>
      <c r="E92" s="66"/>
      <c r="F92" s="67"/>
      <c r="G92" s="67"/>
    </row>
    <row r="93" spans="1:7" ht="13">
      <c r="A93" s="137"/>
      <c r="B93" s="138" t="s">
        <v>183</v>
      </c>
      <c r="C93" s="139">
        <v>0</v>
      </c>
      <c r="E93" s="66"/>
      <c r="F93" s="67"/>
      <c r="G93" s="67"/>
    </row>
    <row r="94" spans="1:7" ht="13">
      <c r="A94" s="137"/>
      <c r="B94" s="138" t="s">
        <v>184</v>
      </c>
      <c r="C94" s="139">
        <v>0</v>
      </c>
      <c r="E94" s="66"/>
      <c r="F94" s="67"/>
      <c r="G94" s="67"/>
    </row>
    <row r="95" spans="1:7" ht="13">
      <c r="A95" s="137"/>
      <c r="B95" s="138" t="s">
        <v>187</v>
      </c>
      <c r="C95" s="139">
        <v>0</v>
      </c>
      <c r="E95" s="66"/>
      <c r="F95" s="67"/>
      <c r="G95" s="67"/>
    </row>
    <row r="96" spans="1:7" ht="13">
      <c r="A96" s="137"/>
      <c r="B96" s="138" t="s">
        <v>550</v>
      </c>
      <c r="C96" s="139">
        <v>1</v>
      </c>
      <c r="E96" s="66"/>
      <c r="F96" s="67"/>
      <c r="G96" s="67"/>
    </row>
    <row r="97" spans="1:7" ht="13">
      <c r="A97" s="137"/>
      <c r="B97" s="138" t="s">
        <v>190</v>
      </c>
      <c r="C97" s="139">
        <v>0</v>
      </c>
      <c r="E97" s="66"/>
      <c r="F97" s="67"/>
      <c r="G97" s="67"/>
    </row>
    <row r="98" spans="1:7" ht="13">
      <c r="A98" s="137"/>
      <c r="B98" s="138" t="s">
        <v>191</v>
      </c>
      <c r="C98" s="139">
        <v>0</v>
      </c>
      <c r="E98" s="66"/>
      <c r="F98" s="67"/>
      <c r="G98" s="67"/>
    </row>
    <row r="99" spans="1:7" ht="13">
      <c r="A99" s="137"/>
      <c r="B99" s="138" t="s">
        <v>192</v>
      </c>
      <c r="C99" s="139">
        <v>0</v>
      </c>
      <c r="E99" s="66"/>
      <c r="F99" s="67"/>
      <c r="G99" s="67"/>
    </row>
    <row r="100" spans="1:7" ht="13">
      <c r="A100" s="137"/>
      <c r="B100" s="138" t="s">
        <v>195</v>
      </c>
      <c r="C100" s="139">
        <v>2</v>
      </c>
      <c r="E100" s="66"/>
      <c r="F100" s="67"/>
      <c r="G100" s="67"/>
    </row>
    <row r="101" spans="1:7" ht="13">
      <c r="A101" s="137"/>
      <c r="B101" s="138" t="s">
        <v>196</v>
      </c>
      <c r="C101" s="139">
        <v>0</v>
      </c>
      <c r="E101" s="66"/>
      <c r="F101" s="67"/>
      <c r="G101" s="67"/>
    </row>
    <row r="102" spans="1:7" ht="13">
      <c r="A102" s="137"/>
      <c r="B102" s="138" t="s">
        <v>197</v>
      </c>
      <c r="C102" s="139">
        <v>0</v>
      </c>
      <c r="E102" s="66"/>
      <c r="F102" s="67"/>
      <c r="G102" s="67"/>
    </row>
    <row r="103" spans="1:7" ht="13">
      <c r="A103" s="137"/>
      <c r="B103" s="138" t="s">
        <v>200</v>
      </c>
      <c r="C103" s="139">
        <v>0</v>
      </c>
      <c r="E103" s="66"/>
      <c r="F103" s="67"/>
      <c r="G103" s="67"/>
    </row>
    <row r="104" spans="1:7" ht="13">
      <c r="A104" s="137"/>
      <c r="B104" s="138" t="s">
        <v>203</v>
      </c>
      <c r="C104" s="139">
        <v>0</v>
      </c>
      <c r="E104" s="66"/>
      <c r="F104" s="67"/>
      <c r="G104" s="67"/>
    </row>
    <row r="105" spans="1:7" ht="13">
      <c r="A105" s="137"/>
      <c r="B105" s="138" t="s">
        <v>205</v>
      </c>
      <c r="C105" s="139">
        <v>0</v>
      </c>
      <c r="E105" s="66"/>
      <c r="F105" s="67"/>
      <c r="G105" s="67"/>
    </row>
    <row r="106" spans="1:7" ht="13">
      <c r="A106" s="137"/>
      <c r="B106" s="138" t="s">
        <v>207</v>
      </c>
      <c r="C106" s="139">
        <v>0</v>
      </c>
      <c r="E106" s="66"/>
      <c r="F106" s="67"/>
      <c r="G106" s="67"/>
    </row>
    <row r="107" spans="1:7" ht="13">
      <c r="A107" s="137"/>
      <c r="B107" s="138" t="s">
        <v>209</v>
      </c>
      <c r="C107" s="139">
        <v>0</v>
      </c>
      <c r="E107" s="66"/>
      <c r="F107" s="67"/>
      <c r="G107" s="67"/>
    </row>
    <row r="108" spans="1:7" ht="13">
      <c r="A108" s="137"/>
      <c r="B108" s="138" t="s">
        <v>211</v>
      </c>
      <c r="C108" s="139">
        <v>0</v>
      </c>
      <c r="E108" s="66"/>
      <c r="F108" s="67"/>
      <c r="G108" s="67"/>
    </row>
    <row r="109" spans="1:7" ht="13">
      <c r="A109" s="137"/>
      <c r="B109" s="138" t="s">
        <v>213</v>
      </c>
      <c r="C109" s="139">
        <v>0</v>
      </c>
      <c r="E109" s="66"/>
      <c r="F109" s="67"/>
      <c r="G109" s="67"/>
    </row>
    <row r="110" spans="1:7" ht="13">
      <c r="A110" s="137"/>
      <c r="B110" s="138" t="s">
        <v>215</v>
      </c>
      <c r="C110" s="139">
        <v>0</v>
      </c>
      <c r="E110" s="66"/>
      <c r="F110" s="67"/>
      <c r="G110" s="67"/>
    </row>
    <row r="111" spans="1:7" ht="13">
      <c r="A111" s="137"/>
      <c r="B111" s="138" t="s">
        <v>217</v>
      </c>
      <c r="C111" s="139">
        <v>0</v>
      </c>
      <c r="E111" s="66"/>
      <c r="F111" s="67"/>
      <c r="G111" s="67"/>
    </row>
    <row r="112" spans="1:7" ht="13">
      <c r="A112" s="137"/>
      <c r="B112" s="138" t="s">
        <v>220</v>
      </c>
      <c r="C112" s="139">
        <v>0</v>
      </c>
      <c r="E112" s="66"/>
      <c r="F112" s="67"/>
      <c r="G112" s="67"/>
    </row>
    <row r="113" spans="1:7" ht="13">
      <c r="A113" s="137"/>
      <c r="B113" s="138" t="s">
        <v>223</v>
      </c>
      <c r="C113" s="139">
        <v>0</v>
      </c>
      <c r="E113" s="66"/>
      <c r="F113" s="67"/>
      <c r="G113" s="67"/>
    </row>
    <row r="114" spans="1:7" ht="13">
      <c r="A114" s="137"/>
      <c r="B114" s="138" t="s">
        <v>225</v>
      </c>
      <c r="C114" s="139">
        <v>0</v>
      </c>
      <c r="E114" s="66"/>
      <c r="F114" s="67"/>
      <c r="G114" s="67"/>
    </row>
    <row r="115" spans="1:7" ht="13">
      <c r="A115" s="137"/>
      <c r="B115" s="138" t="s">
        <v>226</v>
      </c>
      <c r="C115" s="139">
        <v>1</v>
      </c>
      <c r="E115" s="66"/>
      <c r="F115" s="67"/>
      <c r="G115" s="67"/>
    </row>
    <row r="116" spans="1:7" ht="13">
      <c r="A116" s="137"/>
      <c r="B116" s="138" t="s">
        <v>227</v>
      </c>
      <c r="C116" s="139">
        <v>0</v>
      </c>
      <c r="E116" s="66"/>
      <c r="F116" s="67"/>
      <c r="G116" s="67"/>
    </row>
    <row r="117" spans="1:7" ht="13">
      <c r="A117" s="137"/>
      <c r="B117" s="138" t="s">
        <v>229</v>
      </c>
      <c r="C117" s="139">
        <v>0</v>
      </c>
      <c r="E117" s="66"/>
      <c r="F117" s="67"/>
      <c r="G117" s="67"/>
    </row>
    <row r="118" spans="1:7" ht="13">
      <c r="A118" s="137"/>
      <c r="B118" s="138" t="s">
        <v>231</v>
      </c>
      <c r="C118" s="139">
        <v>1</v>
      </c>
      <c r="E118" s="66"/>
      <c r="F118" s="67"/>
      <c r="G118" s="67"/>
    </row>
    <row r="119" spans="1:7" ht="13">
      <c r="A119" s="137"/>
      <c r="B119" s="138" t="s">
        <v>232</v>
      </c>
      <c r="C119" s="139">
        <v>0</v>
      </c>
      <c r="E119" s="66"/>
      <c r="F119" s="67"/>
      <c r="G119" s="67"/>
    </row>
    <row r="120" spans="1:7" ht="13">
      <c r="A120" s="137"/>
      <c r="B120" s="138" t="s">
        <v>234</v>
      </c>
      <c r="C120" s="139">
        <v>4</v>
      </c>
      <c r="E120" s="66"/>
      <c r="F120" s="67"/>
      <c r="G120" s="67"/>
    </row>
    <row r="121" spans="1:7" ht="13">
      <c r="A121" s="137"/>
      <c r="B121" s="138" t="s">
        <v>236</v>
      </c>
      <c r="C121" s="139">
        <v>0</v>
      </c>
      <c r="E121" s="66"/>
      <c r="F121" s="67"/>
      <c r="G121" s="67"/>
    </row>
    <row r="122" spans="1:7" ht="13">
      <c r="A122" s="137"/>
      <c r="B122" s="138" t="s">
        <v>237</v>
      </c>
      <c r="C122" s="139">
        <v>4</v>
      </c>
      <c r="E122" s="66"/>
      <c r="F122" s="67"/>
      <c r="G122" s="67"/>
    </row>
    <row r="123" spans="1:7" ht="13">
      <c r="A123" s="137"/>
      <c r="B123" s="138" t="s">
        <v>238</v>
      </c>
      <c r="C123" s="139">
        <v>0</v>
      </c>
      <c r="E123" s="66"/>
      <c r="F123" s="67"/>
      <c r="G123" s="67"/>
    </row>
    <row r="124" spans="1:7" ht="13">
      <c r="A124" s="137"/>
      <c r="B124" s="138" t="s">
        <v>240</v>
      </c>
      <c r="C124" s="139">
        <v>4</v>
      </c>
      <c r="E124" s="66"/>
      <c r="F124" s="67"/>
      <c r="G124" s="67"/>
    </row>
    <row r="125" spans="1:7" ht="13">
      <c r="A125" s="137"/>
      <c r="B125" s="138" t="s">
        <v>241</v>
      </c>
      <c r="C125" s="139">
        <v>3</v>
      </c>
      <c r="E125" s="66"/>
      <c r="F125" s="67"/>
      <c r="G125" s="67"/>
    </row>
    <row r="126" spans="1:7" ht="13">
      <c r="A126" s="137"/>
      <c r="B126" s="138" t="s">
        <v>243</v>
      </c>
      <c r="C126" s="139">
        <v>0</v>
      </c>
      <c r="E126" s="66"/>
      <c r="F126" s="67"/>
      <c r="G126" s="67"/>
    </row>
    <row r="127" spans="1:7" ht="13">
      <c r="A127" s="137"/>
      <c r="B127" s="138" t="s">
        <v>246</v>
      </c>
      <c r="C127" s="139">
        <v>0</v>
      </c>
      <c r="E127" s="66"/>
      <c r="F127" s="67"/>
      <c r="G127" s="67"/>
    </row>
    <row r="128" spans="1:7" ht="13">
      <c r="A128" s="137"/>
      <c r="B128" s="138" t="s">
        <v>249</v>
      </c>
      <c r="C128" s="139">
        <v>2</v>
      </c>
      <c r="E128" s="66"/>
      <c r="F128" s="67"/>
      <c r="G128" s="67"/>
    </row>
    <row r="129" spans="1:7" ht="13">
      <c r="A129" s="137"/>
      <c r="B129" s="138" t="s">
        <v>250</v>
      </c>
      <c r="C129" s="139">
        <v>1</v>
      </c>
      <c r="E129" s="66"/>
      <c r="F129" s="67"/>
      <c r="G129" s="67"/>
    </row>
    <row r="130" spans="1:7" ht="13">
      <c r="A130" s="137"/>
      <c r="B130" s="138" t="s">
        <v>251</v>
      </c>
      <c r="C130" s="139">
        <v>0</v>
      </c>
      <c r="E130" s="66"/>
      <c r="F130" s="67"/>
      <c r="G130" s="67"/>
    </row>
    <row r="131" spans="1:7" ht="13">
      <c r="A131" s="137"/>
      <c r="B131" s="138" t="s">
        <v>546</v>
      </c>
      <c r="C131" s="139">
        <v>1</v>
      </c>
      <c r="E131" s="66"/>
      <c r="F131" s="67"/>
      <c r="G131" s="67"/>
    </row>
    <row r="132" spans="1:7" ht="13">
      <c r="A132" s="137"/>
      <c r="B132" s="138" t="s">
        <v>254</v>
      </c>
      <c r="C132" s="139">
        <v>0</v>
      </c>
      <c r="E132" s="66"/>
      <c r="F132" s="67"/>
      <c r="G132" s="67"/>
    </row>
    <row r="133" spans="1:7" ht="13">
      <c r="A133" s="137"/>
      <c r="B133" s="138" t="s">
        <v>255</v>
      </c>
      <c r="C133" s="139">
        <v>0</v>
      </c>
      <c r="E133" s="66"/>
      <c r="F133" s="67"/>
      <c r="G133" s="67"/>
    </row>
    <row r="134" spans="1:7" ht="13">
      <c r="A134" s="137"/>
      <c r="B134" s="138" t="s">
        <v>256</v>
      </c>
      <c r="C134" s="139">
        <v>0</v>
      </c>
      <c r="E134" s="66"/>
      <c r="F134" s="67"/>
      <c r="G134" s="67"/>
    </row>
    <row r="135" spans="1:7" ht="13">
      <c r="A135" s="137"/>
      <c r="B135" s="138" t="s">
        <v>257</v>
      </c>
      <c r="C135" s="139">
        <v>0</v>
      </c>
      <c r="E135" s="66"/>
      <c r="F135" s="67"/>
      <c r="G135" s="67"/>
    </row>
    <row r="136" spans="1:7" ht="13">
      <c r="A136" s="137"/>
      <c r="B136" s="138" t="s">
        <v>258</v>
      </c>
      <c r="C136" s="139">
        <v>0</v>
      </c>
      <c r="E136" s="66"/>
      <c r="F136" s="67"/>
      <c r="G136" s="67"/>
    </row>
    <row r="137" spans="1:7" ht="13">
      <c r="A137" s="137"/>
      <c r="B137" s="138" t="s">
        <v>259</v>
      </c>
      <c r="C137" s="139">
        <v>0</v>
      </c>
      <c r="E137" s="66"/>
      <c r="F137" s="67"/>
      <c r="G137" s="67"/>
    </row>
    <row r="138" spans="1:7" ht="13">
      <c r="A138" s="137"/>
      <c r="B138" s="138" t="s">
        <v>260</v>
      </c>
      <c r="C138" s="139">
        <v>0</v>
      </c>
      <c r="E138" s="66"/>
      <c r="F138" s="67"/>
      <c r="G138" s="67"/>
    </row>
    <row r="139" spans="1:7" ht="13">
      <c r="A139" s="137"/>
      <c r="B139" s="138" t="s">
        <v>263</v>
      </c>
      <c r="C139" s="139">
        <v>1</v>
      </c>
      <c r="E139" s="66"/>
      <c r="F139" s="67"/>
      <c r="G139" s="67"/>
    </row>
    <row r="140" spans="1:7" ht="13">
      <c r="A140" s="137"/>
      <c r="B140" s="138" t="s">
        <v>264</v>
      </c>
      <c r="C140" s="139">
        <v>0</v>
      </c>
      <c r="E140" s="66"/>
      <c r="F140" s="67"/>
      <c r="G140" s="67"/>
    </row>
    <row r="141" spans="1:7" ht="13">
      <c r="A141" s="137"/>
      <c r="B141" s="138" t="s">
        <v>266</v>
      </c>
      <c r="C141" s="139">
        <v>0</v>
      </c>
      <c r="E141" s="66"/>
      <c r="F141" s="67"/>
      <c r="G141" s="67"/>
    </row>
    <row r="142" spans="1:7" ht="13">
      <c r="A142" s="137"/>
      <c r="B142" s="138" t="s">
        <v>267</v>
      </c>
      <c r="C142" s="139">
        <v>0</v>
      </c>
      <c r="E142" s="66"/>
      <c r="F142" s="67"/>
      <c r="G142" s="67"/>
    </row>
    <row r="143" spans="1:7" ht="13">
      <c r="A143" s="137"/>
      <c r="B143" s="138" t="s">
        <v>269</v>
      </c>
      <c r="C143" s="139">
        <v>0</v>
      </c>
      <c r="E143" s="66"/>
      <c r="F143" s="67"/>
      <c r="G143" s="67"/>
    </row>
    <row r="144" spans="1:7" ht="13">
      <c r="A144" s="137"/>
      <c r="B144" s="138" t="s">
        <v>271</v>
      </c>
      <c r="C144" s="139">
        <v>0</v>
      </c>
      <c r="E144" s="66"/>
      <c r="F144" s="67"/>
      <c r="G144" s="67"/>
    </row>
    <row r="145" spans="1:7" ht="13">
      <c r="A145" s="137"/>
      <c r="B145" s="138" t="s">
        <v>272</v>
      </c>
      <c r="C145" s="139">
        <v>0</v>
      </c>
      <c r="E145" s="66"/>
      <c r="F145" s="67"/>
      <c r="G145" s="67"/>
    </row>
    <row r="146" spans="1:7" ht="13">
      <c r="A146" s="137"/>
      <c r="B146" s="138" t="s">
        <v>275</v>
      </c>
      <c r="C146" s="139">
        <v>0</v>
      </c>
      <c r="E146" s="66"/>
      <c r="F146" s="67"/>
      <c r="G146" s="67"/>
    </row>
    <row r="147" spans="1:7" ht="13">
      <c r="A147" s="137"/>
      <c r="B147" s="138" t="s">
        <v>278</v>
      </c>
      <c r="C147" s="139">
        <v>0</v>
      </c>
      <c r="E147" s="66"/>
      <c r="F147" s="67"/>
      <c r="G147" s="67"/>
    </row>
    <row r="148" spans="1:7" ht="13">
      <c r="A148" s="137"/>
      <c r="B148" s="138" t="s">
        <v>280</v>
      </c>
      <c r="C148" s="139">
        <v>1</v>
      </c>
      <c r="E148" s="66"/>
      <c r="F148" s="67"/>
      <c r="G148" s="67"/>
    </row>
    <row r="149" spans="1:7" ht="13">
      <c r="A149" s="137"/>
      <c r="B149" s="138" t="s">
        <v>281</v>
      </c>
      <c r="C149" s="139">
        <v>0</v>
      </c>
      <c r="E149" s="66"/>
      <c r="F149" s="67"/>
      <c r="G149" s="67"/>
    </row>
    <row r="150" spans="1:7" ht="13">
      <c r="A150" s="137"/>
      <c r="B150" s="138" t="s">
        <v>284</v>
      </c>
      <c r="C150" s="139">
        <v>0</v>
      </c>
      <c r="E150" s="66"/>
      <c r="F150" s="67"/>
      <c r="G150" s="67"/>
    </row>
    <row r="151" spans="1:7" ht="13">
      <c r="A151" s="137"/>
      <c r="B151" s="138" t="s">
        <v>287</v>
      </c>
      <c r="C151" s="139">
        <v>0</v>
      </c>
      <c r="E151" s="66"/>
      <c r="F151" s="67"/>
      <c r="G151" s="67"/>
    </row>
    <row r="152" spans="1:7" ht="13">
      <c r="A152" s="137"/>
      <c r="B152" s="138" t="s">
        <v>288</v>
      </c>
      <c r="C152" s="139">
        <v>0</v>
      </c>
      <c r="E152" s="66"/>
      <c r="F152" s="67"/>
      <c r="G152" s="67"/>
    </row>
    <row r="153" spans="1:7" ht="13">
      <c r="A153" s="137"/>
      <c r="B153" s="138" t="s">
        <v>291</v>
      </c>
      <c r="C153" s="139">
        <v>0</v>
      </c>
      <c r="E153" s="66"/>
      <c r="F153" s="67"/>
      <c r="G153" s="67"/>
    </row>
    <row r="154" spans="1:7" ht="13">
      <c r="A154" s="137"/>
      <c r="B154" s="138" t="s">
        <v>292</v>
      </c>
      <c r="C154" s="139">
        <v>0</v>
      </c>
      <c r="E154" s="66"/>
      <c r="F154" s="67"/>
      <c r="G154" s="67"/>
    </row>
    <row r="155" spans="1:7" ht="13">
      <c r="A155" s="137"/>
      <c r="B155" s="138" t="s">
        <v>295</v>
      </c>
      <c r="C155" s="139">
        <v>8</v>
      </c>
      <c r="E155" s="66"/>
      <c r="F155" s="67"/>
      <c r="G155" s="67"/>
    </row>
    <row r="156" spans="1:7" ht="13">
      <c r="A156" s="137"/>
      <c r="B156" s="138" t="s">
        <v>297</v>
      </c>
      <c r="C156" s="139">
        <v>1</v>
      </c>
      <c r="E156" s="66"/>
      <c r="F156" s="67"/>
      <c r="G156" s="67"/>
    </row>
    <row r="157" spans="1:7" ht="13">
      <c r="A157" s="137"/>
      <c r="B157" s="138" t="s">
        <v>298</v>
      </c>
      <c r="C157" s="139">
        <v>2</v>
      </c>
      <c r="E157" s="66"/>
      <c r="F157" s="67"/>
      <c r="G157" s="67"/>
    </row>
    <row r="158" spans="1:7" ht="13">
      <c r="A158" s="137"/>
      <c r="B158" s="138" t="s">
        <v>301</v>
      </c>
      <c r="C158" s="139">
        <v>1</v>
      </c>
      <c r="E158" s="66"/>
      <c r="F158" s="67"/>
      <c r="G158" s="67"/>
    </row>
    <row r="159" spans="1:7" ht="13">
      <c r="A159" s="137"/>
      <c r="B159" s="138" t="s">
        <v>302</v>
      </c>
      <c r="C159" s="139">
        <v>4</v>
      </c>
      <c r="E159" s="66"/>
      <c r="F159" s="67"/>
      <c r="G159" s="67"/>
    </row>
    <row r="160" spans="1:7" ht="13">
      <c r="A160" s="137"/>
      <c r="B160" s="138" t="s">
        <v>303</v>
      </c>
      <c r="C160" s="139">
        <v>2</v>
      </c>
      <c r="E160" s="66"/>
      <c r="F160" s="67"/>
      <c r="G160" s="67"/>
    </row>
    <row r="161" spans="1:7" ht="13">
      <c r="A161" s="137"/>
      <c r="B161" s="138" t="s">
        <v>304</v>
      </c>
      <c r="C161" s="139">
        <v>0</v>
      </c>
      <c r="E161" s="66"/>
      <c r="F161" s="67"/>
      <c r="G161" s="67"/>
    </row>
    <row r="162" spans="1:7" ht="13">
      <c r="A162" s="137"/>
      <c r="B162" s="138" t="s">
        <v>306</v>
      </c>
      <c r="C162" s="139">
        <v>0</v>
      </c>
      <c r="E162" s="66"/>
      <c r="F162" s="67"/>
      <c r="G162" s="67"/>
    </row>
    <row r="163" spans="1:7" ht="13">
      <c r="A163" s="137"/>
      <c r="B163" s="138" t="s">
        <v>308</v>
      </c>
      <c r="C163" s="139">
        <v>0</v>
      </c>
      <c r="E163" s="66"/>
      <c r="F163" s="67"/>
      <c r="G163" s="67"/>
    </row>
    <row r="164" spans="1:7" ht="13">
      <c r="A164" s="137"/>
      <c r="B164" s="138" t="s">
        <v>311</v>
      </c>
      <c r="C164" s="139">
        <v>0</v>
      </c>
      <c r="E164" s="66"/>
      <c r="F164" s="67"/>
      <c r="G164" s="67"/>
    </row>
    <row r="165" spans="1:7" ht="13">
      <c r="A165" s="137"/>
      <c r="B165" s="138" t="s">
        <v>313</v>
      </c>
      <c r="C165" s="139">
        <v>0</v>
      </c>
      <c r="E165" s="66"/>
      <c r="F165" s="67"/>
      <c r="G165" s="67"/>
    </row>
    <row r="166" spans="1:7" ht="13">
      <c r="A166" s="137"/>
      <c r="B166" s="138" t="s">
        <v>316</v>
      </c>
      <c r="C166" s="139">
        <v>0</v>
      </c>
      <c r="E166" s="66"/>
      <c r="F166" s="67"/>
      <c r="G166" s="67"/>
    </row>
    <row r="167" spans="1:7" ht="13">
      <c r="A167" s="137"/>
      <c r="B167" s="138" t="s">
        <v>318</v>
      </c>
      <c r="C167" s="139">
        <v>0</v>
      </c>
      <c r="E167" s="66"/>
      <c r="F167" s="67"/>
      <c r="G167" s="67"/>
    </row>
    <row r="168" spans="1:7" ht="13">
      <c r="A168" s="137"/>
      <c r="B168" s="138" t="s">
        <v>320</v>
      </c>
      <c r="C168" s="139">
        <v>2</v>
      </c>
      <c r="E168" s="66"/>
      <c r="F168" s="67"/>
      <c r="G168" s="67"/>
    </row>
    <row r="169" spans="1:7" ht="13">
      <c r="A169" s="137"/>
      <c r="B169" s="138" t="s">
        <v>321</v>
      </c>
      <c r="C169" s="139">
        <v>1</v>
      </c>
      <c r="E169" s="66"/>
      <c r="F169" s="67"/>
      <c r="G169" s="67"/>
    </row>
    <row r="170" spans="1:7" ht="13">
      <c r="A170" s="137"/>
      <c r="B170" s="138" t="s">
        <v>322</v>
      </c>
      <c r="C170" s="139">
        <v>0</v>
      </c>
      <c r="E170" s="66"/>
      <c r="F170" s="67"/>
      <c r="G170" s="67"/>
    </row>
    <row r="171" spans="1:7" ht="13">
      <c r="A171" s="137"/>
      <c r="B171" s="138" t="s">
        <v>324</v>
      </c>
      <c r="C171" s="139">
        <v>0</v>
      </c>
      <c r="E171" s="66"/>
      <c r="F171" s="67"/>
      <c r="G171" s="67"/>
    </row>
    <row r="172" spans="1:7" ht="13">
      <c r="A172" s="137"/>
      <c r="B172" s="138" t="s">
        <v>327</v>
      </c>
      <c r="C172" s="139">
        <v>0</v>
      </c>
      <c r="E172" s="66"/>
      <c r="F172" s="67"/>
      <c r="G172" s="67"/>
    </row>
    <row r="173" spans="1:7" ht="13">
      <c r="A173" s="137"/>
      <c r="B173" s="138" t="s">
        <v>328</v>
      </c>
      <c r="C173" s="139">
        <v>1</v>
      </c>
      <c r="E173" s="66"/>
      <c r="F173" s="67"/>
      <c r="G173" s="67"/>
    </row>
    <row r="174" spans="1:7" ht="13">
      <c r="A174" s="137"/>
      <c r="B174" s="138" t="s">
        <v>329</v>
      </c>
      <c r="C174" s="139">
        <v>1</v>
      </c>
      <c r="E174" s="66"/>
      <c r="F174" s="67"/>
      <c r="G174" s="67"/>
    </row>
    <row r="175" spans="1:7" ht="13">
      <c r="A175" s="137"/>
      <c r="B175" s="138" t="s">
        <v>332</v>
      </c>
      <c r="C175" s="139">
        <v>0</v>
      </c>
      <c r="E175" s="66"/>
      <c r="F175" s="67"/>
      <c r="G175" s="67"/>
    </row>
    <row r="176" spans="1:7" ht="13">
      <c r="A176" s="137"/>
      <c r="B176" s="138" t="s">
        <v>334</v>
      </c>
      <c r="C176" s="139">
        <v>0</v>
      </c>
      <c r="E176" s="66"/>
      <c r="F176" s="67"/>
      <c r="G176" s="67"/>
    </row>
    <row r="177" spans="1:7" ht="13">
      <c r="A177" s="137"/>
      <c r="B177" s="138" t="s">
        <v>335</v>
      </c>
      <c r="C177" s="139">
        <v>1</v>
      </c>
      <c r="E177" s="66"/>
      <c r="F177" s="67"/>
      <c r="G177" s="67"/>
    </row>
    <row r="178" spans="1:7" ht="13">
      <c r="A178" s="137"/>
      <c r="B178" s="138" t="s">
        <v>336</v>
      </c>
      <c r="C178" s="139">
        <v>0</v>
      </c>
      <c r="E178" s="66"/>
      <c r="F178" s="67"/>
      <c r="G178" s="67"/>
    </row>
    <row r="179" spans="1:7" ht="13">
      <c r="A179" s="137"/>
      <c r="B179" s="138" t="s">
        <v>339</v>
      </c>
      <c r="C179" s="139">
        <v>0</v>
      </c>
      <c r="E179" s="66"/>
      <c r="F179" s="67"/>
      <c r="G179" s="67"/>
    </row>
    <row r="180" spans="1:7" ht="13">
      <c r="A180" s="137"/>
      <c r="B180" s="138" t="s">
        <v>342</v>
      </c>
      <c r="C180" s="139">
        <v>1</v>
      </c>
      <c r="E180" s="66"/>
      <c r="F180" s="67"/>
      <c r="G180" s="67"/>
    </row>
    <row r="181" spans="1:7" ht="13">
      <c r="A181" s="137"/>
      <c r="B181" s="138" t="s">
        <v>343</v>
      </c>
      <c r="C181" s="139">
        <v>4</v>
      </c>
      <c r="E181" s="66"/>
      <c r="F181" s="67"/>
      <c r="G181" s="67"/>
    </row>
    <row r="182" spans="1:7" ht="13">
      <c r="A182" s="137"/>
      <c r="B182" s="138" t="s">
        <v>344</v>
      </c>
      <c r="C182" s="139">
        <v>0</v>
      </c>
      <c r="E182" s="66"/>
      <c r="F182" s="67"/>
      <c r="G182" s="67"/>
    </row>
    <row r="183" spans="1:7" ht="13">
      <c r="A183" s="137"/>
      <c r="B183" s="138" t="s">
        <v>347</v>
      </c>
      <c r="C183" s="139">
        <v>0</v>
      </c>
      <c r="E183" s="66"/>
      <c r="F183" s="67"/>
      <c r="G183" s="67"/>
    </row>
    <row r="184" spans="1:7" ht="13">
      <c r="A184" s="137"/>
      <c r="B184" s="138" t="s">
        <v>348</v>
      </c>
      <c r="C184" s="139">
        <v>0</v>
      </c>
      <c r="E184" s="66"/>
      <c r="F184" s="67"/>
      <c r="G184" s="67"/>
    </row>
    <row r="185" spans="1:7" ht="13">
      <c r="A185" s="137"/>
      <c r="B185" s="138" t="s">
        <v>349</v>
      </c>
      <c r="C185" s="139">
        <v>0</v>
      </c>
      <c r="E185" s="66"/>
      <c r="F185" s="67"/>
      <c r="G185" s="67"/>
    </row>
    <row r="186" spans="1:7" ht="13">
      <c r="A186" s="137"/>
      <c r="B186" s="138" t="s">
        <v>351</v>
      </c>
      <c r="C186" s="139">
        <v>0</v>
      </c>
      <c r="E186" s="66"/>
      <c r="F186" s="67"/>
      <c r="G186" s="67"/>
    </row>
    <row r="187" spans="1:7" ht="13">
      <c r="A187" s="137"/>
      <c r="B187" s="138" t="s">
        <v>352</v>
      </c>
      <c r="C187" s="139">
        <v>0</v>
      </c>
      <c r="E187" s="66"/>
      <c r="F187" s="67"/>
      <c r="G187" s="67"/>
    </row>
    <row r="188" spans="1:7" ht="13">
      <c r="A188" s="137"/>
      <c r="B188" s="138" t="s">
        <v>353</v>
      </c>
      <c r="C188" s="139">
        <v>0</v>
      </c>
      <c r="E188" s="66"/>
      <c r="F188" s="67"/>
      <c r="G188" s="67"/>
    </row>
    <row r="189" spans="1:7" ht="13">
      <c r="A189" s="137"/>
      <c r="B189" s="138" t="s">
        <v>354</v>
      </c>
      <c r="C189" s="139">
        <v>0</v>
      </c>
      <c r="E189" s="66"/>
      <c r="F189" s="67"/>
      <c r="G189" s="67"/>
    </row>
    <row r="190" spans="1:7" ht="13">
      <c r="A190" s="137"/>
      <c r="B190" s="138" t="s">
        <v>357</v>
      </c>
      <c r="C190" s="139">
        <v>0</v>
      </c>
      <c r="E190" s="66"/>
      <c r="F190" s="67"/>
      <c r="G190" s="67"/>
    </row>
    <row r="191" spans="1:7" ht="13">
      <c r="A191" s="137"/>
      <c r="B191" s="138" t="s">
        <v>360</v>
      </c>
      <c r="C191" s="139">
        <v>0</v>
      </c>
      <c r="E191" s="66"/>
      <c r="F191" s="67"/>
      <c r="G191" s="67"/>
    </row>
    <row r="192" spans="1:7" ht="13">
      <c r="A192" s="137"/>
      <c r="B192" s="138" t="s">
        <v>362</v>
      </c>
      <c r="C192" s="139">
        <v>0</v>
      </c>
      <c r="E192" s="66"/>
      <c r="F192" s="67"/>
      <c r="G192" s="67"/>
    </row>
    <row r="193" spans="1:7" ht="13">
      <c r="A193" s="137"/>
      <c r="B193" s="138" t="s">
        <v>365</v>
      </c>
      <c r="C193" s="139">
        <v>0</v>
      </c>
      <c r="E193" s="66"/>
      <c r="F193" s="67"/>
      <c r="G193" s="67"/>
    </row>
    <row r="194" spans="1:7" ht="13">
      <c r="A194" s="137"/>
      <c r="B194" s="138" t="s">
        <v>368</v>
      </c>
      <c r="C194" s="139">
        <v>0</v>
      </c>
      <c r="E194" s="66"/>
      <c r="F194" s="67"/>
      <c r="G194" s="67"/>
    </row>
    <row r="195" spans="1:7" ht="13">
      <c r="A195" s="137"/>
      <c r="B195" s="138" t="s">
        <v>369</v>
      </c>
      <c r="C195" s="139">
        <v>0</v>
      </c>
      <c r="E195" s="66"/>
      <c r="F195" s="67"/>
      <c r="G195" s="67"/>
    </row>
    <row r="196" spans="1:7" ht="13">
      <c r="A196" s="137"/>
      <c r="B196" s="138" t="s">
        <v>372</v>
      </c>
      <c r="C196" s="139">
        <v>0</v>
      </c>
      <c r="E196" s="66"/>
      <c r="F196" s="67"/>
      <c r="G196" s="67"/>
    </row>
    <row r="197" spans="1:7" ht="13">
      <c r="A197" s="137"/>
      <c r="B197" s="138" t="s">
        <v>373</v>
      </c>
      <c r="C197" s="139">
        <v>0</v>
      </c>
      <c r="E197" s="66"/>
      <c r="F197" s="67"/>
      <c r="G197" s="67"/>
    </row>
    <row r="198" spans="1:7" ht="13">
      <c r="A198" s="137"/>
      <c r="B198" s="138" t="s">
        <v>376</v>
      </c>
      <c r="C198" s="139">
        <v>0</v>
      </c>
      <c r="E198" s="66"/>
      <c r="F198" s="67"/>
      <c r="G198" s="67"/>
    </row>
    <row r="199" spans="1:7" ht="13">
      <c r="A199" s="137"/>
      <c r="B199" s="138" t="s">
        <v>379</v>
      </c>
      <c r="C199" s="139">
        <v>7</v>
      </c>
      <c r="E199" s="66"/>
      <c r="F199" s="67"/>
      <c r="G199" s="67"/>
    </row>
    <row r="200" spans="1:7" ht="13">
      <c r="A200" s="137"/>
      <c r="B200" s="138" t="s">
        <v>380</v>
      </c>
      <c r="C200" s="139">
        <v>0</v>
      </c>
      <c r="E200" s="66"/>
      <c r="F200" s="67"/>
      <c r="G200" s="67"/>
    </row>
    <row r="201" spans="1:7" ht="13">
      <c r="A201" s="137"/>
      <c r="B201" s="138" t="s">
        <v>383</v>
      </c>
      <c r="C201" s="139">
        <v>0</v>
      </c>
      <c r="E201" s="66"/>
      <c r="F201" s="67"/>
      <c r="G201" s="67"/>
    </row>
    <row r="202" spans="1:7" ht="13">
      <c r="A202" s="137"/>
      <c r="B202" s="138" t="s">
        <v>385</v>
      </c>
      <c r="C202" s="139">
        <v>0</v>
      </c>
      <c r="E202" s="66"/>
      <c r="F202" s="67"/>
      <c r="G202" s="67"/>
    </row>
    <row r="203" spans="1:7" ht="13">
      <c r="A203" s="137"/>
      <c r="B203" s="138" t="s">
        <v>387</v>
      </c>
      <c r="C203" s="139">
        <v>0</v>
      </c>
      <c r="E203" s="66"/>
      <c r="F203" s="67"/>
      <c r="G203" s="67"/>
    </row>
    <row r="204" spans="1:7" ht="13">
      <c r="A204" s="137"/>
      <c r="B204" s="138" t="s">
        <v>389</v>
      </c>
      <c r="C204" s="139">
        <v>0</v>
      </c>
      <c r="E204" s="66"/>
      <c r="F204" s="67"/>
      <c r="G204" s="67"/>
    </row>
    <row r="205" spans="1:7" ht="13">
      <c r="A205" s="137"/>
      <c r="B205" s="138" t="s">
        <v>391</v>
      </c>
      <c r="C205" s="139">
        <v>1</v>
      </c>
      <c r="E205" s="66"/>
      <c r="F205" s="67"/>
      <c r="G205" s="67"/>
    </row>
    <row r="206" spans="1:7" ht="13">
      <c r="A206" s="137"/>
      <c r="B206" s="138" t="s">
        <v>551</v>
      </c>
      <c r="C206" s="139">
        <v>1</v>
      </c>
      <c r="E206" s="66"/>
      <c r="F206" s="67"/>
      <c r="G206" s="67"/>
    </row>
    <row r="207" spans="1:7" ht="13">
      <c r="A207" s="137"/>
      <c r="B207" s="138" t="s">
        <v>392</v>
      </c>
      <c r="C207" s="139">
        <v>0</v>
      </c>
      <c r="E207" s="66"/>
      <c r="F207" s="67"/>
      <c r="G207" s="67"/>
    </row>
    <row r="208" spans="1:7" ht="13">
      <c r="A208" s="137"/>
      <c r="B208" s="138" t="s">
        <v>395</v>
      </c>
      <c r="C208" s="139">
        <v>0</v>
      </c>
      <c r="E208" s="66"/>
      <c r="F208" s="67"/>
      <c r="G208" s="67"/>
    </row>
    <row r="209" spans="1:7" ht="13">
      <c r="A209" s="137"/>
      <c r="B209" s="138" t="s">
        <v>398</v>
      </c>
      <c r="C209" s="139">
        <v>0</v>
      </c>
      <c r="E209" s="66"/>
      <c r="F209" s="67"/>
      <c r="G209" s="67"/>
    </row>
    <row r="210" spans="1:7" ht="13">
      <c r="A210" s="137"/>
      <c r="B210" s="138" t="s">
        <v>401</v>
      </c>
      <c r="C210" s="139">
        <v>0</v>
      </c>
      <c r="E210" s="66"/>
      <c r="F210" s="67"/>
      <c r="G210" s="67"/>
    </row>
    <row r="211" spans="1:7" ht="13">
      <c r="A211" s="137"/>
      <c r="B211" s="138" t="s">
        <v>404</v>
      </c>
      <c r="C211" s="139">
        <v>1</v>
      </c>
      <c r="E211" s="66"/>
      <c r="F211" s="67"/>
      <c r="G211" s="67"/>
    </row>
    <row r="212" spans="1:7" ht="13">
      <c r="A212" s="137"/>
      <c r="B212" s="138" t="s">
        <v>405</v>
      </c>
      <c r="C212" s="139">
        <v>1</v>
      </c>
      <c r="E212" s="66"/>
      <c r="F212" s="67"/>
      <c r="G212" s="67"/>
    </row>
    <row r="213" spans="1:7" ht="13">
      <c r="A213" s="137"/>
      <c r="B213" s="138" t="s">
        <v>407</v>
      </c>
      <c r="C213" s="139">
        <v>0</v>
      </c>
      <c r="E213" s="66"/>
      <c r="F213" s="67"/>
      <c r="G213" s="67"/>
    </row>
    <row r="214" spans="1:7" ht="13">
      <c r="A214" s="137"/>
      <c r="B214" s="138" t="s">
        <v>409</v>
      </c>
      <c r="C214" s="139">
        <v>0</v>
      </c>
      <c r="E214" s="66"/>
      <c r="F214" s="67"/>
      <c r="G214" s="67"/>
    </row>
    <row r="215" spans="1:7" ht="13">
      <c r="A215" s="137"/>
      <c r="B215" s="138" t="s">
        <v>411</v>
      </c>
      <c r="C215" s="139">
        <v>2</v>
      </c>
      <c r="E215" s="66"/>
      <c r="F215" s="67"/>
      <c r="G215" s="67"/>
    </row>
    <row r="216" spans="1:7" ht="13">
      <c r="A216" s="137"/>
      <c r="B216" s="138" t="s">
        <v>412</v>
      </c>
      <c r="C216" s="139">
        <v>2</v>
      </c>
      <c r="E216" s="66"/>
      <c r="F216" s="67"/>
      <c r="G216" s="67"/>
    </row>
    <row r="217" spans="1:7" ht="13">
      <c r="A217" s="137"/>
      <c r="B217" s="138" t="s">
        <v>413</v>
      </c>
      <c r="C217" s="139">
        <v>2</v>
      </c>
      <c r="E217" s="66"/>
      <c r="F217" s="67"/>
      <c r="G217" s="67"/>
    </row>
    <row r="218" spans="1:7" ht="13">
      <c r="A218" s="137"/>
      <c r="B218" s="138" t="s">
        <v>414</v>
      </c>
      <c r="C218" s="139">
        <v>2</v>
      </c>
      <c r="E218" s="66"/>
      <c r="F218" s="67"/>
      <c r="G218" s="67"/>
    </row>
    <row r="219" spans="1:7" ht="13">
      <c r="A219" s="137"/>
      <c r="B219" s="138" t="s">
        <v>415</v>
      </c>
      <c r="C219" s="139">
        <v>0</v>
      </c>
      <c r="E219" s="66"/>
      <c r="F219" s="67"/>
      <c r="G219" s="67"/>
    </row>
    <row r="220" spans="1:7" ht="13">
      <c r="A220" s="137"/>
      <c r="B220" s="138" t="s">
        <v>417</v>
      </c>
      <c r="C220" s="139">
        <v>1</v>
      </c>
      <c r="E220" s="66"/>
      <c r="F220" s="67"/>
      <c r="G220" s="67"/>
    </row>
    <row r="221" spans="1:7" ht="13">
      <c r="A221" s="137"/>
      <c r="B221" s="138" t="s">
        <v>418</v>
      </c>
      <c r="C221" s="139">
        <v>1</v>
      </c>
      <c r="E221" s="66"/>
      <c r="F221" s="67"/>
      <c r="G221" s="67"/>
    </row>
    <row r="222" spans="1:7" ht="13">
      <c r="A222" s="137"/>
      <c r="B222" s="138" t="s">
        <v>419</v>
      </c>
      <c r="C222" s="139">
        <v>2</v>
      </c>
      <c r="E222" s="66"/>
      <c r="F222" s="67"/>
      <c r="G222" s="67"/>
    </row>
    <row r="223" spans="1:7" ht="13">
      <c r="A223" s="137"/>
      <c r="B223" s="138" t="s">
        <v>420</v>
      </c>
      <c r="C223" s="139">
        <v>0</v>
      </c>
      <c r="E223" s="66"/>
      <c r="F223" s="67"/>
      <c r="G223" s="67"/>
    </row>
    <row r="224" spans="1:7" ht="13">
      <c r="A224" s="137"/>
      <c r="B224" s="138" t="s">
        <v>422</v>
      </c>
      <c r="C224" s="139">
        <v>0</v>
      </c>
      <c r="E224" s="66"/>
      <c r="F224" s="67"/>
      <c r="G224" s="67"/>
    </row>
    <row r="225" spans="1:7" ht="13">
      <c r="A225" s="137"/>
      <c r="B225" s="138" t="s">
        <v>423</v>
      </c>
      <c r="C225" s="139">
        <v>1</v>
      </c>
      <c r="E225" s="66"/>
      <c r="F225" s="67"/>
      <c r="G225" s="67"/>
    </row>
    <row r="226" spans="1:7" ht="13">
      <c r="A226" s="137"/>
      <c r="B226" s="138" t="s">
        <v>424</v>
      </c>
      <c r="C226" s="139">
        <v>0</v>
      </c>
      <c r="E226" s="66"/>
      <c r="F226" s="67"/>
      <c r="G226" s="67"/>
    </row>
    <row r="227" spans="1:7" ht="13">
      <c r="A227" s="137"/>
      <c r="B227" s="138" t="s">
        <v>406</v>
      </c>
      <c r="C227" s="139">
        <v>1</v>
      </c>
      <c r="E227" s="66"/>
      <c r="F227" s="67"/>
      <c r="G227" s="67"/>
    </row>
    <row r="228" spans="1:7" ht="13">
      <c r="A228" s="137"/>
      <c r="B228" s="138" t="s">
        <v>429</v>
      </c>
      <c r="C228" s="139">
        <v>1</v>
      </c>
      <c r="E228" s="66"/>
      <c r="F228" s="67"/>
      <c r="G228" s="67"/>
    </row>
    <row r="229" spans="1:7" ht="13">
      <c r="A229" s="137"/>
      <c r="B229" s="138" t="s">
        <v>430</v>
      </c>
      <c r="C229" s="139">
        <v>0</v>
      </c>
      <c r="E229" s="66"/>
      <c r="F229" s="67"/>
      <c r="G229" s="67"/>
    </row>
    <row r="230" spans="1:7" ht="13">
      <c r="A230" s="137"/>
      <c r="B230" s="138" t="s">
        <v>432</v>
      </c>
      <c r="C230" s="139">
        <v>2</v>
      </c>
      <c r="E230" s="66"/>
      <c r="F230" s="67"/>
      <c r="G230" s="67"/>
    </row>
    <row r="231" spans="1:7" ht="13">
      <c r="A231" s="137"/>
      <c r="B231" s="138" t="s">
        <v>434</v>
      </c>
      <c r="C231" s="139">
        <v>2</v>
      </c>
      <c r="E231" s="66"/>
      <c r="F231" s="67"/>
      <c r="G231" s="67"/>
    </row>
    <row r="232" spans="1:7" ht="13">
      <c r="A232" s="137"/>
      <c r="B232" s="138" t="s">
        <v>435</v>
      </c>
      <c r="C232" s="139">
        <v>0</v>
      </c>
      <c r="E232" s="66"/>
      <c r="F232" s="67"/>
      <c r="G232" s="67"/>
    </row>
    <row r="233" spans="1:7" ht="13">
      <c r="A233" s="137"/>
      <c r="B233" s="138" t="s">
        <v>555</v>
      </c>
      <c r="C233" s="139">
        <v>1</v>
      </c>
      <c r="E233" s="66"/>
      <c r="F233" s="67"/>
      <c r="G233" s="67"/>
    </row>
    <row r="234" spans="1:7" ht="13">
      <c r="A234" s="137"/>
      <c r="B234" s="138" t="s">
        <v>556</v>
      </c>
      <c r="C234" s="139">
        <v>0</v>
      </c>
      <c r="E234" s="66"/>
      <c r="F234" s="67"/>
      <c r="G234" s="67"/>
    </row>
    <row r="235" spans="1:7" ht="13">
      <c r="A235" s="137"/>
      <c r="B235" s="138" t="s">
        <v>436</v>
      </c>
      <c r="C235" s="139">
        <v>0</v>
      </c>
      <c r="E235" s="66"/>
      <c r="F235" s="67"/>
      <c r="G235" s="67"/>
    </row>
    <row r="236" spans="1:7" ht="13">
      <c r="A236" s="137"/>
      <c r="B236" s="138" t="s">
        <v>437</v>
      </c>
      <c r="C236" s="139">
        <v>1</v>
      </c>
      <c r="E236" s="66"/>
      <c r="F236" s="67"/>
      <c r="G236" s="67"/>
    </row>
    <row r="237" spans="1:7" ht="13">
      <c r="A237" s="137"/>
      <c r="B237" s="138" t="s">
        <v>439</v>
      </c>
      <c r="C237" s="139">
        <v>0</v>
      </c>
      <c r="E237" s="66"/>
      <c r="F237" s="67"/>
      <c r="G237" s="67"/>
    </row>
    <row r="238" spans="1:7" ht="13">
      <c r="A238" s="137"/>
      <c r="B238" s="138" t="s">
        <v>441</v>
      </c>
      <c r="C238" s="139">
        <v>1</v>
      </c>
      <c r="E238" s="66"/>
      <c r="F238" s="67"/>
      <c r="G238" s="67"/>
    </row>
    <row r="239" spans="1:7" ht="13">
      <c r="A239" s="137"/>
      <c r="B239" s="138" t="s">
        <v>442</v>
      </c>
      <c r="C239" s="139">
        <v>0</v>
      </c>
      <c r="E239" s="66"/>
      <c r="F239" s="67"/>
      <c r="G239" s="67"/>
    </row>
    <row r="240" spans="1:7" ht="13">
      <c r="A240" s="137"/>
      <c r="B240" s="138" t="s">
        <v>444</v>
      </c>
      <c r="C240" s="139">
        <v>2</v>
      </c>
      <c r="E240" s="66"/>
      <c r="F240" s="67"/>
      <c r="G240" s="67"/>
    </row>
    <row r="241" spans="1:7" ht="13">
      <c r="A241" s="137"/>
      <c r="B241" s="138" t="s">
        <v>445</v>
      </c>
      <c r="C241" s="139">
        <v>0</v>
      </c>
      <c r="E241" s="66"/>
      <c r="F241" s="67"/>
      <c r="G241" s="67"/>
    </row>
    <row r="242" spans="1:7" ht="13">
      <c r="A242" s="137"/>
      <c r="B242" s="138" t="s">
        <v>447</v>
      </c>
      <c r="C242" s="139">
        <v>0</v>
      </c>
      <c r="E242" s="66"/>
      <c r="F242" s="67"/>
      <c r="G242" s="67"/>
    </row>
    <row r="243" spans="1:7" ht="13">
      <c r="A243" s="137"/>
      <c r="B243" s="138" t="s">
        <v>448</v>
      </c>
      <c r="C243" s="139">
        <v>1</v>
      </c>
      <c r="E243" s="66"/>
      <c r="F243" s="67"/>
      <c r="G243" s="67"/>
    </row>
    <row r="244" spans="1:7" ht="13">
      <c r="A244" s="137"/>
      <c r="B244" s="138" t="s">
        <v>449</v>
      </c>
      <c r="C244" s="139">
        <v>0</v>
      </c>
      <c r="E244" s="66"/>
      <c r="F244" s="67"/>
      <c r="G244" s="67"/>
    </row>
    <row r="245" spans="1:7" ht="13">
      <c r="A245" s="137"/>
      <c r="B245" s="138" t="s">
        <v>450</v>
      </c>
      <c r="C245" s="139">
        <v>0</v>
      </c>
      <c r="E245" s="66"/>
      <c r="F245" s="67"/>
      <c r="G245" s="67"/>
    </row>
    <row r="246" spans="1:7" ht="13">
      <c r="A246" s="137"/>
      <c r="B246" s="138" t="s">
        <v>452</v>
      </c>
      <c r="C246" s="139">
        <v>0</v>
      </c>
      <c r="E246" s="66"/>
      <c r="F246" s="67"/>
      <c r="G246" s="67"/>
    </row>
    <row r="247" spans="1:7" ht="13">
      <c r="A247" s="137"/>
      <c r="B247" s="138" t="s">
        <v>453</v>
      </c>
      <c r="C247" s="139">
        <v>0</v>
      </c>
      <c r="E247" s="66"/>
      <c r="F247" s="67"/>
      <c r="G247" s="67"/>
    </row>
    <row r="248" spans="1:7" ht="13">
      <c r="A248" s="137"/>
      <c r="B248" s="138" t="s">
        <v>455</v>
      </c>
      <c r="C248" s="139">
        <v>1</v>
      </c>
      <c r="E248" s="66"/>
      <c r="F248" s="67"/>
      <c r="G248" s="67"/>
    </row>
    <row r="249" spans="1:7" ht="13">
      <c r="A249" s="137"/>
      <c r="B249" s="138" t="s">
        <v>456</v>
      </c>
      <c r="C249" s="139">
        <v>0</v>
      </c>
      <c r="E249" s="66"/>
      <c r="F249" s="67"/>
      <c r="G249" s="67"/>
    </row>
    <row r="250" spans="1:7" ht="13">
      <c r="A250" s="137"/>
      <c r="B250" s="138" t="s">
        <v>457</v>
      </c>
      <c r="C250" s="139">
        <v>0</v>
      </c>
      <c r="E250" s="66"/>
      <c r="F250" s="67"/>
      <c r="G250" s="67"/>
    </row>
    <row r="251" spans="1:7" ht="13">
      <c r="A251" s="137"/>
      <c r="B251" s="138" t="s">
        <v>458</v>
      </c>
      <c r="C251" s="139">
        <v>0</v>
      </c>
      <c r="E251" s="66"/>
      <c r="F251" s="67"/>
      <c r="G251" s="67"/>
    </row>
    <row r="252" spans="1:7" ht="13">
      <c r="A252" s="137"/>
      <c r="B252" s="138" t="s">
        <v>460</v>
      </c>
      <c r="C252" s="139">
        <v>0</v>
      </c>
      <c r="E252" s="66"/>
      <c r="F252" s="67"/>
      <c r="G252" s="67"/>
    </row>
    <row r="253" spans="1:7" ht="13">
      <c r="A253" s="137"/>
      <c r="B253" s="138" t="s">
        <v>463</v>
      </c>
      <c r="C253" s="139">
        <v>2</v>
      </c>
      <c r="E253" s="66"/>
      <c r="F253" s="67"/>
      <c r="G253" s="67"/>
    </row>
    <row r="254" spans="1:7" ht="13">
      <c r="A254" s="137"/>
      <c r="B254" s="138" t="s">
        <v>464</v>
      </c>
      <c r="C254" s="139">
        <v>0</v>
      </c>
      <c r="E254" s="66"/>
      <c r="F254" s="67"/>
      <c r="G254" s="67"/>
    </row>
    <row r="255" spans="1:7" ht="13">
      <c r="A255" s="137"/>
      <c r="B255" s="138" t="s">
        <v>466</v>
      </c>
      <c r="C255" s="139">
        <v>0</v>
      </c>
      <c r="E255" s="66"/>
      <c r="F255" s="67"/>
      <c r="G255" s="67"/>
    </row>
    <row r="256" spans="1:7" ht="13">
      <c r="A256" s="137"/>
      <c r="B256" s="138" t="s">
        <v>469</v>
      </c>
      <c r="C256" s="139">
        <v>0</v>
      </c>
      <c r="E256" s="66"/>
      <c r="F256" s="67"/>
      <c r="G256" s="67"/>
    </row>
    <row r="257" spans="1:7" ht="13">
      <c r="A257" s="137"/>
      <c r="B257" s="138" t="s">
        <v>472</v>
      </c>
      <c r="C257" s="139">
        <v>0</v>
      </c>
      <c r="E257" s="66"/>
      <c r="F257" s="67"/>
      <c r="G257" s="67"/>
    </row>
    <row r="258" spans="1:7" ht="13">
      <c r="A258" s="137"/>
      <c r="B258" s="138" t="s">
        <v>475</v>
      </c>
      <c r="C258" s="139">
        <v>0</v>
      </c>
      <c r="E258" s="66"/>
      <c r="F258" s="67"/>
      <c r="G258" s="67"/>
    </row>
    <row r="259" spans="1:7" ht="13">
      <c r="A259" s="137"/>
      <c r="B259" s="138" t="s">
        <v>478</v>
      </c>
      <c r="C259" s="139">
        <v>0</v>
      </c>
      <c r="E259" s="66"/>
      <c r="F259" s="67"/>
      <c r="G259" s="67"/>
    </row>
    <row r="260" spans="1:7" ht="13">
      <c r="A260" s="137"/>
      <c r="B260" s="138" t="s">
        <v>479</v>
      </c>
      <c r="C260" s="139">
        <v>0</v>
      </c>
      <c r="E260" s="66"/>
      <c r="F260" s="67"/>
      <c r="G260" s="67"/>
    </row>
    <row r="261" spans="1:7" ht="13">
      <c r="A261" s="137"/>
      <c r="B261" s="138" t="s">
        <v>481</v>
      </c>
      <c r="C261" s="139">
        <v>0</v>
      </c>
      <c r="E261" s="66"/>
      <c r="F261" s="67"/>
      <c r="G261" s="67"/>
    </row>
    <row r="262" spans="1:7" ht="13">
      <c r="A262" s="137"/>
      <c r="B262" s="138" t="s">
        <v>482</v>
      </c>
      <c r="C262" s="139">
        <v>0</v>
      </c>
      <c r="E262" s="66"/>
      <c r="F262" s="67"/>
      <c r="G262" s="67"/>
    </row>
    <row r="263" spans="1:7" ht="13">
      <c r="A263" s="137"/>
      <c r="B263" s="138" t="s">
        <v>483</v>
      </c>
      <c r="C263" s="139">
        <v>2</v>
      </c>
      <c r="E263" s="66"/>
      <c r="F263" s="67"/>
      <c r="G263" s="67"/>
    </row>
    <row r="264" spans="1:7" ht="13">
      <c r="A264" s="137"/>
      <c r="B264" s="138" t="s">
        <v>548</v>
      </c>
      <c r="C264" s="139">
        <v>1</v>
      </c>
      <c r="E264" s="66"/>
      <c r="F264" s="67"/>
      <c r="G264" s="67"/>
    </row>
    <row r="265" spans="1:7" ht="13">
      <c r="A265" s="137"/>
      <c r="B265" s="138" t="s">
        <v>549</v>
      </c>
      <c r="C265" s="139">
        <v>0</v>
      </c>
      <c r="E265" s="66"/>
      <c r="F265" s="67"/>
      <c r="G265" s="67"/>
    </row>
    <row r="266" spans="1:7" ht="13">
      <c r="A266" s="137"/>
      <c r="B266" s="138" t="s">
        <v>484</v>
      </c>
      <c r="C266" s="139">
        <v>1</v>
      </c>
      <c r="E266" s="66"/>
      <c r="F266" s="67"/>
      <c r="G266" s="67"/>
    </row>
    <row r="267" spans="1:7" ht="13">
      <c r="A267" s="137"/>
      <c r="B267" s="138" t="s">
        <v>486</v>
      </c>
      <c r="C267" s="139">
        <v>0</v>
      </c>
      <c r="E267" s="66"/>
      <c r="F267" s="67"/>
      <c r="G267" s="67"/>
    </row>
    <row r="268" spans="1:7" ht="13">
      <c r="A268" s="137"/>
      <c r="B268" s="138" t="s">
        <v>547</v>
      </c>
      <c r="C268" s="139">
        <v>1</v>
      </c>
      <c r="E268" s="66"/>
      <c r="F268" s="67"/>
      <c r="G268" s="67"/>
    </row>
    <row r="269" spans="1:7" ht="13">
      <c r="A269" s="137"/>
      <c r="B269" s="138" t="s">
        <v>488</v>
      </c>
      <c r="C269" s="139">
        <v>0</v>
      </c>
      <c r="E269" s="66"/>
      <c r="F269" s="67"/>
      <c r="G269" s="67"/>
    </row>
    <row r="270" spans="1:7" ht="13">
      <c r="A270" s="137"/>
      <c r="B270" s="138" t="s">
        <v>491</v>
      </c>
      <c r="C270" s="139">
        <v>0</v>
      </c>
      <c r="E270" s="66"/>
      <c r="F270" s="67"/>
      <c r="G270" s="67"/>
    </row>
    <row r="271" spans="1:7" ht="13">
      <c r="A271" s="137"/>
      <c r="B271" s="138" t="s">
        <v>494</v>
      </c>
      <c r="C271" s="139">
        <v>8</v>
      </c>
      <c r="E271" s="66"/>
      <c r="F271" s="67"/>
      <c r="G271" s="67"/>
    </row>
    <row r="272" spans="1:7" ht="13">
      <c r="A272" s="137"/>
      <c r="B272" s="138" t="s">
        <v>495</v>
      </c>
      <c r="C272" s="139">
        <v>0</v>
      </c>
      <c r="E272" s="66"/>
      <c r="F272" s="67"/>
      <c r="G272" s="67"/>
    </row>
    <row r="273" spans="1:7" ht="13">
      <c r="A273" s="137"/>
      <c r="B273" s="138" t="s">
        <v>496</v>
      </c>
      <c r="C273" s="139">
        <v>1</v>
      </c>
      <c r="E273" s="66"/>
      <c r="F273" s="67"/>
      <c r="G273" s="67"/>
    </row>
    <row r="274" spans="1:7" ht="13">
      <c r="A274" s="137"/>
      <c r="B274" s="138" t="s">
        <v>498</v>
      </c>
      <c r="C274" s="139">
        <v>7</v>
      </c>
      <c r="E274" s="66"/>
      <c r="F274" s="67"/>
      <c r="G274" s="67"/>
    </row>
    <row r="275" spans="1:7" ht="13">
      <c r="A275" s="137"/>
      <c r="B275" s="138" t="s">
        <v>501</v>
      </c>
      <c r="C275" s="139">
        <v>1</v>
      </c>
      <c r="E275" s="66"/>
      <c r="F275" s="67"/>
      <c r="G275" s="67"/>
    </row>
    <row r="276" spans="1:7" ht="13">
      <c r="A276" s="137"/>
      <c r="B276" s="138" t="s">
        <v>502</v>
      </c>
      <c r="C276" s="139">
        <v>0</v>
      </c>
      <c r="E276" s="66"/>
      <c r="F276" s="67"/>
      <c r="G276" s="67"/>
    </row>
    <row r="277" spans="1:7" ht="13">
      <c r="A277" s="137"/>
      <c r="B277" s="138" t="s">
        <v>505</v>
      </c>
      <c r="C277" s="139">
        <v>1</v>
      </c>
      <c r="E277" s="66"/>
      <c r="F277" s="67"/>
      <c r="G277" s="67"/>
    </row>
    <row r="278" spans="1:7" ht="13">
      <c r="A278" s="137"/>
      <c r="B278" s="138" t="s">
        <v>514</v>
      </c>
      <c r="C278" s="139">
        <v>2</v>
      </c>
      <c r="E278" s="66"/>
      <c r="F278" s="67"/>
      <c r="G278" s="67"/>
    </row>
    <row r="279" spans="1:7" ht="13">
      <c r="A279" s="137"/>
      <c r="B279" s="138" t="s">
        <v>507</v>
      </c>
      <c r="C279" s="139">
        <v>0</v>
      </c>
      <c r="E279" s="66"/>
      <c r="F279" s="67"/>
      <c r="G279" s="67"/>
    </row>
    <row r="280" spans="1:7" ht="13">
      <c r="A280" s="137"/>
      <c r="B280" s="138" t="s">
        <v>509</v>
      </c>
      <c r="C280" s="139">
        <v>5</v>
      </c>
      <c r="E280" s="66"/>
      <c r="F280" s="67"/>
      <c r="G280" s="67"/>
    </row>
    <row r="281" spans="1:7" ht="13">
      <c r="A281" s="137"/>
      <c r="B281" s="138" t="s">
        <v>510</v>
      </c>
      <c r="C281" s="139">
        <v>0</v>
      </c>
      <c r="E281" s="66"/>
      <c r="F281" s="67"/>
      <c r="G281" s="67"/>
    </row>
    <row r="282" spans="1:7" ht="13">
      <c r="A282" s="137"/>
      <c r="B282" s="138" t="s">
        <v>512</v>
      </c>
      <c r="C282" s="139">
        <v>0</v>
      </c>
      <c r="E282" s="66"/>
      <c r="F282" s="67"/>
      <c r="G282" s="67"/>
    </row>
    <row r="283" spans="1:7" ht="13">
      <c r="A283" s="137"/>
      <c r="B283" s="138" t="s">
        <v>515</v>
      </c>
      <c r="C283" s="139">
        <v>0</v>
      </c>
      <c r="E283" s="66"/>
      <c r="F283" s="67"/>
      <c r="G283" s="67"/>
    </row>
    <row r="284" spans="1:7" ht="13">
      <c r="A284" s="137"/>
      <c r="B284" s="138" t="s">
        <v>518</v>
      </c>
      <c r="C284" s="139">
        <v>0</v>
      </c>
      <c r="E284" s="66"/>
      <c r="F284" s="67"/>
      <c r="G284" s="67"/>
    </row>
    <row r="285" spans="1:7" ht="13">
      <c r="A285" s="137"/>
      <c r="B285" s="138" t="s">
        <v>521</v>
      </c>
      <c r="C285" s="139">
        <v>1</v>
      </c>
      <c r="E285" s="66"/>
      <c r="F285" s="67"/>
      <c r="G285" s="67"/>
    </row>
    <row r="286" spans="1:7" ht="13">
      <c r="A286" s="137"/>
      <c r="B286" s="138" t="s">
        <v>523</v>
      </c>
      <c r="C286" s="139">
        <v>0</v>
      </c>
      <c r="E286" s="66"/>
      <c r="F286" s="67"/>
      <c r="G286" s="67"/>
    </row>
    <row r="287" spans="1:7" ht="13">
      <c r="A287" s="137"/>
      <c r="B287" s="138" t="s">
        <v>524</v>
      </c>
      <c r="C287" s="139">
        <v>0</v>
      </c>
      <c r="E287" s="66"/>
      <c r="F287" s="67"/>
      <c r="G287" s="67"/>
    </row>
    <row r="288" spans="1:7" ht="13">
      <c r="A288" s="137"/>
      <c r="B288" s="138" t="s">
        <v>525</v>
      </c>
      <c r="C288" s="139">
        <v>0</v>
      </c>
      <c r="E288" s="66"/>
      <c r="F288" s="67"/>
      <c r="G288" s="67"/>
    </row>
    <row r="289" spans="1:7" ht="13">
      <c r="A289" s="137"/>
      <c r="B289" s="138" t="s">
        <v>526</v>
      </c>
      <c r="C289" s="139">
        <v>4</v>
      </c>
      <c r="E289" s="66"/>
      <c r="F289" s="67"/>
      <c r="G289" s="67"/>
    </row>
    <row r="290" spans="1:7" ht="13">
      <c r="A290" s="137"/>
      <c r="B290" s="138" t="s">
        <v>527</v>
      </c>
      <c r="C290" s="139">
        <v>0</v>
      </c>
      <c r="E290" s="66"/>
      <c r="F290" s="67"/>
      <c r="G290" s="67"/>
    </row>
    <row r="291" spans="1:7" ht="13">
      <c r="A291" s="137"/>
      <c r="B291" s="138" t="s">
        <v>552</v>
      </c>
      <c r="C291" s="139">
        <v>1</v>
      </c>
      <c r="E291" s="66"/>
      <c r="F291" s="67"/>
      <c r="G291" s="67"/>
    </row>
    <row r="292" spans="1:7" ht="13">
      <c r="A292" s="137"/>
      <c r="B292" s="138" t="s">
        <v>530</v>
      </c>
      <c r="C292" s="139">
        <v>0</v>
      </c>
      <c r="E292" s="66"/>
      <c r="F292" s="67"/>
      <c r="G292" s="67"/>
    </row>
    <row r="293" spans="1:7" ht="13">
      <c r="A293" s="137"/>
      <c r="B293" s="138" t="s">
        <v>532</v>
      </c>
      <c r="C293" s="139">
        <v>0</v>
      </c>
      <c r="E293" s="66"/>
      <c r="F293" s="67"/>
      <c r="G293" s="67"/>
    </row>
    <row r="294" spans="1:7" ht="13">
      <c r="A294" s="137"/>
      <c r="B294" s="138" t="s">
        <v>534</v>
      </c>
      <c r="C294" s="139">
        <v>0</v>
      </c>
      <c r="E294" s="66"/>
      <c r="F294" s="67"/>
      <c r="G294" s="67"/>
    </row>
    <row r="295" spans="1:7" ht="13">
      <c r="A295" s="137"/>
      <c r="B295" s="138" t="s">
        <v>536</v>
      </c>
      <c r="C295" s="139">
        <v>0</v>
      </c>
      <c r="E295" s="66"/>
      <c r="F295" s="67"/>
      <c r="G295" s="67"/>
    </row>
    <row r="296" spans="1:7" ht="13">
      <c r="A296" s="137"/>
      <c r="B296" s="138" t="s">
        <v>537</v>
      </c>
      <c r="C296" s="139">
        <v>0</v>
      </c>
      <c r="E296" s="66"/>
      <c r="F296" s="67"/>
      <c r="G296" s="67"/>
    </row>
    <row r="297" spans="1:7" ht="13">
      <c r="A297" s="137"/>
      <c r="B297" s="138" t="s">
        <v>538</v>
      </c>
      <c r="C297" s="139">
        <v>0</v>
      </c>
      <c r="E297" s="66"/>
      <c r="F297" s="67"/>
      <c r="G297" s="67"/>
    </row>
    <row r="298" spans="1:7" ht="13">
      <c r="A298" s="134" t="s">
        <v>615</v>
      </c>
      <c r="B298" s="136"/>
      <c r="C298" s="135">
        <v>146</v>
      </c>
      <c r="E298" s="66"/>
      <c r="F298" s="67"/>
      <c r="G298" s="67"/>
    </row>
    <row r="299" spans="1:7" ht="13">
      <c r="A299" s="134" t="s">
        <v>541</v>
      </c>
      <c r="B299" s="134" t="s">
        <v>542</v>
      </c>
      <c r="C299" s="135">
        <v>0</v>
      </c>
      <c r="E299" s="66"/>
      <c r="F299" s="67"/>
      <c r="G299" s="67"/>
    </row>
    <row r="300" spans="1:7" ht="13">
      <c r="A300" s="137"/>
      <c r="B300" s="138" t="s">
        <v>545</v>
      </c>
      <c r="C300" s="139">
        <v>0</v>
      </c>
      <c r="E300" s="66"/>
      <c r="F300" s="67"/>
      <c r="G300" s="67"/>
    </row>
    <row r="301" spans="1:7" ht="13">
      <c r="A301" s="134" t="s">
        <v>628</v>
      </c>
      <c r="B301" s="136"/>
      <c r="C301" s="135">
        <v>0</v>
      </c>
      <c r="E301" s="66"/>
      <c r="F301" s="67"/>
      <c r="G301" s="67"/>
    </row>
    <row r="302" spans="1:7" ht="13">
      <c r="A302" s="134" t="s">
        <v>1284</v>
      </c>
      <c r="B302" s="134" t="s">
        <v>1284</v>
      </c>
      <c r="C302" s="135">
        <v>0</v>
      </c>
      <c r="E302" s="66"/>
      <c r="F302" s="67"/>
      <c r="G302" s="67"/>
    </row>
    <row r="303" spans="1:7" ht="13">
      <c r="A303" s="140" t="s">
        <v>1285</v>
      </c>
      <c r="B303" s="141"/>
      <c r="C303" s="142">
        <v>0</v>
      </c>
      <c r="E303" s="66"/>
      <c r="F303" s="67"/>
      <c r="G303" s="67"/>
    </row>
    <row r="304" spans="1:7" ht="13">
      <c r="E304" s="66"/>
      <c r="F304" s="67"/>
      <c r="G304" s="67"/>
    </row>
    <row r="305" spans="5:7" ht="13">
      <c r="E305" s="66"/>
      <c r="F305" s="67"/>
      <c r="G305" s="67"/>
    </row>
    <row r="306" spans="5:7" ht="13">
      <c r="E306" s="66"/>
      <c r="F306" s="67"/>
      <c r="G306" s="67"/>
    </row>
    <row r="307" spans="5:7" ht="13">
      <c r="E307" s="66"/>
      <c r="F307" s="67"/>
      <c r="G307" s="67"/>
    </row>
    <row r="308" spans="5:7" ht="13">
      <c r="E308" s="66"/>
      <c r="F308" s="67"/>
      <c r="G308" s="67"/>
    </row>
    <row r="309" spans="5:7" ht="13">
      <c r="E309" s="66"/>
      <c r="F309" s="67"/>
      <c r="G309" s="67"/>
    </row>
    <row r="310" spans="5:7" ht="13">
      <c r="E310" s="66"/>
      <c r="F310" s="67"/>
      <c r="G310" s="67"/>
    </row>
    <row r="311" spans="5:7" ht="13">
      <c r="E311" s="66"/>
      <c r="F311" s="67"/>
      <c r="G311" s="67"/>
    </row>
    <row r="312" spans="5:7" ht="13">
      <c r="E312" s="66"/>
      <c r="F312" s="67"/>
      <c r="G312" s="67"/>
    </row>
    <row r="313" spans="5:7" ht="13">
      <c r="E313" s="66"/>
      <c r="F313" s="67"/>
      <c r="G313" s="67"/>
    </row>
    <row r="314" spans="5:7" ht="13">
      <c r="E314" s="66"/>
      <c r="F314" s="67"/>
      <c r="G314" s="67"/>
    </row>
    <row r="315" spans="5:7" ht="13">
      <c r="E315" s="66"/>
      <c r="F315" s="67"/>
      <c r="G315" s="67"/>
    </row>
    <row r="316" spans="5:7" ht="13">
      <c r="E316" s="66"/>
      <c r="F316" s="67"/>
      <c r="G316" s="67"/>
    </row>
    <row r="317" spans="5:7" ht="13">
      <c r="E317" s="66"/>
      <c r="F317" s="67"/>
      <c r="G317" s="67"/>
    </row>
    <row r="318" spans="5:7" ht="13">
      <c r="E318" s="66"/>
      <c r="F318" s="67"/>
      <c r="G318" s="67"/>
    </row>
    <row r="319" spans="5:7" ht="13">
      <c r="E319" s="66"/>
      <c r="F319" s="67"/>
      <c r="G319" s="67"/>
    </row>
    <row r="320" spans="5:7" ht="13">
      <c r="E320" s="66"/>
      <c r="F320" s="67"/>
      <c r="G320" s="67"/>
    </row>
    <row r="321" spans="5:7" ht="13">
      <c r="E321" s="66"/>
      <c r="F321" s="67"/>
      <c r="G321" s="67"/>
    </row>
    <row r="322" spans="5:7" ht="13">
      <c r="E322" s="66"/>
      <c r="F322" s="67"/>
      <c r="G322" s="67"/>
    </row>
    <row r="323" spans="5:7" ht="13">
      <c r="E323" s="66"/>
      <c r="F323" s="67"/>
      <c r="G323" s="67"/>
    </row>
    <row r="324" spans="5:7" ht="13">
      <c r="E324" s="66"/>
      <c r="F324" s="67"/>
      <c r="G324" s="67"/>
    </row>
    <row r="325" spans="5:7" ht="13">
      <c r="E325" s="66"/>
      <c r="F325" s="67"/>
      <c r="G325" s="67"/>
    </row>
    <row r="326" spans="5:7" ht="13">
      <c r="E326" s="66"/>
      <c r="F326" s="67"/>
      <c r="G326" s="67"/>
    </row>
    <row r="327" spans="5:7" ht="13">
      <c r="E327" s="66"/>
      <c r="F327" s="67"/>
      <c r="G327" s="67"/>
    </row>
    <row r="328" spans="5:7" ht="13">
      <c r="E328" s="66"/>
      <c r="F328" s="67"/>
      <c r="G328" s="67"/>
    </row>
    <row r="329" spans="5:7" ht="13">
      <c r="E329" s="66"/>
      <c r="F329" s="67"/>
      <c r="G329" s="67"/>
    </row>
    <row r="330" spans="5:7" ht="13">
      <c r="E330" s="66"/>
      <c r="F330" s="67"/>
      <c r="G330" s="67"/>
    </row>
    <row r="331" spans="5:7" ht="13">
      <c r="E331" s="66"/>
      <c r="F331" s="67"/>
      <c r="G331" s="67"/>
    </row>
    <row r="332" spans="5:7" ht="13">
      <c r="E332" s="66"/>
      <c r="F332" s="67"/>
      <c r="G332" s="67"/>
    </row>
    <row r="333" spans="5:7" ht="13">
      <c r="E333" s="66"/>
      <c r="F333" s="67"/>
      <c r="G333" s="67"/>
    </row>
    <row r="334" spans="5:7" ht="13">
      <c r="E334" s="66"/>
      <c r="F334" s="67"/>
      <c r="G334" s="67"/>
    </row>
    <row r="335" spans="5:7" ht="13">
      <c r="E335" s="66"/>
      <c r="F335" s="67"/>
      <c r="G335" s="67"/>
    </row>
    <row r="336" spans="5:7" ht="13">
      <c r="E336" s="66"/>
      <c r="F336" s="67"/>
      <c r="G336" s="67"/>
    </row>
    <row r="337" spans="5:7" ht="13">
      <c r="E337" s="66"/>
      <c r="F337" s="67"/>
      <c r="G337" s="67"/>
    </row>
    <row r="338" spans="5:7" ht="13">
      <c r="E338" s="66"/>
      <c r="F338" s="67"/>
      <c r="G338" s="67"/>
    </row>
    <row r="339" spans="5:7" ht="13">
      <c r="E339" s="66"/>
      <c r="F339" s="67"/>
      <c r="G339" s="67"/>
    </row>
    <row r="340" spans="5:7" ht="13">
      <c r="E340" s="66"/>
      <c r="F340" s="67"/>
      <c r="G340" s="67"/>
    </row>
    <row r="341" spans="5:7" ht="13">
      <c r="E341" s="66"/>
      <c r="F341" s="67"/>
      <c r="G341" s="67"/>
    </row>
    <row r="342" spans="5:7" ht="13">
      <c r="E342" s="66"/>
      <c r="F342" s="67"/>
      <c r="G342" s="67"/>
    </row>
    <row r="343" spans="5:7" ht="13">
      <c r="E343" s="66"/>
      <c r="F343" s="67"/>
      <c r="G343" s="67"/>
    </row>
    <row r="344" spans="5:7" ht="13">
      <c r="E344" s="66"/>
      <c r="F344" s="67"/>
      <c r="G344" s="67"/>
    </row>
    <row r="345" spans="5:7" ht="13">
      <c r="E345" s="66"/>
      <c r="F345" s="67"/>
      <c r="G345" s="67"/>
    </row>
    <row r="346" spans="5:7" ht="13">
      <c r="E346" s="66"/>
      <c r="F346" s="67"/>
      <c r="G346" s="67"/>
    </row>
    <row r="347" spans="5:7" ht="13">
      <c r="E347" s="66"/>
      <c r="F347" s="67"/>
      <c r="G347" s="67"/>
    </row>
    <row r="348" spans="5:7" ht="13">
      <c r="E348" s="66"/>
      <c r="F348" s="67"/>
      <c r="G348" s="67"/>
    </row>
    <row r="349" spans="5:7" ht="13">
      <c r="E349" s="66"/>
      <c r="F349" s="67"/>
      <c r="G349" s="67"/>
    </row>
    <row r="350" spans="5:7" ht="13">
      <c r="E350" s="66"/>
      <c r="F350" s="67"/>
      <c r="G350" s="67"/>
    </row>
    <row r="351" spans="5:7" ht="13">
      <c r="E351" s="66"/>
      <c r="F351" s="67"/>
      <c r="G351" s="67"/>
    </row>
    <row r="352" spans="5:7" ht="13">
      <c r="E352" s="66"/>
      <c r="F352" s="67"/>
      <c r="G352" s="67"/>
    </row>
    <row r="353" spans="5:7" ht="13">
      <c r="E353" s="66"/>
      <c r="F353" s="67"/>
      <c r="G353" s="67"/>
    </row>
    <row r="354" spans="5:7" ht="13">
      <c r="E354" s="66"/>
      <c r="F354" s="67"/>
      <c r="G354" s="67"/>
    </row>
    <row r="355" spans="5:7" ht="13">
      <c r="E355" s="66"/>
      <c r="F355" s="67"/>
      <c r="G355" s="67"/>
    </row>
    <row r="356" spans="5:7" ht="13">
      <c r="E356" s="66"/>
      <c r="F356" s="67"/>
      <c r="G356" s="67"/>
    </row>
    <row r="357" spans="5:7" ht="13">
      <c r="E357" s="66"/>
      <c r="F357" s="67"/>
      <c r="G357" s="67"/>
    </row>
    <row r="358" spans="5:7" ht="13">
      <c r="E358" s="66"/>
      <c r="F358" s="67"/>
      <c r="G358" s="67"/>
    </row>
    <row r="359" spans="5:7" ht="13">
      <c r="E359" s="66"/>
      <c r="F359" s="67"/>
      <c r="G359" s="67"/>
    </row>
    <row r="360" spans="5:7" ht="13">
      <c r="E360" s="66"/>
      <c r="F360" s="67"/>
      <c r="G360" s="67"/>
    </row>
    <row r="361" spans="5:7" ht="13">
      <c r="E361" s="66"/>
      <c r="F361" s="67"/>
      <c r="G361" s="67"/>
    </row>
    <row r="362" spans="5:7" ht="13">
      <c r="E362" s="66"/>
      <c r="F362" s="67"/>
      <c r="G362" s="67"/>
    </row>
    <row r="363" spans="5:7" ht="13">
      <c r="E363" s="66"/>
      <c r="F363" s="67"/>
      <c r="G363" s="67"/>
    </row>
    <row r="364" spans="5:7" ht="13">
      <c r="E364" s="66"/>
      <c r="F364" s="67"/>
      <c r="G364" s="67"/>
    </row>
    <row r="365" spans="5:7" ht="13">
      <c r="E365" s="66"/>
      <c r="F365" s="67"/>
      <c r="G365" s="67"/>
    </row>
    <row r="366" spans="5:7" ht="13">
      <c r="E366" s="66"/>
      <c r="F366" s="67"/>
      <c r="G366" s="67"/>
    </row>
    <row r="367" spans="5:7" ht="13">
      <c r="E367" s="66"/>
      <c r="F367" s="67"/>
      <c r="G367" s="67"/>
    </row>
    <row r="368" spans="5:7" ht="13">
      <c r="E368" s="66"/>
      <c r="F368" s="67"/>
      <c r="G368" s="67"/>
    </row>
    <row r="369" spans="5:7" ht="13">
      <c r="E369" s="66"/>
      <c r="F369" s="67"/>
      <c r="G369" s="67"/>
    </row>
    <row r="370" spans="5:7" ht="13">
      <c r="E370" s="66"/>
      <c r="F370" s="67"/>
      <c r="G370" s="67"/>
    </row>
    <row r="371" spans="5:7" ht="13">
      <c r="E371" s="66"/>
      <c r="F371" s="67"/>
      <c r="G371" s="67"/>
    </row>
    <row r="372" spans="5:7" ht="13">
      <c r="E372" s="66"/>
      <c r="F372" s="67"/>
      <c r="G372" s="67"/>
    </row>
    <row r="373" spans="5:7" ht="13">
      <c r="E373" s="66"/>
      <c r="F373" s="67"/>
      <c r="G373" s="67"/>
    </row>
    <row r="374" spans="5:7" ht="13">
      <c r="E374" s="66"/>
      <c r="F374" s="67"/>
      <c r="G374" s="67"/>
    </row>
    <row r="375" spans="5:7" ht="13">
      <c r="E375" s="66"/>
      <c r="F375" s="67"/>
      <c r="G375" s="67"/>
    </row>
    <row r="376" spans="5:7" ht="13">
      <c r="E376" s="66"/>
      <c r="F376" s="67"/>
      <c r="G376" s="67"/>
    </row>
    <row r="377" spans="5:7" ht="13">
      <c r="E377" s="66"/>
      <c r="F377" s="67"/>
      <c r="G377" s="67"/>
    </row>
    <row r="378" spans="5:7" ht="13">
      <c r="E378" s="66"/>
      <c r="F378" s="67"/>
      <c r="G378" s="67"/>
    </row>
    <row r="379" spans="5:7" ht="13">
      <c r="E379" s="66"/>
      <c r="F379" s="67"/>
      <c r="G379" s="67"/>
    </row>
    <row r="380" spans="5:7" ht="13">
      <c r="E380" s="66"/>
      <c r="F380" s="67"/>
      <c r="G380" s="67"/>
    </row>
    <row r="381" spans="5:7" ht="13">
      <c r="E381" s="66"/>
      <c r="F381" s="67"/>
      <c r="G381" s="67"/>
    </row>
    <row r="382" spans="5:7" ht="13">
      <c r="E382" s="66"/>
      <c r="F382" s="67"/>
      <c r="G382" s="67"/>
    </row>
    <row r="383" spans="5:7" ht="13">
      <c r="E383" s="66"/>
      <c r="F383" s="67"/>
      <c r="G383" s="67"/>
    </row>
    <row r="384" spans="5:7" ht="13">
      <c r="E384" s="66"/>
      <c r="F384" s="67"/>
      <c r="G384" s="67"/>
    </row>
    <row r="385" spans="5:7" ht="13">
      <c r="E385" s="66"/>
      <c r="F385" s="67"/>
      <c r="G385" s="67"/>
    </row>
    <row r="386" spans="5:7" ht="13">
      <c r="E386" s="66"/>
      <c r="F386" s="67"/>
      <c r="G386" s="67"/>
    </row>
    <row r="387" spans="5:7" ht="13">
      <c r="E387" s="66"/>
      <c r="F387" s="67"/>
      <c r="G387" s="67"/>
    </row>
    <row r="388" spans="5:7" ht="13">
      <c r="E388" s="66"/>
      <c r="F388" s="67"/>
      <c r="G388" s="67"/>
    </row>
    <row r="389" spans="5:7" ht="13">
      <c r="E389" s="66"/>
      <c r="F389" s="67"/>
      <c r="G389" s="67"/>
    </row>
    <row r="390" spans="5:7" ht="13">
      <c r="E390" s="66"/>
      <c r="F390" s="67"/>
      <c r="G390" s="67"/>
    </row>
    <row r="391" spans="5:7" ht="13">
      <c r="E391" s="66"/>
      <c r="F391" s="67"/>
      <c r="G391" s="67"/>
    </row>
    <row r="392" spans="5:7" ht="13">
      <c r="E392" s="66"/>
      <c r="F392" s="67"/>
      <c r="G392" s="67"/>
    </row>
    <row r="393" spans="5:7" ht="13">
      <c r="E393" s="66"/>
      <c r="F393" s="67"/>
      <c r="G393" s="67"/>
    </row>
    <row r="394" spans="5:7" ht="13">
      <c r="E394" s="66"/>
      <c r="F394" s="67"/>
      <c r="G394" s="67"/>
    </row>
    <row r="395" spans="5:7" ht="13">
      <c r="E395" s="66"/>
      <c r="F395" s="67"/>
      <c r="G395" s="67"/>
    </row>
    <row r="396" spans="5:7" ht="13">
      <c r="E396" s="66"/>
      <c r="F396" s="67"/>
      <c r="G396" s="67"/>
    </row>
    <row r="397" spans="5:7" ht="13">
      <c r="E397" s="66"/>
      <c r="F397" s="67"/>
      <c r="G397" s="67"/>
    </row>
    <row r="398" spans="5:7" ht="13">
      <c r="E398" s="66"/>
      <c r="F398" s="67"/>
      <c r="G398" s="67"/>
    </row>
    <row r="399" spans="5:7" ht="13">
      <c r="E399" s="66"/>
      <c r="F399" s="67"/>
      <c r="G399" s="67"/>
    </row>
    <row r="400" spans="5:7" ht="13">
      <c r="E400" s="66"/>
      <c r="F400" s="67"/>
      <c r="G400" s="67"/>
    </row>
    <row r="401" spans="5:7" ht="13">
      <c r="E401" s="66"/>
      <c r="F401" s="67"/>
      <c r="G401" s="67"/>
    </row>
    <row r="402" spans="5:7" ht="13">
      <c r="E402" s="66"/>
      <c r="F402" s="67"/>
      <c r="G402" s="67"/>
    </row>
    <row r="403" spans="5:7" ht="13">
      <c r="E403" s="66"/>
      <c r="F403" s="67"/>
      <c r="G403" s="67"/>
    </row>
    <row r="404" spans="5:7" ht="13">
      <c r="E404" s="66"/>
      <c r="F404" s="67"/>
      <c r="G404" s="67"/>
    </row>
    <row r="405" spans="5:7" ht="13">
      <c r="E405" s="66"/>
      <c r="F405" s="67"/>
      <c r="G405" s="67"/>
    </row>
    <row r="406" spans="5:7" ht="13">
      <c r="E406" s="66"/>
      <c r="F406" s="67"/>
      <c r="G406" s="67"/>
    </row>
    <row r="407" spans="5:7" ht="13">
      <c r="E407" s="66"/>
      <c r="F407" s="67"/>
      <c r="G407" s="67"/>
    </row>
    <row r="408" spans="5:7" ht="13">
      <c r="E408" s="66"/>
      <c r="F408" s="67"/>
      <c r="G408" s="67"/>
    </row>
    <row r="409" spans="5:7" ht="13">
      <c r="E409" s="66"/>
      <c r="F409" s="67"/>
      <c r="G409" s="67"/>
    </row>
    <row r="410" spans="5:7" ht="13">
      <c r="E410" s="66"/>
      <c r="F410" s="67"/>
      <c r="G410" s="67"/>
    </row>
    <row r="411" spans="5:7" ht="13">
      <c r="E411" s="66"/>
      <c r="F411" s="67"/>
      <c r="G411" s="67"/>
    </row>
    <row r="412" spans="5:7" ht="13">
      <c r="E412" s="66"/>
      <c r="F412" s="67"/>
      <c r="G412" s="67"/>
    </row>
    <row r="413" spans="5:7" ht="13">
      <c r="E413" s="66"/>
      <c r="F413" s="67"/>
      <c r="G413" s="67"/>
    </row>
    <row r="414" spans="5:7" ht="13">
      <c r="E414" s="66"/>
      <c r="F414" s="67"/>
      <c r="G414" s="67"/>
    </row>
    <row r="415" spans="5:7" ht="13">
      <c r="E415" s="66"/>
      <c r="F415" s="67"/>
      <c r="G415" s="67"/>
    </row>
    <row r="416" spans="5:7" ht="13">
      <c r="E416" s="66"/>
      <c r="F416" s="67"/>
      <c r="G416" s="67"/>
    </row>
    <row r="417" spans="5:7" ht="13">
      <c r="E417" s="66"/>
      <c r="F417" s="67"/>
      <c r="G417" s="67"/>
    </row>
    <row r="418" spans="5:7" ht="13">
      <c r="E418" s="66"/>
      <c r="F418" s="67"/>
      <c r="G418" s="67"/>
    </row>
    <row r="419" spans="5:7" ht="13">
      <c r="E419" s="66"/>
      <c r="F419" s="67"/>
      <c r="G419" s="67"/>
    </row>
    <row r="420" spans="5:7" ht="13">
      <c r="E420" s="66"/>
      <c r="F420" s="67"/>
      <c r="G420" s="67"/>
    </row>
    <row r="421" spans="5:7" ht="13">
      <c r="E421" s="66"/>
      <c r="F421" s="67"/>
      <c r="G421" s="67"/>
    </row>
    <row r="422" spans="5:7" ht="13">
      <c r="E422" s="66"/>
      <c r="F422" s="67"/>
      <c r="G422" s="67"/>
    </row>
    <row r="423" spans="5:7" ht="13">
      <c r="E423" s="66"/>
      <c r="F423" s="67"/>
      <c r="G423" s="67"/>
    </row>
    <row r="424" spans="5:7" ht="13">
      <c r="E424" s="66"/>
      <c r="F424" s="67"/>
      <c r="G424" s="67"/>
    </row>
    <row r="425" spans="5:7" ht="13">
      <c r="E425" s="66"/>
      <c r="F425" s="67"/>
      <c r="G425" s="67"/>
    </row>
    <row r="426" spans="5:7" ht="13">
      <c r="E426" s="66"/>
      <c r="F426" s="67"/>
      <c r="G426" s="67"/>
    </row>
    <row r="427" spans="5:7" ht="13">
      <c r="E427" s="66"/>
      <c r="F427" s="67"/>
      <c r="G427" s="67"/>
    </row>
    <row r="428" spans="5:7" ht="13">
      <c r="E428" s="66"/>
      <c r="F428" s="67"/>
      <c r="G428" s="67"/>
    </row>
    <row r="429" spans="5:7" ht="13">
      <c r="E429" s="66"/>
      <c r="F429" s="67"/>
      <c r="G429" s="67"/>
    </row>
    <row r="430" spans="5:7" ht="13">
      <c r="E430" s="66"/>
      <c r="F430" s="67"/>
      <c r="G430" s="67"/>
    </row>
    <row r="431" spans="5:7" ht="13">
      <c r="E431" s="66"/>
      <c r="F431" s="67"/>
      <c r="G431" s="67"/>
    </row>
    <row r="432" spans="5:7" ht="13">
      <c r="E432" s="66"/>
      <c r="F432" s="67"/>
      <c r="G432" s="67"/>
    </row>
    <row r="433" spans="5:7" ht="13">
      <c r="E433" s="66"/>
      <c r="F433" s="67"/>
      <c r="G433" s="67"/>
    </row>
    <row r="434" spans="5:7" ht="13">
      <c r="E434" s="66"/>
      <c r="F434" s="67"/>
      <c r="G434" s="67"/>
    </row>
    <row r="435" spans="5:7" ht="13">
      <c r="E435" s="66"/>
      <c r="F435" s="67"/>
      <c r="G435" s="67"/>
    </row>
    <row r="436" spans="5:7" ht="13">
      <c r="E436" s="66"/>
      <c r="F436" s="67"/>
      <c r="G436" s="67"/>
    </row>
    <row r="437" spans="5:7" ht="13">
      <c r="E437" s="66"/>
      <c r="F437" s="67"/>
      <c r="G437" s="67"/>
    </row>
    <row r="438" spans="5:7" ht="13">
      <c r="E438" s="66"/>
      <c r="F438" s="67"/>
      <c r="G438" s="67"/>
    </row>
    <row r="439" spans="5:7" ht="13">
      <c r="E439" s="66"/>
      <c r="F439" s="67"/>
      <c r="G439" s="67"/>
    </row>
    <row r="440" spans="5:7" ht="13">
      <c r="E440" s="66"/>
      <c r="F440" s="67"/>
      <c r="G440" s="67"/>
    </row>
    <row r="441" spans="5:7" ht="13">
      <c r="E441" s="66"/>
      <c r="F441" s="67"/>
      <c r="G441" s="67"/>
    </row>
    <row r="442" spans="5:7" ht="13">
      <c r="E442" s="66"/>
      <c r="F442" s="67"/>
      <c r="G442" s="67"/>
    </row>
    <row r="443" spans="5:7" ht="13">
      <c r="E443" s="66"/>
      <c r="F443" s="67"/>
      <c r="G443" s="67"/>
    </row>
    <row r="444" spans="5:7" ht="13">
      <c r="E444" s="66"/>
      <c r="F444" s="67"/>
      <c r="G444" s="67"/>
    </row>
    <row r="445" spans="5:7" ht="13">
      <c r="E445" s="66"/>
      <c r="F445" s="67"/>
      <c r="G445" s="67"/>
    </row>
    <row r="446" spans="5:7" ht="13">
      <c r="E446" s="66"/>
      <c r="F446" s="67"/>
      <c r="G446" s="67"/>
    </row>
    <row r="447" spans="5:7" ht="13">
      <c r="E447" s="66"/>
      <c r="F447" s="67"/>
      <c r="G447" s="67"/>
    </row>
    <row r="448" spans="5:7" ht="13">
      <c r="E448" s="66"/>
      <c r="F448" s="67"/>
      <c r="G448" s="67"/>
    </row>
    <row r="449" spans="5:7" ht="13">
      <c r="E449" s="66"/>
      <c r="F449" s="67"/>
      <c r="G449" s="67"/>
    </row>
    <row r="450" spans="5:7" ht="13">
      <c r="E450" s="66"/>
      <c r="F450" s="67"/>
      <c r="G450" s="67"/>
    </row>
    <row r="451" spans="5:7" ht="13">
      <c r="E451" s="66"/>
      <c r="F451" s="67"/>
      <c r="G451" s="67"/>
    </row>
    <row r="452" spans="5:7" ht="13">
      <c r="E452" s="66"/>
      <c r="F452" s="67"/>
      <c r="G452" s="67"/>
    </row>
    <row r="453" spans="5:7" ht="13">
      <c r="E453" s="66"/>
      <c r="F453" s="67"/>
      <c r="G453" s="67"/>
    </row>
    <row r="454" spans="5:7" ht="13">
      <c r="E454" s="66"/>
      <c r="F454" s="67"/>
      <c r="G454" s="67"/>
    </row>
    <row r="455" spans="5:7" ht="13">
      <c r="E455" s="66"/>
      <c r="F455" s="67"/>
      <c r="G455" s="67"/>
    </row>
    <row r="456" spans="5:7" ht="13">
      <c r="E456" s="66"/>
      <c r="F456" s="67"/>
      <c r="G456" s="67"/>
    </row>
    <row r="457" spans="5:7" ht="13">
      <c r="E457" s="66"/>
      <c r="F457" s="67"/>
      <c r="G457" s="67"/>
    </row>
    <row r="458" spans="5:7" ht="13">
      <c r="E458" s="66"/>
      <c r="F458" s="67"/>
      <c r="G458" s="67"/>
    </row>
    <row r="459" spans="5:7" ht="13">
      <c r="E459" s="66"/>
      <c r="F459" s="67"/>
      <c r="G459" s="67"/>
    </row>
    <row r="460" spans="5:7" ht="13">
      <c r="E460" s="66"/>
      <c r="F460" s="67"/>
      <c r="G460" s="67"/>
    </row>
    <row r="461" spans="5:7" ht="13">
      <c r="E461" s="66"/>
      <c r="F461" s="67"/>
      <c r="G461" s="67"/>
    </row>
    <row r="462" spans="5:7" ht="13">
      <c r="E462" s="66"/>
      <c r="F462" s="67"/>
      <c r="G462" s="67"/>
    </row>
    <row r="463" spans="5:7" ht="13">
      <c r="E463" s="66"/>
      <c r="F463" s="67"/>
      <c r="G463" s="67"/>
    </row>
    <row r="464" spans="5:7" ht="13">
      <c r="E464" s="66"/>
      <c r="F464" s="67"/>
      <c r="G464" s="67"/>
    </row>
    <row r="465" spans="5:7" ht="13">
      <c r="E465" s="66"/>
      <c r="F465" s="67"/>
      <c r="G465" s="67"/>
    </row>
    <row r="466" spans="5:7" ht="13">
      <c r="E466" s="66"/>
      <c r="F466" s="67"/>
      <c r="G466" s="67"/>
    </row>
    <row r="467" spans="5:7" ht="13">
      <c r="E467" s="66"/>
      <c r="F467" s="67"/>
      <c r="G467" s="67"/>
    </row>
    <row r="468" spans="5:7" ht="13">
      <c r="E468" s="66"/>
      <c r="F468" s="67"/>
      <c r="G468" s="67"/>
    </row>
    <row r="469" spans="5:7" ht="13">
      <c r="E469" s="66"/>
      <c r="F469" s="67"/>
      <c r="G469" s="67"/>
    </row>
    <row r="470" spans="5:7" ht="13">
      <c r="E470" s="66"/>
      <c r="F470" s="67"/>
      <c r="G470" s="67"/>
    </row>
    <row r="471" spans="5:7" ht="13">
      <c r="E471" s="66"/>
      <c r="F471" s="67"/>
      <c r="G471" s="67"/>
    </row>
    <row r="472" spans="5:7" ht="13">
      <c r="E472" s="66"/>
      <c r="F472" s="67"/>
      <c r="G472" s="67"/>
    </row>
    <row r="473" spans="5:7" ht="13">
      <c r="E473" s="66"/>
      <c r="F473" s="67"/>
      <c r="G473" s="67"/>
    </row>
    <row r="474" spans="5:7" ht="13">
      <c r="E474" s="66"/>
      <c r="F474" s="67"/>
      <c r="G474" s="67"/>
    </row>
    <row r="475" spans="5:7" ht="13">
      <c r="E475" s="66"/>
      <c r="F475" s="67"/>
      <c r="G475" s="67"/>
    </row>
    <row r="476" spans="5:7" ht="13">
      <c r="E476" s="66"/>
      <c r="F476" s="67"/>
      <c r="G476" s="67"/>
    </row>
    <row r="477" spans="5:7" ht="13">
      <c r="E477" s="66"/>
      <c r="F477" s="67"/>
      <c r="G477" s="67"/>
    </row>
    <row r="478" spans="5:7" ht="13">
      <c r="E478" s="66"/>
      <c r="F478" s="67"/>
      <c r="G478" s="67"/>
    </row>
    <row r="479" spans="5:7" ht="13">
      <c r="E479" s="66"/>
      <c r="F479" s="67"/>
      <c r="G479" s="67"/>
    </row>
    <row r="480" spans="5:7" ht="13">
      <c r="E480" s="66"/>
      <c r="F480" s="67"/>
      <c r="G480" s="67"/>
    </row>
    <row r="481" spans="5:7" ht="13">
      <c r="E481" s="66"/>
      <c r="F481" s="67"/>
      <c r="G481" s="67"/>
    </row>
    <row r="482" spans="5:7" ht="13">
      <c r="E482" s="66"/>
      <c r="F482" s="67"/>
      <c r="G482" s="67"/>
    </row>
    <row r="483" spans="5:7" ht="13">
      <c r="E483" s="66"/>
      <c r="F483" s="67"/>
      <c r="G483" s="67"/>
    </row>
    <row r="484" spans="5:7" ht="13">
      <c r="E484" s="66"/>
      <c r="F484" s="67"/>
      <c r="G484" s="67"/>
    </row>
    <row r="485" spans="5:7" ht="13">
      <c r="E485" s="66"/>
      <c r="F485" s="67"/>
      <c r="G485" s="67"/>
    </row>
    <row r="486" spans="5:7" ht="13">
      <c r="E486" s="66"/>
      <c r="F486" s="67"/>
      <c r="G486" s="67"/>
    </row>
    <row r="487" spans="5:7" ht="13">
      <c r="E487" s="66"/>
      <c r="F487" s="67"/>
      <c r="G487" s="67"/>
    </row>
    <row r="488" spans="5:7" ht="13">
      <c r="E488" s="66"/>
      <c r="F488" s="67"/>
      <c r="G488" s="67"/>
    </row>
    <row r="489" spans="5:7" ht="13">
      <c r="E489" s="66"/>
      <c r="F489" s="67"/>
      <c r="G489" s="67"/>
    </row>
    <row r="490" spans="5:7" ht="13">
      <c r="E490" s="66"/>
      <c r="F490" s="67"/>
      <c r="G490" s="67"/>
    </row>
    <row r="491" spans="5:7" ht="13">
      <c r="E491" s="66"/>
      <c r="F491" s="67"/>
      <c r="G491" s="67"/>
    </row>
    <row r="492" spans="5:7" ht="13">
      <c r="E492" s="66"/>
      <c r="F492" s="67"/>
      <c r="G492" s="67"/>
    </row>
    <row r="493" spans="5:7" ht="13">
      <c r="E493" s="66"/>
      <c r="F493" s="67"/>
      <c r="G493" s="67"/>
    </row>
    <row r="494" spans="5:7" ht="13">
      <c r="E494" s="66"/>
      <c r="F494" s="67"/>
      <c r="G494" s="67"/>
    </row>
    <row r="495" spans="5:7" ht="13">
      <c r="E495" s="66"/>
      <c r="F495" s="67"/>
      <c r="G495" s="67"/>
    </row>
    <row r="496" spans="5:7" ht="13">
      <c r="E496" s="66"/>
      <c r="F496" s="67"/>
      <c r="G496" s="67"/>
    </row>
    <row r="497" spans="5:7" ht="13">
      <c r="E497" s="66"/>
      <c r="F497" s="67"/>
      <c r="G497" s="67"/>
    </row>
    <row r="498" spans="5:7" ht="13">
      <c r="E498" s="66"/>
      <c r="F498" s="67"/>
      <c r="G498" s="67"/>
    </row>
    <row r="499" spans="5:7" ht="13">
      <c r="E499" s="66"/>
      <c r="F499" s="67"/>
      <c r="G499" s="67"/>
    </row>
    <row r="500" spans="5:7" ht="13">
      <c r="E500" s="66"/>
      <c r="F500" s="67"/>
      <c r="G500" s="67"/>
    </row>
    <row r="501" spans="5:7" ht="13">
      <c r="E501" s="66"/>
      <c r="F501" s="67"/>
      <c r="G501" s="67"/>
    </row>
    <row r="502" spans="5:7" ht="13">
      <c r="E502" s="66"/>
      <c r="F502" s="67"/>
      <c r="G502" s="67"/>
    </row>
    <row r="503" spans="5:7" ht="13">
      <c r="E503" s="66"/>
      <c r="F503" s="67"/>
      <c r="G503" s="67"/>
    </row>
    <row r="504" spans="5:7" ht="13">
      <c r="E504" s="66"/>
      <c r="F504" s="67"/>
      <c r="G504" s="67"/>
    </row>
    <row r="505" spans="5:7" ht="13">
      <c r="E505" s="66"/>
      <c r="F505" s="67"/>
      <c r="G505" s="67"/>
    </row>
    <row r="506" spans="5:7" ht="13">
      <c r="E506" s="66"/>
      <c r="F506" s="67"/>
      <c r="G506" s="67"/>
    </row>
    <row r="507" spans="5:7" ht="13">
      <c r="E507" s="66"/>
      <c r="F507" s="67"/>
      <c r="G507" s="67"/>
    </row>
    <row r="508" spans="5:7" ht="13">
      <c r="E508" s="66"/>
      <c r="F508" s="67"/>
      <c r="G508" s="67"/>
    </row>
    <row r="509" spans="5:7" ht="13">
      <c r="E509" s="66"/>
      <c r="F509" s="67"/>
      <c r="G509" s="67"/>
    </row>
    <row r="510" spans="5:7" ht="13">
      <c r="E510" s="66"/>
      <c r="F510" s="67"/>
      <c r="G510" s="67"/>
    </row>
    <row r="511" spans="5:7" ht="13">
      <c r="E511" s="66"/>
      <c r="F511" s="67"/>
      <c r="G511" s="67"/>
    </row>
    <row r="512" spans="5:7" ht="13">
      <c r="E512" s="66"/>
      <c r="F512" s="67"/>
      <c r="G512" s="67"/>
    </row>
    <row r="513" spans="5:7" ht="13">
      <c r="E513" s="66"/>
      <c r="F513" s="67"/>
      <c r="G513" s="67"/>
    </row>
    <row r="514" spans="5:7" ht="13">
      <c r="E514" s="66"/>
      <c r="F514" s="67"/>
      <c r="G514" s="67"/>
    </row>
    <row r="515" spans="5:7" ht="13">
      <c r="E515" s="66"/>
      <c r="F515" s="67"/>
      <c r="G515" s="67"/>
    </row>
    <row r="516" spans="5:7" ht="13">
      <c r="E516" s="66"/>
      <c r="F516" s="67"/>
      <c r="G516" s="67"/>
    </row>
    <row r="517" spans="5:7" ht="13">
      <c r="E517" s="66"/>
      <c r="F517" s="67"/>
      <c r="G517" s="67"/>
    </row>
    <row r="518" spans="5:7" ht="13">
      <c r="E518" s="66"/>
      <c r="F518" s="67"/>
      <c r="G518" s="67"/>
    </row>
    <row r="519" spans="5:7" ht="13">
      <c r="E519" s="66"/>
      <c r="F519" s="67"/>
      <c r="G519" s="67"/>
    </row>
    <row r="520" spans="5:7" ht="13">
      <c r="E520" s="66"/>
      <c r="F520" s="67"/>
      <c r="G520" s="67"/>
    </row>
    <row r="521" spans="5:7" ht="13">
      <c r="E521" s="66"/>
      <c r="F521" s="67"/>
      <c r="G521" s="67"/>
    </row>
    <row r="522" spans="5:7" ht="13">
      <c r="E522" s="66"/>
      <c r="F522" s="67"/>
      <c r="G522" s="67"/>
    </row>
    <row r="523" spans="5:7" ht="13">
      <c r="E523" s="66"/>
      <c r="F523" s="67"/>
      <c r="G523" s="67"/>
    </row>
    <row r="524" spans="5:7" ht="13">
      <c r="E524" s="66"/>
      <c r="F524" s="67"/>
      <c r="G524" s="67"/>
    </row>
    <row r="525" spans="5:7" ht="13">
      <c r="E525" s="66"/>
      <c r="F525" s="67"/>
      <c r="G525" s="67"/>
    </row>
    <row r="526" spans="5:7" ht="13">
      <c r="E526" s="66"/>
      <c r="F526" s="67"/>
      <c r="G526" s="67"/>
    </row>
    <row r="527" spans="5:7" ht="13">
      <c r="E527" s="66"/>
      <c r="F527" s="67"/>
      <c r="G527" s="67"/>
    </row>
    <row r="528" spans="5:7" ht="13">
      <c r="E528" s="66"/>
      <c r="F528" s="67"/>
      <c r="G528" s="67"/>
    </row>
    <row r="529" spans="5:7" ht="13">
      <c r="E529" s="66"/>
      <c r="F529" s="67"/>
      <c r="G529" s="67"/>
    </row>
    <row r="530" spans="5:7" ht="13">
      <c r="E530" s="66"/>
      <c r="F530" s="67"/>
      <c r="G530" s="67"/>
    </row>
    <row r="531" spans="5:7" ht="13">
      <c r="E531" s="66"/>
      <c r="F531" s="67"/>
      <c r="G531" s="67"/>
    </row>
    <row r="532" spans="5:7" ht="13">
      <c r="E532" s="66"/>
      <c r="F532" s="67"/>
      <c r="G532" s="67"/>
    </row>
    <row r="533" spans="5:7" ht="13">
      <c r="E533" s="66"/>
      <c r="F533" s="67"/>
      <c r="G533" s="67"/>
    </row>
    <row r="534" spans="5:7" ht="13">
      <c r="E534" s="66"/>
      <c r="F534" s="67"/>
      <c r="G534" s="67"/>
    </row>
    <row r="535" spans="5:7" ht="13">
      <c r="E535" s="66"/>
      <c r="F535" s="67"/>
      <c r="G535" s="67"/>
    </row>
    <row r="536" spans="5:7" ht="13">
      <c r="E536" s="66"/>
      <c r="F536" s="67"/>
      <c r="G536" s="67"/>
    </row>
    <row r="537" spans="5:7" ht="13">
      <c r="E537" s="66"/>
      <c r="F537" s="67"/>
      <c r="G537" s="67"/>
    </row>
    <row r="538" spans="5:7" ht="13">
      <c r="E538" s="66"/>
      <c r="F538" s="67"/>
      <c r="G538" s="67"/>
    </row>
    <row r="539" spans="5:7" ht="13">
      <c r="E539" s="66"/>
      <c r="F539" s="67"/>
      <c r="G539" s="67"/>
    </row>
    <row r="540" spans="5:7" ht="13">
      <c r="E540" s="66"/>
      <c r="F540" s="67"/>
      <c r="G540" s="67"/>
    </row>
    <row r="541" spans="5:7" ht="13">
      <c r="E541" s="66"/>
      <c r="F541" s="67"/>
      <c r="G541" s="67"/>
    </row>
    <row r="542" spans="5:7" ht="13">
      <c r="E542" s="66"/>
      <c r="F542" s="67"/>
      <c r="G542" s="67"/>
    </row>
    <row r="543" spans="5:7" ht="13">
      <c r="E543" s="66"/>
      <c r="F543" s="67"/>
      <c r="G543" s="67"/>
    </row>
    <row r="544" spans="5:7" ht="13">
      <c r="E544" s="66"/>
      <c r="F544" s="67"/>
      <c r="G544" s="67"/>
    </row>
    <row r="545" spans="5:7" ht="13">
      <c r="E545" s="66"/>
      <c r="F545" s="67"/>
      <c r="G545" s="67"/>
    </row>
    <row r="546" spans="5:7" ht="13">
      <c r="E546" s="66"/>
      <c r="F546" s="67"/>
      <c r="G546" s="67"/>
    </row>
    <row r="547" spans="5:7" ht="13">
      <c r="E547" s="66"/>
      <c r="F547" s="67"/>
      <c r="G547" s="67"/>
    </row>
    <row r="548" spans="5:7" ht="13">
      <c r="E548" s="66"/>
      <c r="F548" s="67"/>
      <c r="G548" s="67"/>
    </row>
    <row r="549" spans="5:7" ht="13">
      <c r="E549" s="66"/>
      <c r="F549" s="67"/>
      <c r="G549" s="67"/>
    </row>
    <row r="550" spans="5:7" ht="13">
      <c r="E550" s="66"/>
      <c r="F550" s="67"/>
      <c r="G550" s="67"/>
    </row>
    <row r="551" spans="5:7" ht="13">
      <c r="E551" s="66"/>
      <c r="F551" s="67"/>
      <c r="G551" s="67"/>
    </row>
    <row r="552" spans="5:7" ht="13">
      <c r="E552" s="66"/>
      <c r="F552" s="67"/>
      <c r="G552" s="67"/>
    </row>
    <row r="553" spans="5:7" ht="13">
      <c r="E553" s="66"/>
      <c r="F553" s="67"/>
      <c r="G553" s="67"/>
    </row>
    <row r="554" spans="5:7" ht="13">
      <c r="E554" s="66"/>
      <c r="F554" s="67"/>
      <c r="G554" s="67"/>
    </row>
    <row r="555" spans="5:7" ht="13">
      <c r="E555" s="66"/>
      <c r="F555" s="67"/>
      <c r="G555" s="67"/>
    </row>
    <row r="556" spans="5:7" ht="13">
      <c r="E556" s="66"/>
      <c r="F556" s="67"/>
      <c r="G556" s="67"/>
    </row>
    <row r="557" spans="5:7" ht="13">
      <c r="E557" s="66"/>
      <c r="F557" s="67"/>
      <c r="G557" s="67"/>
    </row>
    <row r="558" spans="5:7" ht="13">
      <c r="E558" s="66"/>
      <c r="F558" s="67"/>
      <c r="G558" s="67"/>
    </row>
    <row r="559" spans="5:7" ht="13">
      <c r="E559" s="66"/>
      <c r="F559" s="67"/>
      <c r="G559" s="67"/>
    </row>
    <row r="560" spans="5:7" ht="13">
      <c r="E560" s="66"/>
      <c r="F560" s="67"/>
      <c r="G560" s="67"/>
    </row>
    <row r="561" spans="5:7" ht="13">
      <c r="E561" s="66"/>
      <c r="F561" s="67"/>
      <c r="G561" s="67"/>
    </row>
    <row r="562" spans="5:7" ht="13">
      <c r="E562" s="66"/>
      <c r="F562" s="67"/>
      <c r="G562" s="67"/>
    </row>
    <row r="563" spans="5:7" ht="13">
      <c r="E563" s="66"/>
      <c r="F563" s="67"/>
      <c r="G563" s="67"/>
    </row>
    <row r="564" spans="5:7" ht="13">
      <c r="E564" s="66"/>
      <c r="F564" s="67"/>
      <c r="G564" s="67"/>
    </row>
    <row r="565" spans="5:7" ht="13">
      <c r="E565" s="66"/>
      <c r="F565" s="67"/>
      <c r="G565" s="67"/>
    </row>
    <row r="566" spans="5:7" ht="13">
      <c r="E566" s="66"/>
      <c r="F566" s="67"/>
      <c r="G566" s="67"/>
    </row>
    <row r="567" spans="5:7" ht="13">
      <c r="E567" s="66"/>
      <c r="F567" s="67"/>
      <c r="G567" s="67"/>
    </row>
    <row r="568" spans="5:7" ht="13">
      <c r="E568" s="66"/>
      <c r="F568" s="67"/>
      <c r="G568" s="67"/>
    </row>
    <row r="569" spans="5:7" ht="13">
      <c r="E569" s="66"/>
      <c r="F569" s="67"/>
      <c r="G569" s="67"/>
    </row>
    <row r="570" spans="5:7" ht="13">
      <c r="E570" s="66"/>
      <c r="F570" s="67"/>
      <c r="G570" s="67"/>
    </row>
    <row r="571" spans="5:7" ht="13">
      <c r="E571" s="66"/>
      <c r="F571" s="67"/>
      <c r="G571" s="67"/>
    </row>
    <row r="572" spans="5:7" ht="13">
      <c r="E572" s="66"/>
      <c r="F572" s="67"/>
      <c r="G572" s="67"/>
    </row>
    <row r="573" spans="5:7" ht="13">
      <c r="E573" s="66"/>
      <c r="F573" s="67"/>
      <c r="G573" s="67"/>
    </row>
    <row r="574" spans="5:7" ht="13">
      <c r="E574" s="66"/>
      <c r="F574" s="67"/>
      <c r="G574" s="67"/>
    </row>
    <row r="575" spans="5:7" ht="13">
      <c r="E575" s="66"/>
      <c r="F575" s="67"/>
      <c r="G575" s="67"/>
    </row>
    <row r="576" spans="5:7" ht="13">
      <c r="E576" s="66"/>
      <c r="F576" s="67"/>
      <c r="G576" s="67"/>
    </row>
    <row r="577" spans="5:7" ht="13">
      <c r="E577" s="66"/>
      <c r="F577" s="67"/>
      <c r="G577" s="67"/>
    </row>
    <row r="578" spans="5:7" ht="13">
      <c r="E578" s="66"/>
      <c r="F578" s="67"/>
      <c r="G578" s="67"/>
    </row>
    <row r="579" spans="5:7" ht="13">
      <c r="E579" s="66"/>
      <c r="F579" s="67"/>
      <c r="G579" s="67"/>
    </row>
    <row r="580" spans="5:7" ht="13">
      <c r="E580" s="66"/>
      <c r="F580" s="67"/>
      <c r="G580" s="67"/>
    </row>
    <row r="581" spans="5:7" ht="13">
      <c r="E581" s="66"/>
      <c r="F581" s="67"/>
      <c r="G581" s="67"/>
    </row>
    <row r="582" spans="5:7" ht="13">
      <c r="E582" s="66"/>
      <c r="F582" s="67"/>
      <c r="G582" s="67"/>
    </row>
    <row r="583" spans="5:7" ht="13">
      <c r="E583" s="66"/>
      <c r="F583" s="67"/>
      <c r="G583" s="67"/>
    </row>
    <row r="584" spans="5:7" ht="13">
      <c r="E584" s="66"/>
      <c r="F584" s="67"/>
      <c r="G584" s="67"/>
    </row>
    <row r="585" spans="5:7" ht="13">
      <c r="E585" s="66"/>
      <c r="F585" s="67"/>
      <c r="G585" s="67"/>
    </row>
    <row r="586" spans="5:7" ht="13">
      <c r="E586" s="66"/>
      <c r="F586" s="67"/>
      <c r="G586" s="67"/>
    </row>
    <row r="587" spans="5:7" ht="13">
      <c r="E587" s="66"/>
      <c r="F587" s="67"/>
      <c r="G587" s="67"/>
    </row>
    <row r="588" spans="5:7" ht="13">
      <c r="E588" s="66"/>
      <c r="F588" s="67"/>
      <c r="G588" s="67"/>
    </row>
    <row r="589" spans="5:7" ht="13">
      <c r="E589" s="66"/>
      <c r="F589" s="67"/>
      <c r="G589" s="67"/>
    </row>
    <row r="590" spans="5:7" ht="13">
      <c r="E590" s="66"/>
      <c r="F590" s="67"/>
      <c r="G590" s="67"/>
    </row>
    <row r="591" spans="5:7" ht="13">
      <c r="E591" s="66"/>
      <c r="F591" s="67"/>
      <c r="G591" s="67"/>
    </row>
    <row r="592" spans="5:7" ht="13">
      <c r="E592" s="66"/>
      <c r="F592" s="67"/>
      <c r="G592" s="67"/>
    </row>
    <row r="593" spans="5:7" ht="13">
      <c r="E593" s="66"/>
      <c r="F593" s="67"/>
      <c r="G593" s="67"/>
    </row>
    <row r="594" spans="5:7" ht="13">
      <c r="E594" s="66"/>
      <c r="F594" s="67"/>
      <c r="G594" s="67"/>
    </row>
    <row r="595" spans="5:7" ht="13">
      <c r="E595" s="66"/>
      <c r="F595" s="67"/>
      <c r="G595" s="67"/>
    </row>
    <row r="596" spans="5:7" ht="13">
      <c r="E596" s="66"/>
      <c r="F596" s="67"/>
      <c r="G596" s="67"/>
    </row>
    <row r="597" spans="5:7" ht="13">
      <c r="E597" s="66"/>
      <c r="F597" s="67"/>
      <c r="G597" s="67"/>
    </row>
    <row r="598" spans="5:7" ht="13">
      <c r="E598" s="66"/>
      <c r="F598" s="67"/>
      <c r="G598" s="67"/>
    </row>
    <row r="599" spans="5:7" ht="13">
      <c r="E599" s="66"/>
      <c r="F599" s="67"/>
      <c r="G599" s="67"/>
    </row>
    <row r="600" spans="5:7" ht="13">
      <c r="E600" s="66"/>
      <c r="F600" s="67"/>
      <c r="G600" s="67"/>
    </row>
    <row r="601" spans="5:7" ht="13">
      <c r="E601" s="66"/>
      <c r="F601" s="67"/>
      <c r="G601" s="67"/>
    </row>
    <row r="602" spans="5:7" ht="13">
      <c r="E602" s="66"/>
      <c r="F602" s="67"/>
      <c r="G602" s="67"/>
    </row>
    <row r="603" spans="5:7" ht="13">
      <c r="E603" s="66"/>
      <c r="F603" s="67"/>
      <c r="G603" s="67"/>
    </row>
    <row r="604" spans="5:7" ht="13">
      <c r="E604" s="66"/>
      <c r="F604" s="67"/>
      <c r="G604" s="67"/>
    </row>
    <row r="605" spans="5:7" ht="13">
      <c r="E605" s="66"/>
      <c r="F605" s="67"/>
      <c r="G605" s="67"/>
    </row>
    <row r="606" spans="5:7" ht="13">
      <c r="E606" s="66"/>
      <c r="F606" s="67"/>
      <c r="G606" s="67"/>
    </row>
    <row r="607" spans="5:7" ht="13">
      <c r="E607" s="66"/>
      <c r="F607" s="67"/>
      <c r="G607" s="67"/>
    </row>
    <row r="608" spans="5:7" ht="13">
      <c r="E608" s="66"/>
      <c r="F608" s="67"/>
      <c r="G608" s="67"/>
    </row>
    <row r="609" spans="5:7" ht="13">
      <c r="E609" s="66"/>
      <c r="F609" s="67"/>
      <c r="G609" s="67"/>
    </row>
    <row r="610" spans="5:7" ht="13">
      <c r="E610" s="66"/>
      <c r="F610" s="67"/>
      <c r="G610" s="67"/>
    </row>
    <row r="611" spans="5:7" ht="13">
      <c r="E611" s="66"/>
      <c r="F611" s="67"/>
      <c r="G611" s="67"/>
    </row>
    <row r="612" spans="5:7" ht="13">
      <c r="E612" s="66"/>
      <c r="F612" s="67"/>
      <c r="G612" s="67"/>
    </row>
    <row r="613" spans="5:7" ht="13">
      <c r="E613" s="66"/>
      <c r="F613" s="67"/>
      <c r="G613" s="67"/>
    </row>
    <row r="614" spans="5:7" ht="13">
      <c r="E614" s="66"/>
      <c r="F614" s="67"/>
      <c r="G614" s="67"/>
    </row>
    <row r="615" spans="5:7" ht="13">
      <c r="E615" s="66"/>
      <c r="F615" s="67"/>
      <c r="G615" s="67"/>
    </row>
    <row r="616" spans="5:7" ht="13">
      <c r="E616" s="66"/>
      <c r="F616" s="67"/>
      <c r="G616" s="67"/>
    </row>
    <row r="617" spans="5:7" ht="13">
      <c r="E617" s="66"/>
      <c r="F617" s="67"/>
      <c r="G617" s="67"/>
    </row>
    <row r="618" spans="5:7" ht="13">
      <c r="E618" s="66"/>
      <c r="F618" s="67"/>
      <c r="G618" s="67"/>
    </row>
    <row r="619" spans="5:7" ht="13">
      <c r="E619" s="66"/>
      <c r="F619" s="67"/>
      <c r="G619" s="67"/>
    </row>
    <row r="620" spans="5:7" ht="13">
      <c r="E620" s="66"/>
      <c r="F620" s="67"/>
      <c r="G620" s="67"/>
    </row>
    <row r="621" spans="5:7" ht="13">
      <c r="E621" s="66"/>
      <c r="F621" s="67"/>
      <c r="G621" s="67"/>
    </row>
    <row r="622" spans="5:7" ht="13">
      <c r="E622" s="66"/>
      <c r="F622" s="67"/>
      <c r="G622" s="67"/>
    </row>
    <row r="623" spans="5:7" ht="13">
      <c r="E623" s="66"/>
      <c r="F623" s="67"/>
      <c r="G623" s="67"/>
    </row>
    <row r="624" spans="5:7" ht="13">
      <c r="E624" s="66"/>
      <c r="F624" s="67"/>
      <c r="G624" s="67"/>
    </row>
    <row r="625" spans="5:7" ht="13">
      <c r="E625" s="66"/>
      <c r="F625" s="67"/>
      <c r="G625" s="67"/>
    </row>
    <row r="626" spans="5:7" ht="13">
      <c r="E626" s="66"/>
      <c r="F626" s="67"/>
      <c r="G626" s="67"/>
    </row>
    <row r="627" spans="5:7" ht="13">
      <c r="E627" s="66"/>
      <c r="F627" s="67"/>
      <c r="G627" s="67"/>
    </row>
    <row r="628" spans="5:7" ht="13">
      <c r="E628" s="66"/>
      <c r="F628" s="67"/>
      <c r="G628" s="67"/>
    </row>
    <row r="629" spans="5:7" ht="13">
      <c r="E629" s="66"/>
      <c r="F629" s="67"/>
      <c r="G629" s="67"/>
    </row>
    <row r="630" spans="5:7" ht="13">
      <c r="E630" s="66"/>
      <c r="F630" s="67"/>
      <c r="G630" s="67"/>
    </row>
    <row r="631" spans="5:7" ht="13">
      <c r="E631" s="66"/>
      <c r="F631" s="67"/>
      <c r="G631" s="67"/>
    </row>
    <row r="632" spans="5:7" ht="13">
      <c r="E632" s="66"/>
      <c r="F632" s="67"/>
      <c r="G632" s="67"/>
    </row>
    <row r="633" spans="5:7" ht="13">
      <c r="E633" s="66"/>
      <c r="F633" s="67"/>
      <c r="G633" s="67"/>
    </row>
    <row r="634" spans="5:7" ht="13">
      <c r="E634" s="66"/>
      <c r="F634" s="67"/>
      <c r="G634" s="67"/>
    </row>
    <row r="635" spans="5:7" ht="13">
      <c r="E635" s="66"/>
      <c r="F635" s="67"/>
      <c r="G635" s="67"/>
    </row>
    <row r="636" spans="5:7" ht="13">
      <c r="E636" s="66"/>
      <c r="F636" s="67"/>
      <c r="G636" s="67"/>
    </row>
    <row r="637" spans="5:7" ht="13">
      <c r="E637" s="66"/>
      <c r="F637" s="67"/>
      <c r="G637" s="67"/>
    </row>
    <row r="638" spans="5:7" ht="13">
      <c r="E638" s="66"/>
      <c r="F638" s="67"/>
      <c r="G638" s="67"/>
    </row>
    <row r="639" spans="5:7" ht="13">
      <c r="E639" s="66"/>
      <c r="F639" s="67"/>
      <c r="G639" s="67"/>
    </row>
    <row r="640" spans="5:7" ht="13">
      <c r="E640" s="66"/>
      <c r="F640" s="67"/>
      <c r="G640" s="67"/>
    </row>
    <row r="641" spans="5:7" ht="13">
      <c r="E641" s="66"/>
      <c r="F641" s="67"/>
      <c r="G641" s="67"/>
    </row>
    <row r="642" spans="5:7" ht="13">
      <c r="E642" s="66"/>
      <c r="F642" s="67"/>
      <c r="G642" s="67"/>
    </row>
    <row r="643" spans="5:7" ht="13">
      <c r="E643" s="66"/>
      <c r="F643" s="67"/>
      <c r="G643" s="67"/>
    </row>
    <row r="644" spans="5:7" ht="13">
      <c r="E644" s="66"/>
      <c r="F644" s="67"/>
      <c r="G644" s="67"/>
    </row>
    <row r="645" spans="5:7" ht="13">
      <c r="E645" s="66"/>
      <c r="F645" s="67"/>
      <c r="G645" s="67"/>
    </row>
    <row r="646" spans="5:7" ht="13">
      <c r="E646" s="66"/>
      <c r="F646" s="67"/>
      <c r="G646" s="67"/>
    </row>
    <row r="647" spans="5:7" ht="13">
      <c r="E647" s="66"/>
      <c r="F647" s="67"/>
      <c r="G647" s="67"/>
    </row>
    <row r="648" spans="5:7" ht="13">
      <c r="E648" s="66"/>
      <c r="F648" s="67"/>
      <c r="G648" s="67"/>
    </row>
    <row r="649" spans="5:7" ht="13">
      <c r="E649" s="66"/>
      <c r="F649" s="67"/>
      <c r="G649" s="67"/>
    </row>
    <row r="650" spans="5:7" ht="13">
      <c r="E650" s="66"/>
      <c r="F650" s="67"/>
      <c r="G650" s="67"/>
    </row>
    <row r="651" spans="5:7" ht="13">
      <c r="E651" s="66"/>
      <c r="F651" s="67"/>
      <c r="G651" s="67"/>
    </row>
    <row r="652" spans="5:7" ht="13">
      <c r="E652" s="66"/>
      <c r="F652" s="67"/>
      <c r="G652" s="67"/>
    </row>
    <row r="653" spans="5:7" ht="13">
      <c r="E653" s="66"/>
      <c r="F653" s="67"/>
      <c r="G653" s="67"/>
    </row>
    <row r="654" spans="5:7" ht="13">
      <c r="E654" s="66"/>
      <c r="F654" s="67"/>
      <c r="G654" s="67"/>
    </row>
    <row r="655" spans="5:7" ht="13">
      <c r="E655" s="66"/>
      <c r="F655" s="67"/>
      <c r="G655" s="67"/>
    </row>
    <row r="656" spans="5:7" ht="13">
      <c r="E656" s="66"/>
      <c r="F656" s="67"/>
      <c r="G656" s="67"/>
    </row>
    <row r="657" spans="5:7" ht="13">
      <c r="E657" s="66"/>
      <c r="F657" s="67"/>
      <c r="G657" s="67"/>
    </row>
    <row r="658" spans="5:7" ht="13">
      <c r="E658" s="66"/>
      <c r="F658" s="67"/>
      <c r="G658" s="67"/>
    </row>
    <row r="659" spans="5:7" ht="13">
      <c r="E659" s="66"/>
      <c r="F659" s="67"/>
      <c r="G659" s="67"/>
    </row>
    <row r="660" spans="5:7" ht="13">
      <c r="E660" s="66"/>
      <c r="F660" s="67"/>
      <c r="G660" s="67"/>
    </row>
    <row r="661" spans="5:7" ht="13">
      <c r="E661" s="66"/>
      <c r="F661" s="67"/>
      <c r="G661" s="67"/>
    </row>
    <row r="662" spans="5:7" ht="13">
      <c r="E662" s="66"/>
      <c r="F662" s="67"/>
      <c r="G662" s="67"/>
    </row>
    <row r="663" spans="5:7" ht="13">
      <c r="E663" s="66"/>
      <c r="F663" s="67"/>
      <c r="G663" s="67"/>
    </row>
    <row r="664" spans="5:7" ht="13">
      <c r="E664" s="66"/>
      <c r="F664" s="67"/>
      <c r="G664" s="67"/>
    </row>
    <row r="665" spans="5:7" ht="13">
      <c r="E665" s="66"/>
      <c r="F665" s="67"/>
      <c r="G665" s="67"/>
    </row>
    <row r="666" spans="5:7" ht="13">
      <c r="E666" s="66"/>
      <c r="F666" s="67"/>
      <c r="G666" s="67"/>
    </row>
    <row r="667" spans="5:7" ht="13">
      <c r="E667" s="66"/>
      <c r="F667" s="67"/>
      <c r="G667" s="67"/>
    </row>
    <row r="668" spans="5:7" ht="13">
      <c r="E668" s="66"/>
      <c r="F668" s="67"/>
      <c r="G668" s="67"/>
    </row>
    <row r="669" spans="5:7" ht="13">
      <c r="E669" s="66"/>
      <c r="F669" s="67"/>
      <c r="G669" s="67"/>
    </row>
    <row r="670" spans="5:7" ht="13">
      <c r="E670" s="66"/>
      <c r="F670" s="67"/>
      <c r="G670" s="67"/>
    </row>
    <row r="671" spans="5:7" ht="13">
      <c r="E671" s="66"/>
      <c r="F671" s="67"/>
      <c r="G671" s="67"/>
    </row>
    <row r="672" spans="5:7" ht="13">
      <c r="E672" s="66"/>
      <c r="F672" s="67"/>
      <c r="G672" s="67"/>
    </row>
    <row r="673" spans="5:7" ht="13">
      <c r="E673" s="66"/>
      <c r="F673" s="67"/>
      <c r="G673" s="67"/>
    </row>
    <row r="674" spans="5:7" ht="13">
      <c r="E674" s="66"/>
      <c r="F674" s="67"/>
      <c r="G674" s="67"/>
    </row>
    <row r="675" spans="5:7" ht="13">
      <c r="E675" s="66"/>
      <c r="F675" s="67"/>
      <c r="G675" s="67"/>
    </row>
    <row r="676" spans="5:7" ht="13">
      <c r="E676" s="66"/>
      <c r="F676" s="67"/>
      <c r="G676" s="67"/>
    </row>
    <row r="677" spans="5:7" ht="13">
      <c r="E677" s="66"/>
      <c r="F677" s="67"/>
      <c r="G677" s="67"/>
    </row>
    <row r="678" spans="5:7" ht="13">
      <c r="E678" s="66"/>
      <c r="F678" s="67"/>
      <c r="G678" s="67"/>
    </row>
    <row r="679" spans="5:7" ht="13">
      <c r="E679" s="66"/>
      <c r="F679" s="67"/>
      <c r="G679" s="67"/>
    </row>
    <row r="680" spans="5:7" ht="13">
      <c r="E680" s="66"/>
      <c r="F680" s="67"/>
      <c r="G680" s="67"/>
    </row>
    <row r="681" spans="5:7" ht="13">
      <c r="E681" s="66"/>
      <c r="F681" s="67"/>
      <c r="G681" s="67"/>
    </row>
    <row r="682" spans="5:7" ht="13">
      <c r="E682" s="66"/>
      <c r="F682" s="67"/>
      <c r="G682" s="67"/>
    </row>
    <row r="683" spans="5:7" ht="13">
      <c r="E683" s="66"/>
      <c r="F683" s="67"/>
      <c r="G683" s="67"/>
    </row>
    <row r="684" spans="5:7" ht="13">
      <c r="E684" s="66"/>
      <c r="F684" s="67"/>
      <c r="G684" s="67"/>
    </row>
    <row r="685" spans="5:7" ht="13">
      <c r="E685" s="66"/>
      <c r="F685" s="67"/>
      <c r="G685" s="67"/>
    </row>
    <row r="686" spans="5:7" ht="13">
      <c r="E686" s="66"/>
      <c r="F686" s="67"/>
      <c r="G686" s="67"/>
    </row>
    <row r="687" spans="5:7" ht="13">
      <c r="E687" s="66"/>
      <c r="F687" s="67"/>
      <c r="G687" s="67"/>
    </row>
    <row r="688" spans="5:7" ht="13">
      <c r="E688" s="66"/>
      <c r="F688" s="67"/>
      <c r="G688" s="67"/>
    </row>
    <row r="689" spans="5:7" ht="13">
      <c r="E689" s="66"/>
      <c r="F689" s="67"/>
      <c r="G689" s="67"/>
    </row>
    <row r="690" spans="5:7" ht="13">
      <c r="E690" s="66"/>
      <c r="F690" s="67"/>
      <c r="G690" s="67"/>
    </row>
    <row r="691" spans="5:7" ht="13">
      <c r="E691" s="66"/>
      <c r="F691" s="67"/>
      <c r="G691" s="67"/>
    </row>
    <row r="692" spans="5:7" ht="13">
      <c r="E692" s="66"/>
      <c r="F692" s="67"/>
      <c r="G692" s="67"/>
    </row>
    <row r="693" spans="5:7" ht="13">
      <c r="E693" s="66"/>
      <c r="F693" s="67"/>
      <c r="G693" s="67"/>
    </row>
    <row r="694" spans="5:7" ht="13">
      <c r="E694" s="66"/>
      <c r="F694" s="67"/>
      <c r="G694" s="67"/>
    </row>
    <row r="695" spans="5:7" ht="13">
      <c r="E695" s="66"/>
      <c r="F695" s="67"/>
      <c r="G695" s="67"/>
    </row>
    <row r="696" spans="5:7" ht="13">
      <c r="E696" s="66"/>
      <c r="F696" s="67"/>
      <c r="G696" s="67"/>
    </row>
    <row r="697" spans="5:7" ht="13">
      <c r="E697" s="66"/>
      <c r="F697" s="67"/>
      <c r="G697" s="67"/>
    </row>
    <row r="698" spans="5:7" ht="13">
      <c r="E698" s="66"/>
      <c r="F698" s="67"/>
      <c r="G698" s="67"/>
    </row>
    <row r="699" spans="5:7" ht="13">
      <c r="E699" s="66"/>
      <c r="F699" s="67"/>
      <c r="G699" s="67"/>
    </row>
    <row r="700" spans="5:7" ht="13">
      <c r="E700" s="66"/>
      <c r="F700" s="67"/>
      <c r="G700" s="67"/>
    </row>
    <row r="701" spans="5:7" ht="13">
      <c r="E701" s="66"/>
      <c r="F701" s="67"/>
      <c r="G701" s="67"/>
    </row>
    <row r="702" spans="5:7" ht="13">
      <c r="E702" s="66"/>
      <c r="F702" s="67"/>
      <c r="G702" s="67"/>
    </row>
    <row r="703" spans="5:7" ht="13">
      <c r="E703" s="66"/>
      <c r="F703" s="67"/>
      <c r="G703" s="67"/>
    </row>
    <row r="704" spans="5:7" ht="13">
      <c r="E704" s="66"/>
      <c r="F704" s="67"/>
      <c r="G704" s="67"/>
    </row>
    <row r="705" spans="5:7" ht="13">
      <c r="E705" s="66"/>
      <c r="F705" s="67"/>
      <c r="G705" s="67"/>
    </row>
    <row r="706" spans="5:7" ht="13">
      <c r="E706" s="66"/>
      <c r="F706" s="67"/>
      <c r="G706" s="67"/>
    </row>
    <row r="707" spans="5:7" ht="13">
      <c r="E707" s="66"/>
      <c r="F707" s="67"/>
      <c r="G707" s="67"/>
    </row>
    <row r="708" spans="5:7" ht="13">
      <c r="E708" s="66"/>
      <c r="F708" s="67"/>
      <c r="G708" s="67"/>
    </row>
    <row r="709" spans="5:7" ht="13">
      <c r="E709" s="66"/>
      <c r="F709" s="67"/>
      <c r="G709" s="67"/>
    </row>
    <row r="710" spans="5:7" ht="13">
      <c r="E710" s="66"/>
      <c r="F710" s="67"/>
      <c r="G710" s="67"/>
    </row>
    <row r="711" spans="5:7" ht="13">
      <c r="E711" s="66"/>
      <c r="F711" s="67"/>
      <c r="G711" s="67"/>
    </row>
    <row r="712" spans="5:7" ht="13">
      <c r="E712" s="66"/>
      <c r="F712" s="67"/>
      <c r="G712" s="67"/>
    </row>
    <row r="713" spans="5:7" ht="13">
      <c r="E713" s="66"/>
      <c r="F713" s="67"/>
      <c r="G713" s="67"/>
    </row>
    <row r="714" spans="5:7" ht="13">
      <c r="E714" s="66"/>
      <c r="F714" s="67"/>
      <c r="G714" s="67"/>
    </row>
    <row r="715" spans="5:7" ht="13">
      <c r="E715" s="66"/>
      <c r="F715" s="67"/>
      <c r="G715" s="67"/>
    </row>
    <row r="716" spans="5:7" ht="13">
      <c r="E716" s="66"/>
      <c r="F716" s="67"/>
      <c r="G716" s="67"/>
    </row>
    <row r="717" spans="5:7" ht="13">
      <c r="E717" s="66"/>
      <c r="F717" s="67"/>
      <c r="G717" s="67"/>
    </row>
    <row r="718" spans="5:7" ht="13">
      <c r="E718" s="66"/>
      <c r="F718" s="67"/>
      <c r="G718" s="67"/>
    </row>
    <row r="719" spans="5:7" ht="13">
      <c r="E719" s="66"/>
      <c r="F719" s="67"/>
      <c r="G719" s="67"/>
    </row>
    <row r="720" spans="5:7" ht="13">
      <c r="E720" s="66"/>
      <c r="F720" s="67"/>
      <c r="G720" s="67"/>
    </row>
    <row r="721" spans="5:7" ht="13">
      <c r="E721" s="66"/>
      <c r="F721" s="67"/>
      <c r="G721" s="67"/>
    </row>
    <row r="722" spans="5:7" ht="13">
      <c r="E722" s="66"/>
      <c r="F722" s="67"/>
      <c r="G722" s="67"/>
    </row>
    <row r="723" spans="5:7" ht="13">
      <c r="E723" s="66"/>
      <c r="F723" s="67"/>
      <c r="G723" s="67"/>
    </row>
    <row r="724" spans="5:7" ht="13">
      <c r="E724" s="66"/>
      <c r="F724" s="67"/>
      <c r="G724" s="67"/>
    </row>
    <row r="725" spans="5:7" ht="13">
      <c r="E725" s="66"/>
      <c r="F725" s="67"/>
      <c r="G725" s="67"/>
    </row>
    <row r="726" spans="5:7" ht="13">
      <c r="E726" s="66"/>
      <c r="F726" s="67"/>
      <c r="G726" s="67"/>
    </row>
    <row r="727" spans="5:7" ht="13">
      <c r="E727" s="66"/>
      <c r="F727" s="67"/>
      <c r="G727" s="67"/>
    </row>
    <row r="728" spans="5:7" ht="13">
      <c r="E728" s="66"/>
      <c r="F728" s="67"/>
      <c r="G728" s="67"/>
    </row>
    <row r="729" spans="5:7" ht="13">
      <c r="E729" s="66"/>
      <c r="F729" s="67"/>
      <c r="G729" s="67"/>
    </row>
    <row r="730" spans="5:7" ht="13">
      <c r="E730" s="66"/>
      <c r="F730" s="67"/>
      <c r="G730" s="67"/>
    </row>
    <row r="731" spans="5:7" ht="13">
      <c r="E731" s="66"/>
      <c r="F731" s="67"/>
      <c r="G731" s="67"/>
    </row>
    <row r="732" spans="5:7" ht="13">
      <c r="E732" s="66"/>
      <c r="F732" s="67"/>
      <c r="G732" s="67"/>
    </row>
    <row r="733" spans="5:7" ht="13">
      <c r="E733" s="66"/>
      <c r="F733" s="67"/>
      <c r="G733" s="67"/>
    </row>
    <row r="734" spans="5:7" ht="13">
      <c r="E734" s="66"/>
      <c r="F734" s="67"/>
      <c r="G734" s="67"/>
    </row>
    <row r="735" spans="5:7" ht="13">
      <c r="E735" s="66"/>
      <c r="F735" s="67"/>
      <c r="G735" s="67"/>
    </row>
    <row r="736" spans="5:7" ht="13">
      <c r="E736" s="66"/>
      <c r="F736" s="67"/>
      <c r="G736" s="67"/>
    </row>
    <row r="737" spans="5:7" ht="13">
      <c r="E737" s="66"/>
      <c r="F737" s="67"/>
      <c r="G737" s="67"/>
    </row>
    <row r="738" spans="5:7" ht="13">
      <c r="E738" s="66"/>
      <c r="F738" s="67"/>
      <c r="G738" s="67"/>
    </row>
    <row r="739" spans="5:7" ht="13">
      <c r="E739" s="66"/>
      <c r="F739" s="67"/>
      <c r="G739" s="67"/>
    </row>
    <row r="740" spans="5:7" ht="13">
      <c r="E740" s="66"/>
      <c r="F740" s="67"/>
      <c r="G740" s="67"/>
    </row>
    <row r="741" spans="5:7" ht="13">
      <c r="E741" s="66"/>
      <c r="F741" s="67"/>
      <c r="G741" s="67"/>
    </row>
    <row r="742" spans="5:7" ht="13">
      <c r="E742" s="66"/>
      <c r="F742" s="67"/>
      <c r="G742" s="67"/>
    </row>
    <row r="743" spans="5:7" ht="13">
      <c r="E743" s="66"/>
      <c r="F743" s="67"/>
      <c r="G743" s="67"/>
    </row>
    <row r="744" spans="5:7" ht="13">
      <c r="E744" s="66"/>
      <c r="F744" s="67"/>
      <c r="G744" s="67"/>
    </row>
    <row r="745" spans="5:7" ht="13">
      <c r="E745" s="66"/>
      <c r="F745" s="67"/>
      <c r="G745" s="67"/>
    </row>
    <row r="746" spans="5:7" ht="13">
      <c r="E746" s="66"/>
      <c r="F746" s="67"/>
      <c r="G746" s="67"/>
    </row>
    <row r="747" spans="5:7" ht="13">
      <c r="E747" s="66"/>
      <c r="F747" s="67"/>
      <c r="G747" s="67"/>
    </row>
    <row r="748" spans="5:7" ht="13">
      <c r="E748" s="66"/>
      <c r="F748" s="67"/>
      <c r="G748" s="67"/>
    </row>
    <row r="749" spans="5:7" ht="13">
      <c r="E749" s="66"/>
      <c r="F749" s="67"/>
      <c r="G749" s="67"/>
    </row>
    <row r="750" spans="5:7" ht="13">
      <c r="E750" s="66"/>
      <c r="F750" s="67"/>
      <c r="G750" s="67"/>
    </row>
    <row r="751" spans="5:7" ht="13">
      <c r="E751" s="66"/>
      <c r="F751" s="67"/>
      <c r="G751" s="67"/>
    </row>
    <row r="752" spans="5:7" ht="13">
      <c r="E752" s="66"/>
      <c r="F752" s="67"/>
      <c r="G752" s="67"/>
    </row>
    <row r="753" spans="5:7" ht="13">
      <c r="E753" s="66"/>
      <c r="F753" s="67"/>
      <c r="G753" s="67"/>
    </row>
    <row r="754" spans="5:7" ht="13">
      <c r="E754" s="66"/>
      <c r="F754" s="67"/>
      <c r="G754" s="67"/>
    </row>
    <row r="755" spans="5:7" ht="13">
      <c r="E755" s="66"/>
      <c r="F755" s="67"/>
      <c r="G755" s="67"/>
    </row>
    <row r="756" spans="5:7" ht="13">
      <c r="E756" s="66"/>
      <c r="F756" s="67"/>
      <c r="G756" s="67"/>
    </row>
    <row r="757" spans="5:7" ht="13">
      <c r="E757" s="66"/>
      <c r="F757" s="67"/>
      <c r="G757" s="67"/>
    </row>
    <row r="758" spans="5:7" ht="13">
      <c r="E758" s="66"/>
      <c r="F758" s="67"/>
      <c r="G758" s="67"/>
    </row>
    <row r="759" spans="5:7" ht="13">
      <c r="E759" s="66"/>
      <c r="F759" s="67"/>
      <c r="G759" s="67"/>
    </row>
    <row r="760" spans="5:7" ht="13">
      <c r="E760" s="66"/>
      <c r="F760" s="67"/>
      <c r="G760" s="67"/>
    </row>
    <row r="761" spans="5:7" ht="13">
      <c r="E761" s="66"/>
      <c r="F761" s="67"/>
      <c r="G761" s="67"/>
    </row>
    <row r="762" spans="5:7" ht="13">
      <c r="E762" s="66"/>
      <c r="F762" s="67"/>
      <c r="G762" s="67"/>
    </row>
    <row r="763" spans="5:7" ht="13">
      <c r="E763" s="66"/>
      <c r="F763" s="67"/>
      <c r="G763" s="67"/>
    </row>
    <row r="764" spans="5:7" ht="13">
      <c r="E764" s="66"/>
      <c r="F764" s="67"/>
      <c r="G764" s="67"/>
    </row>
    <row r="765" spans="5:7" ht="13">
      <c r="E765" s="66"/>
      <c r="F765" s="67"/>
      <c r="G765" s="67"/>
    </row>
    <row r="766" spans="5:7" ht="13">
      <c r="E766" s="66"/>
      <c r="F766" s="67"/>
      <c r="G766" s="67"/>
    </row>
    <row r="767" spans="5:7" ht="13">
      <c r="E767" s="66"/>
      <c r="F767" s="67"/>
      <c r="G767" s="67"/>
    </row>
    <row r="768" spans="5:7" ht="13">
      <c r="E768" s="66"/>
      <c r="F768" s="67"/>
      <c r="G768" s="67"/>
    </row>
    <row r="769" spans="5:7" ht="13">
      <c r="E769" s="66"/>
      <c r="F769" s="67"/>
      <c r="G769" s="67"/>
    </row>
    <row r="770" spans="5:7" ht="13">
      <c r="E770" s="66"/>
      <c r="F770" s="67"/>
      <c r="G770" s="67"/>
    </row>
    <row r="771" spans="5:7" ht="13">
      <c r="E771" s="66"/>
      <c r="F771" s="67"/>
      <c r="G771" s="67"/>
    </row>
    <row r="772" spans="5:7" ht="13">
      <c r="E772" s="66"/>
      <c r="F772" s="67"/>
      <c r="G772" s="67"/>
    </row>
    <row r="773" spans="5:7" ht="13">
      <c r="E773" s="66"/>
      <c r="F773" s="67"/>
      <c r="G773" s="67"/>
    </row>
    <row r="774" spans="5:7" ht="13">
      <c r="E774" s="66"/>
      <c r="F774" s="67"/>
      <c r="G774" s="67"/>
    </row>
    <row r="775" spans="5:7" ht="13">
      <c r="E775" s="66"/>
      <c r="F775" s="67"/>
      <c r="G775" s="67"/>
    </row>
    <row r="776" spans="5:7" ht="13">
      <c r="E776" s="66"/>
      <c r="F776" s="67"/>
      <c r="G776" s="67"/>
    </row>
    <row r="777" spans="5:7" ht="13">
      <c r="E777" s="66"/>
      <c r="F777" s="67"/>
      <c r="G777" s="67"/>
    </row>
    <row r="778" spans="5:7" ht="13">
      <c r="E778" s="66"/>
      <c r="F778" s="67"/>
      <c r="G778" s="67"/>
    </row>
    <row r="779" spans="5:7" ht="13">
      <c r="E779" s="66"/>
      <c r="F779" s="67"/>
      <c r="G779" s="67"/>
    </row>
    <row r="780" spans="5:7" ht="13">
      <c r="E780" s="66"/>
      <c r="F780" s="67"/>
      <c r="G780" s="67"/>
    </row>
    <row r="781" spans="5:7" ht="13">
      <c r="E781" s="66"/>
      <c r="F781" s="67"/>
      <c r="G781" s="67"/>
    </row>
    <row r="782" spans="5:7" ht="13">
      <c r="E782" s="66"/>
      <c r="F782" s="67"/>
      <c r="G782" s="67"/>
    </row>
    <row r="783" spans="5:7" ht="13">
      <c r="E783" s="66"/>
      <c r="F783" s="67"/>
      <c r="G783" s="67"/>
    </row>
    <row r="784" spans="5:7" ht="13">
      <c r="E784" s="66"/>
      <c r="F784" s="67"/>
      <c r="G784" s="67"/>
    </row>
    <row r="785" spans="5:7" ht="13">
      <c r="E785" s="66"/>
      <c r="F785" s="67"/>
      <c r="G785" s="67"/>
    </row>
    <row r="786" spans="5:7" ht="13">
      <c r="E786" s="66"/>
      <c r="F786" s="67"/>
      <c r="G786" s="67"/>
    </row>
    <row r="787" spans="5:7" ht="13">
      <c r="E787" s="66"/>
      <c r="F787" s="67"/>
      <c r="G787" s="67"/>
    </row>
    <row r="788" spans="5:7" ht="13">
      <c r="E788" s="66"/>
      <c r="F788" s="67"/>
      <c r="G788" s="67"/>
    </row>
    <row r="789" spans="5:7" ht="13">
      <c r="E789" s="66"/>
      <c r="F789" s="67"/>
      <c r="G789" s="67"/>
    </row>
    <row r="790" spans="5:7" ht="13">
      <c r="E790" s="66"/>
      <c r="F790" s="67"/>
      <c r="G790" s="67"/>
    </row>
    <row r="791" spans="5:7" ht="13">
      <c r="E791" s="66"/>
      <c r="F791" s="67"/>
      <c r="G791" s="67"/>
    </row>
    <row r="792" spans="5:7" ht="13">
      <c r="E792" s="66"/>
      <c r="F792" s="67"/>
      <c r="G792" s="67"/>
    </row>
    <row r="793" spans="5:7" ht="13">
      <c r="E793" s="66"/>
      <c r="F793" s="67"/>
      <c r="G793" s="67"/>
    </row>
    <row r="794" spans="5:7" ht="13">
      <c r="E794" s="66"/>
      <c r="F794" s="67"/>
      <c r="G794" s="67"/>
    </row>
    <row r="795" spans="5:7" ht="13">
      <c r="E795" s="66"/>
      <c r="F795" s="67"/>
      <c r="G795" s="67"/>
    </row>
    <row r="796" spans="5:7" ht="13">
      <c r="E796" s="66"/>
      <c r="F796" s="67"/>
      <c r="G796" s="67"/>
    </row>
    <row r="797" spans="5:7" ht="13">
      <c r="E797" s="66"/>
      <c r="F797" s="67"/>
      <c r="G797" s="67"/>
    </row>
    <row r="798" spans="5:7" ht="13">
      <c r="E798" s="66"/>
      <c r="F798" s="67"/>
      <c r="G798" s="67"/>
    </row>
    <row r="799" spans="5:7" ht="13">
      <c r="E799" s="66"/>
      <c r="F799" s="67"/>
      <c r="G799" s="67"/>
    </row>
    <row r="800" spans="5:7" ht="13">
      <c r="E800" s="66"/>
      <c r="F800" s="67"/>
      <c r="G800" s="67"/>
    </row>
    <row r="801" spans="5:7" ht="13">
      <c r="E801" s="66"/>
      <c r="F801" s="67"/>
      <c r="G801" s="67"/>
    </row>
    <row r="802" spans="5:7" ht="13">
      <c r="E802" s="66"/>
      <c r="F802" s="67"/>
      <c r="G802" s="67"/>
    </row>
    <row r="803" spans="5:7" ht="13">
      <c r="E803" s="66"/>
      <c r="F803" s="67"/>
      <c r="G803" s="67"/>
    </row>
    <row r="804" spans="5:7" ht="13">
      <c r="E804" s="66"/>
      <c r="F804" s="67"/>
      <c r="G804" s="67"/>
    </row>
    <row r="805" spans="5:7" ht="13">
      <c r="E805" s="66"/>
      <c r="F805" s="67"/>
      <c r="G805" s="67"/>
    </row>
    <row r="806" spans="5:7" ht="13">
      <c r="E806" s="66"/>
      <c r="F806" s="67"/>
      <c r="G806" s="67"/>
    </row>
    <row r="807" spans="5:7" ht="13">
      <c r="E807" s="66"/>
      <c r="F807" s="67"/>
      <c r="G807" s="67"/>
    </row>
    <row r="808" spans="5:7" ht="13">
      <c r="E808" s="66"/>
      <c r="F808" s="67"/>
      <c r="G808" s="67"/>
    </row>
    <row r="809" spans="5:7" ht="13">
      <c r="E809" s="66"/>
      <c r="F809" s="67"/>
      <c r="G809" s="67"/>
    </row>
    <row r="810" spans="5:7" ht="13">
      <c r="E810" s="66"/>
      <c r="F810" s="67"/>
      <c r="G810" s="67"/>
    </row>
    <row r="811" spans="5:7" ht="13">
      <c r="E811" s="66"/>
      <c r="F811" s="67"/>
      <c r="G811" s="67"/>
    </row>
    <row r="812" spans="5:7" ht="13">
      <c r="E812" s="66"/>
      <c r="F812" s="67"/>
      <c r="G812" s="67"/>
    </row>
    <row r="813" spans="5:7" ht="13">
      <c r="E813" s="66"/>
      <c r="F813" s="67"/>
      <c r="G813" s="67"/>
    </row>
    <row r="814" spans="5:7" ht="13">
      <c r="E814" s="66"/>
      <c r="F814" s="67"/>
      <c r="G814" s="67"/>
    </row>
    <row r="815" spans="5:7" ht="13">
      <c r="E815" s="66"/>
      <c r="F815" s="67"/>
      <c r="G815" s="67"/>
    </row>
    <row r="816" spans="5:7" ht="13">
      <c r="E816" s="66"/>
      <c r="F816" s="67"/>
      <c r="G816" s="67"/>
    </row>
    <row r="817" spans="5:7" ht="13">
      <c r="E817" s="66"/>
      <c r="F817" s="67"/>
      <c r="G817" s="67"/>
    </row>
    <row r="818" spans="5:7" ht="13">
      <c r="E818" s="66"/>
      <c r="F818" s="67"/>
      <c r="G818" s="67"/>
    </row>
    <row r="819" spans="5:7" ht="13">
      <c r="E819" s="66"/>
      <c r="F819" s="67"/>
      <c r="G819" s="67"/>
    </row>
    <row r="820" spans="5:7" ht="13">
      <c r="E820" s="66"/>
      <c r="F820" s="67"/>
      <c r="G820" s="67"/>
    </row>
    <row r="821" spans="5:7" ht="13">
      <c r="E821" s="66"/>
      <c r="F821" s="67"/>
      <c r="G821" s="67"/>
    </row>
    <row r="822" spans="5:7" ht="13">
      <c r="E822" s="66"/>
      <c r="F822" s="67"/>
      <c r="G822" s="67"/>
    </row>
    <row r="823" spans="5:7" ht="13">
      <c r="E823" s="66"/>
      <c r="F823" s="67"/>
      <c r="G823" s="67"/>
    </row>
    <row r="824" spans="5:7" ht="13">
      <c r="E824" s="66"/>
      <c r="F824" s="67"/>
      <c r="G824" s="67"/>
    </row>
    <row r="825" spans="5:7" ht="13">
      <c r="E825" s="66"/>
      <c r="F825" s="67"/>
      <c r="G825" s="67"/>
    </row>
    <row r="826" spans="5:7" ht="13">
      <c r="E826" s="66"/>
      <c r="F826" s="67"/>
      <c r="G826" s="67"/>
    </row>
    <row r="827" spans="5:7" ht="13">
      <c r="E827" s="66"/>
      <c r="F827" s="67"/>
      <c r="G827" s="67"/>
    </row>
    <row r="828" spans="5:7" ht="13">
      <c r="E828" s="66"/>
      <c r="F828" s="67"/>
      <c r="G828" s="67"/>
    </row>
    <row r="829" spans="5:7" ht="13">
      <c r="E829" s="66"/>
      <c r="F829" s="67"/>
      <c r="G829" s="67"/>
    </row>
    <row r="830" spans="5:7" ht="13">
      <c r="E830" s="66"/>
      <c r="F830" s="67"/>
      <c r="G830" s="67"/>
    </row>
    <row r="831" spans="5:7" ht="13">
      <c r="E831" s="66"/>
      <c r="F831" s="67"/>
      <c r="G831" s="67"/>
    </row>
    <row r="832" spans="5:7" ht="13">
      <c r="E832" s="66"/>
      <c r="F832" s="67"/>
      <c r="G832" s="67"/>
    </row>
    <row r="833" spans="5:7" ht="13">
      <c r="E833" s="66"/>
      <c r="F833" s="67"/>
      <c r="G833" s="67"/>
    </row>
    <row r="834" spans="5:7" ht="13">
      <c r="E834" s="66"/>
      <c r="F834" s="67"/>
      <c r="G834" s="67"/>
    </row>
    <row r="835" spans="5:7" ht="13">
      <c r="E835" s="66"/>
      <c r="F835" s="67"/>
      <c r="G835" s="67"/>
    </row>
    <row r="836" spans="5:7" ht="13">
      <c r="E836" s="66"/>
      <c r="F836" s="67"/>
      <c r="G836" s="67"/>
    </row>
    <row r="837" spans="5:7" ht="13">
      <c r="E837" s="66"/>
      <c r="F837" s="67"/>
      <c r="G837" s="67"/>
    </row>
    <row r="838" spans="5:7" ht="13">
      <c r="E838" s="66"/>
      <c r="F838" s="67"/>
      <c r="G838" s="67"/>
    </row>
    <row r="839" spans="5:7" ht="13">
      <c r="E839" s="66"/>
      <c r="F839" s="67"/>
      <c r="G839" s="67"/>
    </row>
    <row r="840" spans="5:7" ht="13">
      <c r="E840" s="66"/>
      <c r="F840" s="67"/>
      <c r="G840" s="67"/>
    </row>
    <row r="841" spans="5:7" ht="13">
      <c r="E841" s="66"/>
      <c r="F841" s="67"/>
      <c r="G841" s="67"/>
    </row>
    <row r="842" spans="5:7" ht="13">
      <c r="E842" s="66"/>
      <c r="F842" s="67"/>
      <c r="G842" s="67"/>
    </row>
    <row r="843" spans="5:7" ht="13">
      <c r="E843" s="66"/>
      <c r="F843" s="67"/>
      <c r="G843" s="67"/>
    </row>
    <row r="844" spans="5:7" ht="13">
      <c r="E844" s="66"/>
      <c r="F844" s="67"/>
      <c r="G844" s="67"/>
    </row>
    <row r="845" spans="5:7" ht="13">
      <c r="E845" s="66"/>
      <c r="F845" s="67"/>
      <c r="G845" s="67"/>
    </row>
    <row r="846" spans="5:7" ht="13">
      <c r="E846" s="66"/>
      <c r="F846" s="67"/>
      <c r="G846" s="67"/>
    </row>
    <row r="847" spans="5:7" ht="13">
      <c r="E847" s="66"/>
      <c r="F847" s="67"/>
      <c r="G847" s="67"/>
    </row>
    <row r="848" spans="5:7" ht="13">
      <c r="E848" s="66"/>
      <c r="F848" s="67"/>
      <c r="G848" s="67"/>
    </row>
    <row r="849" spans="5:7" ht="13">
      <c r="E849" s="66"/>
      <c r="F849" s="67"/>
      <c r="G849" s="67"/>
    </row>
    <row r="850" spans="5:7" ht="13">
      <c r="E850" s="66"/>
      <c r="F850" s="67"/>
      <c r="G850" s="67"/>
    </row>
    <row r="851" spans="5:7" ht="13">
      <c r="E851" s="66"/>
      <c r="F851" s="67"/>
      <c r="G851" s="67"/>
    </row>
    <row r="852" spans="5:7" ht="13">
      <c r="E852" s="66"/>
      <c r="F852" s="67"/>
      <c r="G852" s="67"/>
    </row>
    <row r="853" spans="5:7" ht="13">
      <c r="E853" s="66"/>
      <c r="F853" s="67"/>
      <c r="G853" s="67"/>
    </row>
    <row r="854" spans="5:7" ht="13">
      <c r="E854" s="66"/>
      <c r="F854" s="67"/>
      <c r="G854" s="67"/>
    </row>
    <row r="855" spans="5:7" ht="13">
      <c r="E855" s="66"/>
      <c r="F855" s="67"/>
      <c r="G855" s="67"/>
    </row>
    <row r="856" spans="5:7" ht="13">
      <c r="E856" s="66"/>
      <c r="F856" s="67"/>
      <c r="G856" s="67"/>
    </row>
    <row r="857" spans="5:7" ht="13">
      <c r="E857" s="66"/>
      <c r="F857" s="67"/>
      <c r="G857" s="67"/>
    </row>
    <row r="858" spans="5:7" ht="13">
      <c r="E858" s="66"/>
      <c r="F858" s="67"/>
      <c r="G858" s="67"/>
    </row>
    <row r="859" spans="5:7" ht="13">
      <c r="E859" s="66"/>
      <c r="F859" s="67"/>
      <c r="G859" s="67"/>
    </row>
    <row r="860" spans="5:7" ht="13">
      <c r="E860" s="66"/>
      <c r="F860" s="67"/>
      <c r="G860" s="67"/>
    </row>
    <row r="861" spans="5:7" ht="13">
      <c r="E861" s="66"/>
      <c r="F861" s="67"/>
      <c r="G861" s="67"/>
    </row>
    <row r="862" spans="5:7" ht="13">
      <c r="E862" s="66"/>
      <c r="F862" s="67"/>
      <c r="G862" s="67"/>
    </row>
    <row r="863" spans="5:7" ht="13">
      <c r="E863" s="66"/>
      <c r="F863" s="67"/>
      <c r="G863" s="67"/>
    </row>
    <row r="864" spans="5:7" ht="13">
      <c r="E864" s="66"/>
      <c r="F864" s="67"/>
      <c r="G864" s="67"/>
    </row>
    <row r="865" spans="5:7" ht="13">
      <c r="E865" s="66"/>
      <c r="F865" s="67"/>
      <c r="G865" s="67"/>
    </row>
    <row r="866" spans="5:7" ht="13">
      <c r="E866" s="66"/>
      <c r="F866" s="67"/>
      <c r="G866" s="67"/>
    </row>
    <row r="867" spans="5:7" ht="13">
      <c r="E867" s="66"/>
      <c r="F867" s="67"/>
      <c r="G867" s="67"/>
    </row>
    <row r="868" spans="5:7" ht="13">
      <c r="E868" s="66"/>
      <c r="F868" s="67"/>
      <c r="G868" s="67"/>
    </row>
    <row r="869" spans="5:7" ht="13">
      <c r="E869" s="66"/>
      <c r="F869" s="67"/>
      <c r="G869" s="67"/>
    </row>
    <row r="870" spans="5:7" ht="13">
      <c r="E870" s="66"/>
      <c r="F870" s="67"/>
      <c r="G870" s="67"/>
    </row>
    <row r="871" spans="5:7" ht="13">
      <c r="E871" s="66"/>
      <c r="F871" s="67"/>
      <c r="G871" s="67"/>
    </row>
    <row r="872" spans="5:7" ht="13">
      <c r="E872" s="66"/>
      <c r="F872" s="67"/>
      <c r="G872" s="67"/>
    </row>
    <row r="873" spans="5:7" ht="13">
      <c r="E873" s="66"/>
      <c r="F873" s="67"/>
      <c r="G873" s="67"/>
    </row>
    <row r="874" spans="5:7" ht="13">
      <c r="E874" s="66"/>
      <c r="F874" s="67"/>
      <c r="G874" s="67"/>
    </row>
    <row r="875" spans="5:7" ht="13">
      <c r="E875" s="66"/>
      <c r="F875" s="67"/>
      <c r="G875" s="67"/>
    </row>
    <row r="876" spans="5:7" ht="13">
      <c r="E876" s="66"/>
      <c r="F876" s="67"/>
      <c r="G876" s="67"/>
    </row>
    <row r="877" spans="5:7" ht="13">
      <c r="E877" s="66"/>
      <c r="F877" s="67"/>
      <c r="G877" s="67"/>
    </row>
    <row r="878" spans="5:7" ht="13">
      <c r="E878" s="66"/>
      <c r="F878" s="67"/>
      <c r="G878" s="67"/>
    </row>
    <row r="879" spans="5:7" ht="13">
      <c r="E879" s="66"/>
      <c r="F879" s="67"/>
      <c r="G879" s="67"/>
    </row>
    <row r="880" spans="5:7" ht="13">
      <c r="E880" s="66"/>
      <c r="F880" s="67"/>
      <c r="G880" s="67"/>
    </row>
    <row r="881" spans="5:7" ht="13">
      <c r="E881" s="66"/>
      <c r="F881" s="67"/>
      <c r="G881" s="67"/>
    </row>
    <row r="882" spans="5:7" ht="13">
      <c r="E882" s="66"/>
      <c r="F882" s="67"/>
      <c r="G882" s="67"/>
    </row>
    <row r="883" spans="5:7" ht="13">
      <c r="E883" s="66"/>
      <c r="F883" s="67"/>
      <c r="G883" s="67"/>
    </row>
    <row r="884" spans="5:7" ht="13">
      <c r="E884" s="66"/>
      <c r="F884" s="67"/>
      <c r="G884" s="67"/>
    </row>
    <row r="885" spans="5:7" ht="13">
      <c r="E885" s="66"/>
      <c r="F885" s="67"/>
      <c r="G885" s="67"/>
    </row>
    <row r="886" spans="5:7" ht="13">
      <c r="E886" s="66"/>
      <c r="F886" s="67"/>
      <c r="G886" s="67"/>
    </row>
    <row r="887" spans="5:7" ht="13">
      <c r="E887" s="66"/>
      <c r="F887" s="67"/>
      <c r="G887" s="67"/>
    </row>
    <row r="888" spans="5:7" ht="13">
      <c r="E888" s="66"/>
      <c r="F888" s="67"/>
      <c r="G888" s="67"/>
    </row>
    <row r="889" spans="5:7" ht="13">
      <c r="E889" s="66"/>
      <c r="F889" s="67"/>
      <c r="G889" s="67"/>
    </row>
    <row r="890" spans="5:7" ht="13">
      <c r="E890" s="66"/>
      <c r="F890" s="67"/>
      <c r="G890" s="67"/>
    </row>
    <row r="891" spans="5:7" ht="13">
      <c r="E891" s="66"/>
      <c r="F891" s="67"/>
      <c r="G891" s="67"/>
    </row>
    <row r="892" spans="5:7" ht="13">
      <c r="E892" s="66"/>
      <c r="F892" s="67"/>
      <c r="G892" s="67"/>
    </row>
    <row r="893" spans="5:7" ht="13">
      <c r="E893" s="66"/>
      <c r="F893" s="67"/>
      <c r="G893" s="67"/>
    </row>
    <row r="894" spans="5:7" ht="13">
      <c r="E894" s="66"/>
      <c r="F894" s="67"/>
      <c r="G894" s="67"/>
    </row>
    <row r="895" spans="5:7" ht="13">
      <c r="E895" s="66"/>
      <c r="F895" s="67"/>
      <c r="G895" s="67"/>
    </row>
    <row r="896" spans="5:7" ht="13">
      <c r="E896" s="66"/>
      <c r="F896" s="67"/>
      <c r="G896" s="67"/>
    </row>
    <row r="897" spans="5:7" ht="13">
      <c r="E897" s="66"/>
      <c r="F897" s="67"/>
      <c r="G897" s="67"/>
    </row>
    <row r="898" spans="5:7" ht="13">
      <c r="E898" s="66"/>
      <c r="F898" s="67"/>
      <c r="G898" s="67"/>
    </row>
    <row r="899" spans="5:7" ht="13">
      <c r="E899" s="66"/>
      <c r="F899" s="67"/>
      <c r="G899" s="67"/>
    </row>
    <row r="900" spans="5:7" ht="13">
      <c r="E900" s="66"/>
      <c r="F900" s="67"/>
      <c r="G900" s="67"/>
    </row>
    <row r="901" spans="5:7" ht="13">
      <c r="E901" s="66"/>
      <c r="F901" s="67"/>
      <c r="G901" s="67"/>
    </row>
    <row r="902" spans="5:7" ht="13">
      <c r="E902" s="66"/>
      <c r="F902" s="67"/>
      <c r="G902" s="67"/>
    </row>
    <row r="903" spans="5:7" ht="13">
      <c r="E903" s="66"/>
      <c r="F903" s="67"/>
      <c r="G903" s="67"/>
    </row>
    <row r="904" spans="5:7" ht="13">
      <c r="E904" s="66"/>
      <c r="F904" s="67"/>
      <c r="G904" s="67"/>
    </row>
    <row r="905" spans="5:7" ht="13">
      <c r="E905" s="66"/>
      <c r="F905" s="67"/>
      <c r="G905" s="67"/>
    </row>
    <row r="906" spans="5:7" ht="13">
      <c r="E906" s="66"/>
      <c r="F906" s="67"/>
      <c r="G906" s="67"/>
    </row>
    <row r="907" spans="5:7" ht="13">
      <c r="E907" s="66"/>
      <c r="F907" s="67"/>
      <c r="G907" s="67"/>
    </row>
    <row r="908" spans="5:7" ht="13">
      <c r="E908" s="66"/>
      <c r="F908" s="67"/>
      <c r="G908" s="67"/>
    </row>
    <row r="909" spans="5:7" ht="13">
      <c r="E909" s="66"/>
      <c r="F909" s="67"/>
      <c r="G909" s="67"/>
    </row>
    <row r="910" spans="5:7" ht="13">
      <c r="E910" s="66"/>
      <c r="F910" s="67"/>
      <c r="G910" s="67"/>
    </row>
    <row r="911" spans="5:7" ht="13">
      <c r="E911" s="66"/>
      <c r="F911" s="67"/>
      <c r="G911" s="67"/>
    </row>
    <row r="912" spans="5:7" ht="13">
      <c r="E912" s="66"/>
      <c r="F912" s="67"/>
      <c r="G912" s="67"/>
    </row>
    <row r="913" spans="5:7" ht="13">
      <c r="E913" s="66"/>
      <c r="F913" s="67"/>
      <c r="G913" s="67"/>
    </row>
    <row r="914" spans="5:7" ht="13">
      <c r="E914" s="66"/>
      <c r="F914" s="67"/>
      <c r="G914" s="67"/>
    </row>
    <row r="915" spans="5:7" ht="13">
      <c r="E915" s="66"/>
      <c r="F915" s="67"/>
      <c r="G915" s="67"/>
    </row>
    <row r="916" spans="5:7" ht="13">
      <c r="E916" s="66"/>
      <c r="F916" s="67"/>
      <c r="G916" s="67"/>
    </row>
    <row r="917" spans="5:7" ht="13">
      <c r="E917" s="66"/>
      <c r="F917" s="67"/>
      <c r="G917" s="67"/>
    </row>
    <row r="918" spans="5:7" ht="13">
      <c r="E918" s="66"/>
      <c r="F918" s="67"/>
      <c r="G918" s="67"/>
    </row>
    <row r="919" spans="5:7" ht="13">
      <c r="E919" s="66"/>
      <c r="F919" s="67"/>
      <c r="G919" s="67"/>
    </row>
    <row r="920" spans="5:7" ht="13">
      <c r="E920" s="66"/>
      <c r="F920" s="67"/>
      <c r="G920" s="67"/>
    </row>
    <row r="921" spans="5:7" ht="13">
      <c r="E921" s="66"/>
      <c r="F921" s="67"/>
      <c r="G921" s="67"/>
    </row>
    <row r="922" spans="5:7" ht="13">
      <c r="E922" s="66"/>
      <c r="F922" s="67"/>
      <c r="G922" s="67"/>
    </row>
    <row r="923" spans="5:7" ht="13">
      <c r="E923" s="66"/>
      <c r="F923" s="67"/>
      <c r="G923" s="67"/>
    </row>
    <row r="924" spans="5:7" ht="13">
      <c r="E924" s="66"/>
      <c r="F924" s="67"/>
      <c r="G924" s="67"/>
    </row>
    <row r="925" spans="5:7" ht="13">
      <c r="E925" s="66"/>
      <c r="F925" s="67"/>
      <c r="G925" s="67"/>
    </row>
    <row r="926" spans="5:7" ht="13">
      <c r="E926" s="66"/>
      <c r="F926" s="67"/>
      <c r="G926" s="67"/>
    </row>
    <row r="927" spans="5:7" ht="13">
      <c r="E927" s="66"/>
      <c r="F927" s="67"/>
      <c r="G927" s="67"/>
    </row>
    <row r="928" spans="5:7" ht="13">
      <c r="E928" s="66"/>
      <c r="F928" s="67"/>
      <c r="G928" s="67"/>
    </row>
    <row r="929" spans="5:7" ht="13">
      <c r="E929" s="66"/>
      <c r="F929" s="67"/>
      <c r="G929" s="67"/>
    </row>
    <row r="930" spans="5:7" ht="13">
      <c r="E930" s="66"/>
      <c r="F930" s="67"/>
      <c r="G930" s="67"/>
    </row>
    <row r="931" spans="5:7" ht="13">
      <c r="E931" s="66"/>
      <c r="F931" s="67"/>
      <c r="G931" s="67"/>
    </row>
    <row r="932" spans="5:7" ht="13">
      <c r="E932" s="66"/>
      <c r="F932" s="67"/>
      <c r="G932" s="67"/>
    </row>
    <row r="933" spans="5:7" ht="13">
      <c r="E933" s="66"/>
      <c r="F933" s="67"/>
      <c r="G933" s="67"/>
    </row>
    <row r="934" spans="5:7" ht="13">
      <c r="E934" s="66"/>
      <c r="F934" s="67"/>
      <c r="G934" s="67"/>
    </row>
    <row r="935" spans="5:7" ht="13">
      <c r="E935" s="66"/>
      <c r="F935" s="67"/>
      <c r="G935" s="67"/>
    </row>
    <row r="936" spans="5:7" ht="13">
      <c r="E936" s="66"/>
      <c r="F936" s="67"/>
      <c r="G936" s="67"/>
    </row>
    <row r="937" spans="5:7" ht="13">
      <c r="E937" s="66"/>
      <c r="F937" s="67"/>
      <c r="G937" s="67"/>
    </row>
    <row r="938" spans="5:7" ht="13">
      <c r="E938" s="66"/>
      <c r="F938" s="67"/>
      <c r="G938" s="67"/>
    </row>
    <row r="939" spans="5:7" ht="13">
      <c r="E939" s="66"/>
      <c r="F939" s="67"/>
      <c r="G939" s="67"/>
    </row>
    <row r="940" spans="5:7" ht="13">
      <c r="E940" s="66"/>
      <c r="F940" s="67"/>
      <c r="G940" s="67"/>
    </row>
    <row r="941" spans="5:7" ht="13">
      <c r="E941" s="66"/>
      <c r="F941" s="67"/>
      <c r="G941" s="67"/>
    </row>
    <row r="942" spans="5:7" ht="13">
      <c r="E942" s="66"/>
      <c r="F942" s="67"/>
      <c r="G942" s="67"/>
    </row>
    <row r="943" spans="5:7" ht="13">
      <c r="E943" s="66"/>
      <c r="F943" s="67"/>
      <c r="G943" s="67"/>
    </row>
    <row r="944" spans="5:7" ht="13">
      <c r="E944" s="66"/>
      <c r="F944" s="67"/>
      <c r="G944" s="67"/>
    </row>
    <row r="945" spans="5:7" ht="13">
      <c r="E945" s="66"/>
      <c r="F945" s="67"/>
      <c r="G945" s="67"/>
    </row>
    <row r="946" spans="5:7" ht="13">
      <c r="E946" s="66"/>
      <c r="F946" s="67"/>
      <c r="G946" s="67"/>
    </row>
    <row r="947" spans="5:7" ht="13">
      <c r="E947" s="66"/>
      <c r="F947" s="67"/>
      <c r="G947" s="67"/>
    </row>
    <row r="948" spans="5:7" ht="13">
      <c r="E948" s="66"/>
      <c r="F948" s="67"/>
      <c r="G948" s="67"/>
    </row>
    <row r="949" spans="5:7" ht="13">
      <c r="E949" s="66"/>
      <c r="F949" s="67"/>
      <c r="G949" s="67"/>
    </row>
    <row r="950" spans="5:7" ht="13">
      <c r="E950" s="66"/>
      <c r="F950" s="67"/>
      <c r="G950" s="67"/>
    </row>
    <row r="951" spans="5:7" ht="13">
      <c r="E951" s="66"/>
      <c r="F951" s="67"/>
      <c r="G951" s="67"/>
    </row>
    <row r="952" spans="5:7" ht="13">
      <c r="E952" s="66"/>
      <c r="F952" s="67"/>
      <c r="G952" s="67"/>
    </row>
    <row r="953" spans="5:7" ht="13">
      <c r="E953" s="66"/>
      <c r="F953" s="67"/>
      <c r="G953" s="67"/>
    </row>
    <row r="954" spans="5:7" ht="13">
      <c r="E954" s="66"/>
      <c r="F954" s="67"/>
      <c r="G954" s="67"/>
    </row>
    <row r="955" spans="5:7" ht="13">
      <c r="E955" s="66"/>
      <c r="F955" s="67"/>
      <c r="G955" s="67"/>
    </row>
    <row r="956" spans="5:7" ht="13">
      <c r="E956" s="66"/>
      <c r="F956" s="67"/>
      <c r="G956" s="67"/>
    </row>
    <row r="957" spans="5:7" ht="13">
      <c r="E957" s="66"/>
      <c r="F957" s="67"/>
      <c r="G957" s="67"/>
    </row>
    <row r="958" spans="5:7" ht="13">
      <c r="E958" s="66"/>
      <c r="F958" s="67"/>
      <c r="G958" s="67"/>
    </row>
    <row r="959" spans="5:7" ht="13">
      <c r="E959" s="66"/>
      <c r="F959" s="67"/>
      <c r="G959" s="67"/>
    </row>
    <row r="960" spans="5:7" ht="13">
      <c r="E960" s="66"/>
      <c r="F960" s="67"/>
      <c r="G960" s="67"/>
    </row>
    <row r="961" spans="5:7" ht="13">
      <c r="E961" s="66"/>
      <c r="F961" s="67"/>
      <c r="G961" s="67"/>
    </row>
    <row r="962" spans="5:7" ht="13">
      <c r="E962" s="66"/>
      <c r="F962" s="67"/>
      <c r="G962" s="67"/>
    </row>
    <row r="963" spans="5:7" ht="13">
      <c r="E963" s="66"/>
      <c r="F963" s="67"/>
      <c r="G963" s="67"/>
    </row>
    <row r="964" spans="5:7" ht="13">
      <c r="E964" s="66"/>
      <c r="F964" s="67"/>
      <c r="G964" s="67"/>
    </row>
    <row r="965" spans="5:7" ht="13">
      <c r="E965" s="66"/>
      <c r="F965" s="67"/>
      <c r="G965" s="67"/>
    </row>
    <row r="966" spans="5:7" ht="13">
      <c r="E966" s="66"/>
      <c r="F966" s="67"/>
      <c r="G966" s="67"/>
    </row>
    <row r="967" spans="5:7" ht="13">
      <c r="E967" s="66"/>
      <c r="F967" s="67"/>
      <c r="G967" s="67"/>
    </row>
    <row r="968" spans="5:7" ht="13">
      <c r="E968" s="66"/>
      <c r="F968" s="67"/>
      <c r="G968" s="67"/>
    </row>
    <row r="969" spans="5:7" ht="13">
      <c r="E969" s="66"/>
      <c r="F969" s="67"/>
      <c r="G969" s="67"/>
    </row>
    <row r="970" spans="5:7" ht="13">
      <c r="E970" s="66"/>
      <c r="F970" s="67"/>
      <c r="G970" s="67"/>
    </row>
    <row r="971" spans="5:7" ht="13">
      <c r="E971" s="66"/>
      <c r="F971" s="67"/>
      <c r="G971" s="67"/>
    </row>
    <row r="972" spans="5:7" ht="13">
      <c r="E972" s="66"/>
      <c r="F972" s="67"/>
      <c r="G972" s="67"/>
    </row>
    <row r="973" spans="5:7" ht="13">
      <c r="E973" s="66"/>
      <c r="F973" s="67"/>
      <c r="G973" s="67"/>
    </row>
    <row r="974" spans="5:7" ht="13">
      <c r="E974" s="66"/>
      <c r="F974" s="67"/>
      <c r="G974" s="67"/>
    </row>
    <row r="975" spans="5:7" ht="13">
      <c r="E975" s="66"/>
      <c r="F975" s="67"/>
      <c r="G975" s="67"/>
    </row>
    <row r="976" spans="5:7" ht="13">
      <c r="E976" s="66"/>
      <c r="F976" s="67"/>
      <c r="G976" s="67"/>
    </row>
    <row r="977" spans="5:7" ht="13">
      <c r="E977" s="66"/>
      <c r="F977" s="67"/>
      <c r="G977" s="67"/>
    </row>
    <row r="978" spans="5:7" ht="13">
      <c r="E978" s="66"/>
      <c r="F978" s="67"/>
      <c r="G978" s="67"/>
    </row>
    <row r="979" spans="5:7" ht="13">
      <c r="E979" s="66"/>
      <c r="F979" s="67"/>
      <c r="G979" s="67"/>
    </row>
    <row r="980" spans="5:7" ht="13">
      <c r="E980" s="66"/>
      <c r="F980" s="67"/>
      <c r="G980" s="67"/>
    </row>
    <row r="981" spans="5:7" ht="13">
      <c r="E981" s="66"/>
      <c r="F981" s="67"/>
      <c r="G981" s="67"/>
    </row>
    <row r="982" spans="5:7" ht="13">
      <c r="E982" s="66"/>
      <c r="F982" s="67"/>
      <c r="G982" s="67"/>
    </row>
    <row r="983" spans="5:7" ht="13">
      <c r="E983" s="66"/>
      <c r="F983" s="67"/>
      <c r="G983" s="67"/>
    </row>
    <row r="984" spans="5:7" ht="13">
      <c r="E984" s="66"/>
      <c r="F984" s="67"/>
      <c r="G984" s="67"/>
    </row>
    <row r="985" spans="5:7" ht="13">
      <c r="E985" s="66"/>
      <c r="F985" s="67"/>
      <c r="G985" s="67"/>
    </row>
    <row r="986" spans="5:7" ht="13">
      <c r="E986" s="66"/>
      <c r="F986" s="67"/>
      <c r="G986" s="67"/>
    </row>
    <row r="987" spans="5:7" ht="13">
      <c r="E987" s="66"/>
      <c r="F987" s="67"/>
      <c r="G987" s="67"/>
    </row>
    <row r="988" spans="5:7" ht="13">
      <c r="E988" s="66"/>
      <c r="F988" s="67"/>
      <c r="G988" s="67"/>
    </row>
    <row r="989" spans="5:7" ht="13">
      <c r="E989" s="66"/>
      <c r="F989" s="67"/>
      <c r="G989" s="67"/>
    </row>
    <row r="990" spans="5:7" ht="13">
      <c r="E990" s="66"/>
      <c r="F990" s="67"/>
      <c r="G990" s="67"/>
    </row>
    <row r="991" spans="5:7" ht="13">
      <c r="E991" s="66"/>
      <c r="F991" s="67"/>
      <c r="G991" s="67"/>
    </row>
    <row r="992" spans="5:7" ht="13">
      <c r="E992" s="66"/>
      <c r="F992" s="67"/>
      <c r="G992" s="67"/>
    </row>
    <row r="993" spans="5:7" ht="13">
      <c r="E993" s="66"/>
      <c r="F993" s="67"/>
      <c r="G993" s="67"/>
    </row>
    <row r="994" spans="5:7" ht="13">
      <c r="E994" s="66"/>
      <c r="F994" s="67"/>
      <c r="G994" s="67"/>
    </row>
    <row r="995" spans="5:7" ht="13">
      <c r="E995" s="66"/>
      <c r="F995" s="67"/>
      <c r="G995" s="67"/>
    </row>
    <row r="996" spans="5:7" ht="13">
      <c r="E996" s="66"/>
      <c r="F996" s="67"/>
      <c r="G996" s="67"/>
    </row>
    <row r="997" spans="5:7" ht="13">
      <c r="E997" s="66"/>
      <c r="F997" s="67"/>
      <c r="G997" s="67"/>
    </row>
    <row r="998" spans="5:7" ht="13">
      <c r="E998" s="66"/>
      <c r="F998" s="67"/>
      <c r="G998" s="67"/>
    </row>
    <row r="999" spans="5:7" ht="13">
      <c r="E999" s="66"/>
      <c r="F999" s="67"/>
      <c r="G999" s="67"/>
    </row>
    <row r="1000" spans="5:7" ht="13">
      <c r="E1000" s="66"/>
      <c r="F1000" s="67"/>
      <c r="G1000" s="67"/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  <pageSetUpPr fitToPage="1"/>
  </sheetPr>
  <dimension ref="A1:Z1000"/>
  <sheetViews>
    <sheetView workbookViewId="0"/>
  </sheetViews>
  <sheetFormatPr baseColWidth="10" defaultColWidth="12.6640625" defaultRowHeight="15.75" customHeight="1"/>
  <cols>
    <col min="1" max="1" width="16.33203125" customWidth="1"/>
    <col min="2" max="2" width="17.5" customWidth="1"/>
    <col min="3" max="3" width="14.5" customWidth="1"/>
    <col min="4" max="5" width="8.1640625" customWidth="1"/>
    <col min="6" max="7" width="13.33203125" customWidth="1"/>
  </cols>
  <sheetData>
    <row r="1" spans="1:26" ht="34.5" customHeight="1">
      <c r="A1" s="143" t="s">
        <v>4</v>
      </c>
      <c r="B1" s="144" t="s">
        <v>1286</v>
      </c>
      <c r="D1" s="62"/>
      <c r="E1" s="63"/>
      <c r="F1" s="64"/>
      <c r="G1" s="64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</row>
    <row r="2" spans="1:26" ht="13">
      <c r="E2" s="66"/>
      <c r="F2" s="67"/>
      <c r="G2" s="67"/>
      <c r="H2" s="40"/>
      <c r="I2" s="40"/>
      <c r="J2" s="40"/>
      <c r="K2" s="40"/>
      <c r="L2" s="40"/>
    </row>
    <row r="3" spans="1:26" ht="13">
      <c r="A3" s="132" t="s">
        <v>11</v>
      </c>
      <c r="B3" s="132" t="s">
        <v>12</v>
      </c>
      <c r="C3" s="133" t="s">
        <v>616</v>
      </c>
      <c r="E3" s="66"/>
      <c r="F3" s="67"/>
      <c r="G3" s="67"/>
      <c r="H3" s="40"/>
      <c r="I3" s="40"/>
      <c r="J3" s="40"/>
      <c r="K3" s="40"/>
      <c r="L3" s="40"/>
    </row>
    <row r="4" spans="1:26" ht="13">
      <c r="A4" s="134" t="s">
        <v>23</v>
      </c>
      <c r="B4" s="134" t="s">
        <v>24</v>
      </c>
      <c r="C4" s="135">
        <v>4</v>
      </c>
      <c r="E4" s="66"/>
      <c r="F4" s="67"/>
      <c r="G4" s="67"/>
      <c r="H4" s="40"/>
      <c r="I4" s="40"/>
      <c r="J4" s="40"/>
      <c r="K4" s="40"/>
      <c r="L4" s="40"/>
    </row>
    <row r="5" spans="1:26" ht="13">
      <c r="A5" s="134" t="s">
        <v>617</v>
      </c>
      <c r="B5" s="136"/>
      <c r="C5" s="135">
        <v>4</v>
      </c>
      <c r="E5" s="66"/>
      <c r="F5" s="67"/>
      <c r="G5" s="67"/>
      <c r="H5" s="40"/>
      <c r="I5" s="40"/>
      <c r="J5" s="40"/>
      <c r="K5" s="40"/>
      <c r="L5" s="40"/>
    </row>
    <row r="6" spans="1:26" ht="13">
      <c r="A6" s="134" t="s">
        <v>28</v>
      </c>
      <c r="B6" s="134" t="s">
        <v>29</v>
      </c>
      <c r="C6" s="135">
        <v>1</v>
      </c>
      <c r="E6" s="66"/>
      <c r="F6" s="67"/>
      <c r="G6" s="67"/>
      <c r="H6" s="40"/>
      <c r="I6" s="40"/>
      <c r="J6" s="40"/>
      <c r="K6" s="40"/>
      <c r="L6" s="40"/>
    </row>
    <row r="7" spans="1:26" ht="13">
      <c r="A7" s="134" t="s">
        <v>618</v>
      </c>
      <c r="B7" s="136"/>
      <c r="C7" s="135">
        <v>1</v>
      </c>
      <c r="E7" s="66"/>
      <c r="F7" s="67"/>
      <c r="G7" s="67"/>
      <c r="H7" s="40"/>
      <c r="I7" s="40"/>
      <c r="J7" s="40"/>
      <c r="K7" s="40"/>
      <c r="L7" s="40"/>
    </row>
    <row r="8" spans="1:26" ht="13">
      <c r="A8" s="134" t="s">
        <v>32</v>
      </c>
      <c r="B8" s="134" t="s">
        <v>33</v>
      </c>
      <c r="C8" s="135">
        <v>1</v>
      </c>
      <c r="E8" s="66"/>
      <c r="F8" s="67"/>
      <c r="G8" s="67"/>
      <c r="H8" s="40"/>
      <c r="I8" s="40"/>
      <c r="J8" s="40"/>
      <c r="K8" s="40"/>
      <c r="L8" s="40"/>
    </row>
    <row r="9" spans="1:26" ht="13">
      <c r="A9" s="137"/>
      <c r="B9" s="138" t="s">
        <v>35</v>
      </c>
      <c r="C9" s="139">
        <v>1</v>
      </c>
      <c r="E9" s="66"/>
      <c r="F9" s="67"/>
      <c r="G9" s="67"/>
      <c r="H9" s="40"/>
      <c r="I9" s="40"/>
      <c r="J9" s="40"/>
      <c r="K9" s="40"/>
      <c r="L9" s="40"/>
    </row>
    <row r="10" spans="1:26" ht="13">
      <c r="A10" s="137"/>
      <c r="B10" s="138" t="s">
        <v>37</v>
      </c>
      <c r="C10" s="139">
        <v>1</v>
      </c>
      <c r="E10" s="66"/>
      <c r="F10" s="67"/>
      <c r="G10" s="67"/>
      <c r="H10" s="40"/>
      <c r="I10" s="40"/>
      <c r="J10" s="40"/>
      <c r="K10" s="40"/>
      <c r="L10" s="40"/>
    </row>
    <row r="11" spans="1:26" ht="13">
      <c r="A11" s="137"/>
      <c r="B11" s="138" t="s">
        <v>40</v>
      </c>
      <c r="C11" s="139">
        <v>1</v>
      </c>
      <c r="E11" s="66"/>
      <c r="F11" s="67"/>
      <c r="G11" s="67"/>
      <c r="H11" s="40"/>
      <c r="I11" s="40"/>
      <c r="J11" s="40"/>
      <c r="K11" s="40"/>
      <c r="L11" s="40"/>
    </row>
    <row r="12" spans="1:26" ht="13">
      <c r="A12" s="137"/>
      <c r="B12" s="138" t="s">
        <v>42</v>
      </c>
      <c r="C12" s="139"/>
      <c r="E12" s="66"/>
      <c r="F12" s="67"/>
      <c r="G12" s="67"/>
      <c r="H12" s="40"/>
      <c r="I12" s="40"/>
      <c r="J12" s="40"/>
      <c r="K12" s="40"/>
      <c r="L12" s="40"/>
    </row>
    <row r="13" spans="1:26" ht="13">
      <c r="A13" s="137"/>
      <c r="B13" s="138" t="s">
        <v>44</v>
      </c>
      <c r="C13" s="139"/>
      <c r="E13" s="66"/>
      <c r="F13" s="67"/>
      <c r="G13" s="67"/>
      <c r="H13" s="40"/>
      <c r="I13" s="40"/>
      <c r="J13" s="40"/>
      <c r="K13" s="40"/>
      <c r="L13" s="40"/>
    </row>
    <row r="14" spans="1:26" ht="13">
      <c r="A14" s="137"/>
      <c r="B14" s="138" t="s">
        <v>47</v>
      </c>
      <c r="C14" s="139"/>
      <c r="E14" s="66"/>
      <c r="F14" s="67"/>
      <c r="G14" s="67"/>
      <c r="H14" s="40"/>
      <c r="I14" s="40"/>
      <c r="J14" s="40"/>
      <c r="K14" s="40"/>
      <c r="L14" s="40"/>
    </row>
    <row r="15" spans="1:26" ht="13">
      <c r="A15" s="137"/>
      <c r="B15" s="138" t="s">
        <v>49</v>
      </c>
      <c r="C15" s="139">
        <v>1</v>
      </c>
      <c r="E15" s="66"/>
      <c r="F15" s="67"/>
      <c r="G15" s="67"/>
      <c r="H15" s="40"/>
      <c r="I15" s="40"/>
      <c r="J15" s="40"/>
      <c r="K15" s="40"/>
      <c r="L15" s="40"/>
    </row>
    <row r="16" spans="1:26" ht="13">
      <c r="A16" s="137"/>
      <c r="B16" s="138" t="s">
        <v>51</v>
      </c>
      <c r="C16" s="139">
        <v>1</v>
      </c>
      <c r="E16" s="66"/>
      <c r="F16" s="67"/>
      <c r="G16" s="67"/>
      <c r="H16" s="40"/>
      <c r="I16" s="40"/>
      <c r="J16" s="40"/>
      <c r="K16" s="40"/>
      <c r="L16" s="40"/>
    </row>
    <row r="17" spans="1:12" ht="13">
      <c r="A17" s="137"/>
      <c r="B17" s="138" t="s">
        <v>53</v>
      </c>
      <c r="C17" s="139">
        <v>1</v>
      </c>
      <c r="E17" s="66"/>
      <c r="F17" s="67"/>
      <c r="G17" s="67"/>
      <c r="H17" s="40"/>
      <c r="I17" s="40"/>
      <c r="J17" s="40"/>
      <c r="K17" s="40"/>
      <c r="L17" s="40"/>
    </row>
    <row r="18" spans="1:12" ht="13">
      <c r="A18" s="137"/>
      <c r="B18" s="138" t="s">
        <v>55</v>
      </c>
      <c r="C18" s="139">
        <v>1</v>
      </c>
      <c r="E18" s="66"/>
      <c r="F18" s="67"/>
      <c r="G18" s="67"/>
      <c r="H18" s="40"/>
      <c r="I18" s="40"/>
      <c r="J18" s="40"/>
      <c r="K18" s="40"/>
      <c r="L18" s="40"/>
    </row>
    <row r="19" spans="1:12" ht="13">
      <c r="A19" s="137"/>
      <c r="B19" s="138" t="s">
        <v>57</v>
      </c>
      <c r="C19" s="139">
        <v>1</v>
      </c>
      <c r="E19" s="66"/>
      <c r="F19" s="67"/>
      <c r="G19" s="67"/>
      <c r="H19" s="40"/>
      <c r="I19" s="40"/>
      <c r="J19" s="40"/>
      <c r="K19" s="40"/>
      <c r="L19" s="40"/>
    </row>
    <row r="20" spans="1:12" ht="13">
      <c r="A20" s="137"/>
      <c r="B20" s="138" t="s">
        <v>58</v>
      </c>
      <c r="C20" s="139">
        <v>1</v>
      </c>
      <c r="E20" s="66"/>
      <c r="F20" s="67"/>
      <c r="G20" s="67"/>
      <c r="H20" s="40"/>
      <c r="I20" s="40"/>
      <c r="J20" s="40"/>
      <c r="K20" s="40"/>
      <c r="L20" s="40"/>
    </row>
    <row r="21" spans="1:12" ht="13">
      <c r="A21" s="137"/>
      <c r="B21" s="138" t="s">
        <v>60</v>
      </c>
      <c r="C21" s="139">
        <v>1</v>
      </c>
      <c r="E21" s="66"/>
      <c r="F21" s="67"/>
      <c r="G21" s="67"/>
      <c r="H21" s="40"/>
      <c r="I21" s="40"/>
      <c r="J21" s="40"/>
      <c r="K21" s="40"/>
      <c r="L21" s="40"/>
    </row>
    <row r="22" spans="1:12" ht="13">
      <c r="A22" s="137"/>
      <c r="B22" s="138" t="s">
        <v>62</v>
      </c>
      <c r="C22" s="139">
        <v>1</v>
      </c>
      <c r="E22" s="66"/>
      <c r="F22" s="67"/>
      <c r="G22" s="67"/>
      <c r="H22" s="40"/>
      <c r="I22" s="40"/>
      <c r="J22" s="40"/>
      <c r="K22" s="40"/>
      <c r="L22" s="40"/>
    </row>
    <row r="23" spans="1:12" ht="13">
      <c r="A23" s="137"/>
      <c r="B23" s="138" t="s">
        <v>64</v>
      </c>
      <c r="C23" s="139">
        <v>1</v>
      </c>
      <c r="E23" s="66"/>
      <c r="F23" s="67"/>
      <c r="G23" s="67"/>
      <c r="H23" s="40"/>
      <c r="I23" s="40"/>
      <c r="J23" s="40"/>
      <c r="K23" s="40"/>
      <c r="L23" s="40"/>
    </row>
    <row r="24" spans="1:12" ht="13">
      <c r="A24" s="137"/>
      <c r="B24" s="138" t="s">
        <v>66</v>
      </c>
      <c r="C24" s="139">
        <v>1</v>
      </c>
      <c r="E24" s="66"/>
      <c r="F24" s="67"/>
      <c r="G24" s="67"/>
      <c r="H24" s="40"/>
      <c r="I24" s="40"/>
      <c r="J24" s="40"/>
      <c r="K24" s="40"/>
      <c r="L24" s="40"/>
    </row>
    <row r="25" spans="1:12" ht="13">
      <c r="A25" s="137"/>
      <c r="B25" s="138" t="s">
        <v>67</v>
      </c>
      <c r="C25" s="139">
        <v>1</v>
      </c>
      <c r="E25" s="66"/>
      <c r="F25" s="67"/>
      <c r="G25" s="67"/>
      <c r="H25" s="40"/>
      <c r="I25" s="40"/>
      <c r="J25" s="40"/>
      <c r="K25" s="40"/>
      <c r="L25" s="40"/>
    </row>
    <row r="26" spans="1:12" ht="13">
      <c r="A26" s="137"/>
      <c r="B26" s="138" t="s">
        <v>69</v>
      </c>
      <c r="C26" s="139">
        <v>1</v>
      </c>
      <c r="E26" s="66"/>
      <c r="F26" s="67"/>
      <c r="G26" s="67"/>
      <c r="H26" s="40"/>
      <c r="I26" s="40"/>
      <c r="J26" s="40"/>
      <c r="K26" s="40"/>
      <c r="L26" s="40"/>
    </row>
    <row r="27" spans="1:12" ht="13">
      <c r="A27" s="137"/>
      <c r="B27" s="138" t="s">
        <v>71</v>
      </c>
      <c r="C27" s="139">
        <v>1</v>
      </c>
      <c r="E27" s="66"/>
      <c r="F27" s="67"/>
      <c r="G27" s="67"/>
      <c r="H27" s="40"/>
      <c r="I27" s="40"/>
      <c r="J27" s="40"/>
      <c r="K27" s="40"/>
      <c r="L27" s="40"/>
    </row>
    <row r="28" spans="1:12" ht="13">
      <c r="A28" s="137"/>
      <c r="B28" s="138" t="s">
        <v>1284</v>
      </c>
      <c r="C28" s="139"/>
      <c r="E28" s="66"/>
      <c r="F28" s="67"/>
      <c r="G28" s="67"/>
      <c r="H28" s="40"/>
      <c r="I28" s="40"/>
      <c r="J28" s="40"/>
      <c r="K28" s="40"/>
      <c r="L28" s="40"/>
    </row>
    <row r="29" spans="1:12" ht="13">
      <c r="A29" s="134" t="s">
        <v>619</v>
      </c>
      <c r="B29" s="136"/>
      <c r="C29" s="135">
        <v>17</v>
      </c>
      <c r="E29" s="66"/>
      <c r="F29" s="67"/>
      <c r="G29" s="67"/>
      <c r="H29" s="40"/>
      <c r="I29" s="40"/>
      <c r="J29" s="40"/>
      <c r="K29" s="40"/>
      <c r="L29" s="40"/>
    </row>
    <row r="30" spans="1:12" ht="13">
      <c r="A30" s="134" t="s">
        <v>560</v>
      </c>
      <c r="B30" s="134" t="s">
        <v>568</v>
      </c>
      <c r="C30" s="135">
        <v>1</v>
      </c>
      <c r="E30" s="66"/>
      <c r="F30" s="67"/>
      <c r="G30" s="67"/>
      <c r="H30" s="40"/>
      <c r="I30" s="40"/>
      <c r="J30" s="40"/>
      <c r="K30" s="40"/>
      <c r="L30" s="40"/>
    </row>
    <row r="31" spans="1:12" ht="13">
      <c r="A31" s="137"/>
      <c r="B31" s="138" t="s">
        <v>564</v>
      </c>
      <c r="C31" s="139">
        <v>1</v>
      </c>
      <c r="E31" s="66"/>
      <c r="F31" s="67"/>
      <c r="G31" s="67"/>
      <c r="H31" s="40"/>
      <c r="I31" s="40"/>
      <c r="J31" s="40"/>
      <c r="K31" s="40"/>
      <c r="L31" s="40"/>
    </row>
    <row r="32" spans="1:12" ht="13">
      <c r="A32" s="137"/>
      <c r="B32" s="138" t="s">
        <v>561</v>
      </c>
      <c r="C32" s="139">
        <v>1</v>
      </c>
      <c r="E32" s="66"/>
      <c r="F32" s="67"/>
      <c r="G32" s="67"/>
      <c r="H32" s="40"/>
      <c r="I32" s="40"/>
      <c r="J32" s="40"/>
      <c r="K32" s="40"/>
      <c r="L32" s="40"/>
    </row>
    <row r="33" spans="1:12" ht="13">
      <c r="A33" s="134" t="s">
        <v>620</v>
      </c>
      <c r="B33" s="136"/>
      <c r="C33" s="135">
        <v>3</v>
      </c>
      <c r="E33" s="66"/>
      <c r="F33" s="67"/>
      <c r="G33" s="67"/>
    </row>
    <row r="34" spans="1:12" ht="13">
      <c r="A34" s="134" t="s">
        <v>74</v>
      </c>
      <c r="B34" s="134" t="s">
        <v>75</v>
      </c>
      <c r="C34" s="135">
        <v>1</v>
      </c>
      <c r="E34" s="66"/>
      <c r="F34" s="67"/>
      <c r="G34" s="67"/>
      <c r="H34" s="40"/>
      <c r="I34" s="40"/>
      <c r="J34" s="40"/>
      <c r="K34" s="40"/>
      <c r="L34" s="40"/>
    </row>
    <row r="35" spans="1:12" ht="13">
      <c r="A35" s="137"/>
      <c r="B35" s="138" t="s">
        <v>80</v>
      </c>
      <c r="C35" s="139">
        <v>1</v>
      </c>
      <c r="E35" s="66"/>
      <c r="F35" s="67"/>
      <c r="G35" s="67"/>
      <c r="H35" s="40"/>
      <c r="I35" s="40"/>
      <c r="J35" s="40"/>
      <c r="K35" s="40"/>
      <c r="L35" s="40"/>
    </row>
    <row r="36" spans="1:12" ht="13">
      <c r="A36" s="137"/>
      <c r="B36" s="138" t="s">
        <v>84</v>
      </c>
      <c r="C36" s="139"/>
      <c r="E36" s="66"/>
      <c r="F36" s="67"/>
      <c r="G36" s="67"/>
      <c r="H36" s="40"/>
      <c r="I36" s="40"/>
      <c r="J36" s="40"/>
      <c r="K36" s="40"/>
      <c r="L36" s="40"/>
    </row>
    <row r="37" spans="1:12" ht="13">
      <c r="A37" s="137"/>
      <c r="B37" s="138" t="s">
        <v>88</v>
      </c>
      <c r="C37" s="139"/>
      <c r="E37" s="66"/>
      <c r="F37" s="67"/>
      <c r="G37" s="67"/>
      <c r="H37" s="40"/>
      <c r="I37" s="40"/>
      <c r="J37" s="40"/>
      <c r="K37" s="40"/>
      <c r="L37" s="40"/>
    </row>
    <row r="38" spans="1:12" ht="13">
      <c r="A38" s="134" t="s">
        <v>621</v>
      </c>
      <c r="B38" s="136"/>
      <c r="C38" s="135">
        <v>2</v>
      </c>
      <c r="E38" s="66"/>
      <c r="F38" s="67"/>
      <c r="G38" s="67"/>
      <c r="H38" s="40"/>
      <c r="I38" s="40"/>
      <c r="J38" s="40"/>
      <c r="K38" s="40"/>
      <c r="L38" s="40"/>
    </row>
    <row r="39" spans="1:12" ht="13">
      <c r="A39" s="134" t="s">
        <v>91</v>
      </c>
      <c r="B39" s="134" t="s">
        <v>92</v>
      </c>
      <c r="C39" s="135">
        <v>1</v>
      </c>
      <c r="E39" s="66"/>
      <c r="F39" s="67"/>
      <c r="G39" s="67"/>
      <c r="H39" s="40"/>
      <c r="I39" s="40"/>
      <c r="J39" s="40"/>
      <c r="K39" s="40"/>
      <c r="L39" s="40"/>
    </row>
    <row r="40" spans="1:12" ht="13">
      <c r="A40" s="137"/>
      <c r="B40" s="138" t="s">
        <v>94</v>
      </c>
      <c r="C40" s="139">
        <v>1</v>
      </c>
      <c r="E40" s="66"/>
      <c r="F40" s="67"/>
      <c r="G40" s="67"/>
      <c r="H40" s="40"/>
      <c r="I40" s="40"/>
      <c r="J40" s="40"/>
      <c r="K40" s="40"/>
      <c r="L40" s="40"/>
    </row>
    <row r="41" spans="1:12" ht="13">
      <c r="A41" s="134" t="s">
        <v>622</v>
      </c>
      <c r="B41" s="136"/>
      <c r="C41" s="135">
        <v>2</v>
      </c>
      <c r="E41" s="66"/>
      <c r="F41" s="67"/>
      <c r="G41" s="67"/>
      <c r="H41" s="40"/>
      <c r="I41" s="40"/>
      <c r="J41" s="40"/>
      <c r="K41" s="40"/>
      <c r="L41" s="40"/>
    </row>
    <row r="42" spans="1:12" ht="13">
      <c r="A42" s="134" t="s">
        <v>97</v>
      </c>
      <c r="B42" s="134" t="s">
        <v>98</v>
      </c>
      <c r="C42" s="135">
        <v>1</v>
      </c>
      <c r="E42" s="66"/>
      <c r="F42" s="67"/>
      <c r="G42" s="67"/>
      <c r="H42" s="40"/>
      <c r="I42" s="40"/>
      <c r="J42" s="40"/>
      <c r="K42" s="40"/>
      <c r="L42" s="40"/>
    </row>
    <row r="43" spans="1:12" ht="13">
      <c r="A43" s="134" t="s">
        <v>623</v>
      </c>
      <c r="B43" s="136"/>
      <c r="C43" s="135">
        <v>1</v>
      </c>
      <c r="E43" s="66"/>
      <c r="F43" s="67"/>
      <c r="G43" s="67"/>
      <c r="H43" s="40"/>
      <c r="I43" s="40"/>
      <c r="J43" s="40"/>
      <c r="K43" s="40"/>
      <c r="L43" s="40"/>
    </row>
    <row r="44" spans="1:12" ht="13">
      <c r="A44" s="134" t="s">
        <v>102</v>
      </c>
      <c r="B44" s="134" t="s">
        <v>103</v>
      </c>
      <c r="C44" s="135">
        <v>1</v>
      </c>
      <c r="E44" s="66"/>
      <c r="F44" s="67"/>
      <c r="G44" s="67"/>
      <c r="H44" s="40"/>
      <c r="I44" s="40"/>
      <c r="J44" s="40"/>
      <c r="K44" s="40"/>
      <c r="L44" s="40"/>
    </row>
    <row r="45" spans="1:12" ht="13">
      <c r="A45" s="134" t="s">
        <v>624</v>
      </c>
      <c r="B45" s="136"/>
      <c r="C45" s="135">
        <v>1</v>
      </c>
      <c r="E45" s="66"/>
      <c r="F45" s="67"/>
      <c r="G45" s="67"/>
      <c r="H45" s="40"/>
      <c r="I45" s="40"/>
      <c r="J45" s="40"/>
      <c r="K45" s="40"/>
      <c r="L45" s="40"/>
    </row>
    <row r="46" spans="1:12" ht="13">
      <c r="A46" s="134" t="s">
        <v>106</v>
      </c>
      <c r="B46" s="134" t="s">
        <v>569</v>
      </c>
      <c r="C46" s="135">
        <v>2</v>
      </c>
      <c r="E46" s="66"/>
      <c r="F46" s="67"/>
      <c r="G46" s="67"/>
      <c r="H46" s="40"/>
      <c r="I46" s="40"/>
      <c r="J46" s="40"/>
      <c r="K46" s="40"/>
      <c r="L46" s="40"/>
    </row>
    <row r="47" spans="1:12" ht="13">
      <c r="A47" s="137"/>
      <c r="B47" s="138" t="s">
        <v>553</v>
      </c>
      <c r="C47" s="139"/>
      <c r="E47" s="66"/>
      <c r="F47" s="67"/>
      <c r="G47" s="67"/>
      <c r="H47" s="40"/>
      <c r="I47" s="40"/>
      <c r="J47" s="40"/>
      <c r="K47" s="40"/>
      <c r="L47" s="40"/>
    </row>
    <row r="48" spans="1:12" ht="13">
      <c r="A48" s="137"/>
      <c r="B48" s="138" t="s">
        <v>565</v>
      </c>
      <c r="C48" s="139">
        <v>2</v>
      </c>
      <c r="E48" s="66"/>
      <c r="F48" s="67"/>
      <c r="G48" s="67"/>
      <c r="H48" s="40"/>
      <c r="I48" s="40"/>
      <c r="J48" s="40"/>
      <c r="K48" s="40"/>
      <c r="L48" s="40"/>
    </row>
    <row r="49" spans="1:12" ht="13">
      <c r="A49" s="137"/>
      <c r="B49" s="138" t="s">
        <v>562</v>
      </c>
      <c r="C49" s="139">
        <v>1</v>
      </c>
      <c r="E49" s="66"/>
      <c r="F49" s="67"/>
      <c r="G49" s="67"/>
      <c r="H49" s="40"/>
      <c r="I49" s="40"/>
      <c r="J49" s="40"/>
      <c r="K49" s="40"/>
      <c r="L49" s="40"/>
    </row>
    <row r="50" spans="1:12" ht="13">
      <c r="A50" s="137"/>
      <c r="B50" s="138" t="s">
        <v>567</v>
      </c>
      <c r="C50" s="139">
        <v>1</v>
      </c>
      <c r="E50" s="66"/>
      <c r="F50" s="67"/>
      <c r="G50" s="67"/>
      <c r="H50" s="40"/>
      <c r="I50" s="40"/>
      <c r="J50" s="40"/>
      <c r="K50" s="40"/>
      <c r="L50" s="40"/>
    </row>
    <row r="51" spans="1:12" ht="13">
      <c r="A51" s="137"/>
      <c r="B51" s="138" t="s">
        <v>566</v>
      </c>
      <c r="C51" s="139">
        <v>1</v>
      </c>
      <c r="E51" s="66"/>
      <c r="F51" s="67"/>
      <c r="G51" s="67"/>
      <c r="H51" s="40"/>
      <c r="I51" s="40"/>
      <c r="J51" s="40"/>
      <c r="K51" s="40"/>
      <c r="L51" s="40"/>
    </row>
    <row r="52" spans="1:12" ht="13">
      <c r="A52" s="137"/>
      <c r="B52" s="138" t="s">
        <v>107</v>
      </c>
      <c r="C52" s="139"/>
      <c r="E52" s="66"/>
      <c r="F52" s="67"/>
      <c r="G52" s="67"/>
      <c r="H52" s="40"/>
      <c r="I52" s="40"/>
      <c r="J52" s="40"/>
      <c r="K52" s="40"/>
      <c r="L52" s="40"/>
    </row>
    <row r="53" spans="1:12" ht="13">
      <c r="A53" s="137"/>
      <c r="B53" s="138" t="s">
        <v>109</v>
      </c>
      <c r="C53" s="139">
        <v>0</v>
      </c>
      <c r="E53" s="66"/>
      <c r="F53" s="67"/>
      <c r="G53" s="67"/>
      <c r="H53" s="40"/>
      <c r="I53" s="40"/>
      <c r="J53" s="40"/>
      <c r="K53" s="40"/>
      <c r="L53" s="40"/>
    </row>
    <row r="54" spans="1:12" ht="13">
      <c r="A54" s="137"/>
      <c r="B54" s="138" t="s">
        <v>112</v>
      </c>
      <c r="C54" s="139"/>
      <c r="E54" s="66"/>
      <c r="F54" s="67"/>
      <c r="G54" s="67"/>
      <c r="H54" s="40"/>
      <c r="I54" s="40"/>
      <c r="J54" s="40"/>
      <c r="K54" s="40"/>
      <c r="L54" s="40"/>
    </row>
    <row r="55" spans="1:12" ht="13">
      <c r="A55" s="137"/>
      <c r="B55" s="138" t="s">
        <v>557</v>
      </c>
      <c r="C55" s="139">
        <v>54</v>
      </c>
      <c r="E55" s="66"/>
      <c r="F55" s="67"/>
      <c r="G55" s="67"/>
      <c r="H55" s="40"/>
      <c r="I55" s="40"/>
      <c r="J55" s="40"/>
      <c r="K55" s="40"/>
      <c r="L55" s="40"/>
    </row>
    <row r="56" spans="1:12" ht="13">
      <c r="A56" s="134" t="s">
        <v>614</v>
      </c>
      <c r="B56" s="136"/>
      <c r="C56" s="135">
        <v>61</v>
      </c>
      <c r="E56" s="66"/>
      <c r="F56" s="67"/>
      <c r="G56" s="67"/>
      <c r="H56" s="40"/>
      <c r="I56" s="40"/>
      <c r="J56" s="40"/>
      <c r="K56" s="40"/>
      <c r="L56" s="40"/>
    </row>
    <row r="57" spans="1:12" ht="13">
      <c r="A57" s="134" t="s">
        <v>114</v>
      </c>
      <c r="B57" s="134" t="s">
        <v>115</v>
      </c>
      <c r="C57" s="135">
        <v>1</v>
      </c>
      <c r="E57" s="66"/>
      <c r="F57" s="67"/>
      <c r="G57" s="67"/>
      <c r="H57" s="40"/>
      <c r="I57" s="40"/>
      <c r="J57" s="40"/>
      <c r="K57" s="40"/>
      <c r="L57" s="40"/>
    </row>
    <row r="58" spans="1:12" ht="13">
      <c r="A58" s="137"/>
      <c r="B58" s="138" t="s">
        <v>120</v>
      </c>
      <c r="C58" s="139">
        <v>2</v>
      </c>
      <c r="E58" s="66"/>
      <c r="F58" s="67"/>
      <c r="G58" s="67"/>
      <c r="H58" s="40"/>
      <c r="I58" s="40"/>
      <c r="J58" s="40"/>
      <c r="K58" s="40"/>
      <c r="L58" s="40"/>
    </row>
    <row r="59" spans="1:12" ht="13">
      <c r="A59" s="134" t="s">
        <v>625</v>
      </c>
      <c r="B59" s="136"/>
      <c r="C59" s="135">
        <v>3</v>
      </c>
      <c r="E59" s="66"/>
      <c r="F59" s="67"/>
      <c r="G59" s="67"/>
      <c r="H59" s="40"/>
      <c r="I59" s="40"/>
      <c r="J59" s="40"/>
      <c r="K59" s="40"/>
      <c r="L59" s="40"/>
    </row>
    <row r="60" spans="1:12" ht="13">
      <c r="A60" s="134" t="s">
        <v>123</v>
      </c>
      <c r="B60" s="134" t="s">
        <v>124</v>
      </c>
      <c r="C60" s="135">
        <v>6</v>
      </c>
      <c r="E60" s="66"/>
      <c r="F60" s="67"/>
      <c r="G60" s="67"/>
      <c r="H60" s="40"/>
      <c r="I60" s="40"/>
      <c r="J60" s="40"/>
      <c r="K60" s="40"/>
      <c r="L60" s="40"/>
    </row>
    <row r="61" spans="1:12" ht="13">
      <c r="A61" s="137"/>
      <c r="B61" s="138" t="s">
        <v>125</v>
      </c>
      <c r="C61" s="139">
        <v>6</v>
      </c>
      <c r="E61" s="66"/>
      <c r="F61" s="67"/>
      <c r="G61" s="67"/>
      <c r="H61" s="40"/>
      <c r="I61" s="40"/>
      <c r="J61" s="40"/>
      <c r="K61" s="40"/>
      <c r="L61" s="40"/>
    </row>
    <row r="62" spans="1:12" ht="13">
      <c r="A62" s="137"/>
      <c r="B62" s="138" t="s">
        <v>126</v>
      </c>
      <c r="C62" s="139">
        <v>6</v>
      </c>
      <c r="E62" s="66"/>
      <c r="F62" s="67"/>
      <c r="G62" s="67"/>
      <c r="H62" s="40"/>
      <c r="I62" s="40"/>
      <c r="J62" s="40"/>
      <c r="K62" s="40"/>
      <c r="L62" s="40"/>
    </row>
    <row r="63" spans="1:12" ht="13">
      <c r="A63" s="137"/>
      <c r="B63" s="138" t="s">
        <v>127</v>
      </c>
      <c r="C63" s="139">
        <v>6</v>
      </c>
      <c r="E63" s="66"/>
      <c r="F63" s="67"/>
      <c r="G63" s="67"/>
      <c r="H63" s="40"/>
      <c r="I63" s="40"/>
      <c r="J63" s="40"/>
      <c r="K63" s="40"/>
      <c r="L63" s="40"/>
    </row>
    <row r="64" spans="1:12" ht="13">
      <c r="A64" s="137"/>
      <c r="B64" s="138" t="s">
        <v>128</v>
      </c>
      <c r="C64" s="139">
        <v>6</v>
      </c>
      <c r="E64" s="66"/>
      <c r="F64" s="67"/>
      <c r="G64" s="67"/>
      <c r="H64" s="40"/>
      <c r="I64" s="40"/>
      <c r="J64" s="40"/>
      <c r="K64" s="40"/>
      <c r="L64" s="40"/>
    </row>
    <row r="65" spans="1:12" ht="13">
      <c r="A65" s="137"/>
      <c r="B65" s="138" t="s">
        <v>129</v>
      </c>
      <c r="C65" s="139"/>
      <c r="E65" s="66"/>
      <c r="F65" s="67"/>
      <c r="G65" s="67"/>
      <c r="H65" s="40"/>
      <c r="I65" s="40"/>
      <c r="J65" s="40"/>
      <c r="K65" s="40"/>
      <c r="L65" s="40"/>
    </row>
    <row r="66" spans="1:12" ht="13">
      <c r="A66" s="134" t="s">
        <v>626</v>
      </c>
      <c r="B66" s="136"/>
      <c r="C66" s="135">
        <v>30</v>
      </c>
      <c r="E66" s="66"/>
      <c r="F66" s="67"/>
      <c r="G66" s="67"/>
      <c r="H66" s="40"/>
      <c r="I66" s="40"/>
      <c r="J66" s="40"/>
      <c r="K66" s="40"/>
      <c r="L66" s="40"/>
    </row>
    <row r="67" spans="1:12" ht="13">
      <c r="A67" s="134" t="s">
        <v>130</v>
      </c>
      <c r="B67" s="134" t="s">
        <v>131</v>
      </c>
      <c r="C67" s="135">
        <v>1</v>
      </c>
      <c r="E67" s="66"/>
      <c r="F67" s="67"/>
      <c r="G67" s="67"/>
      <c r="H67" s="40"/>
      <c r="I67" s="40"/>
      <c r="J67" s="40"/>
      <c r="K67" s="40"/>
      <c r="L67" s="40"/>
    </row>
    <row r="68" spans="1:12" ht="13">
      <c r="A68" s="137"/>
      <c r="B68" s="138" t="s">
        <v>135</v>
      </c>
      <c r="C68" s="139"/>
      <c r="E68" s="66"/>
      <c r="F68" s="67"/>
      <c r="G68" s="67"/>
      <c r="H68" s="40"/>
      <c r="I68" s="40"/>
      <c r="J68" s="40"/>
      <c r="K68" s="40"/>
      <c r="L68" s="40"/>
    </row>
    <row r="69" spans="1:12" ht="13">
      <c r="A69" s="134" t="s">
        <v>627</v>
      </c>
      <c r="B69" s="136"/>
      <c r="C69" s="135">
        <v>1</v>
      </c>
      <c r="E69" s="66"/>
      <c r="F69" s="67"/>
      <c r="G69" s="67"/>
      <c r="H69" s="40"/>
      <c r="I69" s="40"/>
      <c r="J69" s="40"/>
      <c r="K69" s="40"/>
      <c r="L69" s="40"/>
    </row>
    <row r="70" spans="1:12" ht="13">
      <c r="A70" s="134" t="s">
        <v>138</v>
      </c>
      <c r="B70" s="134" t="s">
        <v>139</v>
      </c>
      <c r="C70" s="135">
        <v>1</v>
      </c>
      <c r="E70" s="66"/>
      <c r="F70" s="67"/>
      <c r="G70" s="67"/>
      <c r="H70" s="40"/>
      <c r="I70" s="40"/>
      <c r="J70" s="40"/>
      <c r="K70" s="40"/>
      <c r="L70" s="40"/>
    </row>
    <row r="71" spans="1:12" ht="13">
      <c r="A71" s="137"/>
      <c r="B71" s="138" t="s">
        <v>142</v>
      </c>
      <c r="C71" s="139">
        <v>1</v>
      </c>
      <c r="E71" s="66"/>
      <c r="F71" s="67"/>
      <c r="G71" s="67"/>
      <c r="H71" s="40"/>
      <c r="I71" s="40"/>
      <c r="J71" s="40"/>
      <c r="K71" s="40"/>
      <c r="L71" s="40"/>
    </row>
    <row r="72" spans="1:12" ht="13">
      <c r="A72" s="137"/>
      <c r="B72" s="138" t="s">
        <v>145</v>
      </c>
      <c r="C72" s="139">
        <v>1</v>
      </c>
      <c r="E72" s="66"/>
      <c r="F72" s="67"/>
      <c r="G72" s="67"/>
    </row>
    <row r="73" spans="1:12" ht="13">
      <c r="A73" s="137"/>
      <c r="B73" s="138" t="s">
        <v>147</v>
      </c>
      <c r="C73" s="139"/>
      <c r="E73" s="66"/>
      <c r="F73" s="67"/>
      <c r="G73" s="67"/>
    </row>
    <row r="74" spans="1:12" ht="13">
      <c r="A74" s="137"/>
      <c r="B74" s="138" t="s">
        <v>148</v>
      </c>
      <c r="C74" s="139">
        <v>1</v>
      </c>
      <c r="E74" s="66"/>
      <c r="F74" s="67"/>
      <c r="G74" s="67"/>
    </row>
    <row r="75" spans="1:12" ht="13">
      <c r="A75" s="137"/>
      <c r="B75" s="138" t="s">
        <v>152</v>
      </c>
      <c r="C75" s="139">
        <v>3</v>
      </c>
      <c r="E75" s="66"/>
      <c r="F75" s="67"/>
      <c r="G75" s="67"/>
    </row>
    <row r="76" spans="1:12" ht="13">
      <c r="A76" s="137"/>
      <c r="B76" s="138" t="s">
        <v>155</v>
      </c>
      <c r="C76" s="139">
        <v>8</v>
      </c>
      <c r="E76" s="66"/>
      <c r="F76" s="67"/>
      <c r="G76" s="67"/>
    </row>
    <row r="77" spans="1:12" ht="13">
      <c r="A77" s="137"/>
      <c r="B77" s="138" t="s">
        <v>158</v>
      </c>
      <c r="C77" s="139">
        <v>0</v>
      </c>
      <c r="E77" s="66"/>
      <c r="F77" s="67"/>
      <c r="G77" s="67"/>
    </row>
    <row r="78" spans="1:12" ht="13">
      <c r="A78" s="137"/>
      <c r="B78" s="138" t="s">
        <v>159</v>
      </c>
      <c r="C78" s="139">
        <v>1</v>
      </c>
      <c r="E78" s="66"/>
      <c r="F78" s="67"/>
      <c r="G78" s="67"/>
    </row>
    <row r="79" spans="1:12" ht="13">
      <c r="A79" s="137"/>
      <c r="B79" s="138" t="s">
        <v>160</v>
      </c>
      <c r="C79" s="139">
        <v>0</v>
      </c>
      <c r="E79" s="66"/>
      <c r="F79" s="67"/>
      <c r="G79" s="67"/>
    </row>
    <row r="80" spans="1:12" ht="13">
      <c r="A80" s="137"/>
      <c r="B80" s="138" t="s">
        <v>161</v>
      </c>
      <c r="C80" s="139"/>
      <c r="E80" s="66"/>
      <c r="F80" s="67"/>
      <c r="G80" s="67"/>
    </row>
    <row r="81" spans="1:7" ht="13">
      <c r="A81" s="137"/>
      <c r="B81" s="138" t="s">
        <v>162</v>
      </c>
      <c r="C81" s="139"/>
      <c r="E81" s="66"/>
      <c r="F81" s="67"/>
      <c r="G81" s="67"/>
    </row>
    <row r="82" spans="1:7" ht="13">
      <c r="A82" s="137"/>
      <c r="B82" s="138" t="s">
        <v>163</v>
      </c>
      <c r="C82" s="139">
        <v>2</v>
      </c>
      <c r="E82" s="66"/>
      <c r="F82" s="67"/>
      <c r="G82" s="67"/>
    </row>
    <row r="83" spans="1:7" ht="13">
      <c r="A83" s="137"/>
      <c r="B83" s="138" t="s">
        <v>166</v>
      </c>
      <c r="C83" s="139">
        <v>1</v>
      </c>
      <c r="E83" s="66"/>
      <c r="F83" s="67"/>
      <c r="G83" s="67"/>
    </row>
    <row r="84" spans="1:7" ht="13">
      <c r="A84" s="137"/>
      <c r="B84" s="138" t="s">
        <v>168</v>
      </c>
      <c r="C84" s="139">
        <v>3</v>
      </c>
      <c r="E84" s="66"/>
      <c r="F84" s="67"/>
      <c r="G84" s="67"/>
    </row>
    <row r="85" spans="1:7" ht="13">
      <c r="A85" s="137"/>
      <c r="B85" s="138" t="s">
        <v>170</v>
      </c>
      <c r="C85" s="139">
        <v>1</v>
      </c>
      <c r="E85" s="66"/>
      <c r="F85" s="67"/>
      <c r="G85" s="67"/>
    </row>
    <row r="86" spans="1:7" ht="13">
      <c r="A86" s="137"/>
      <c r="B86" s="138" t="s">
        <v>172</v>
      </c>
      <c r="C86" s="139">
        <v>0</v>
      </c>
      <c r="E86" s="66"/>
      <c r="F86" s="67"/>
      <c r="G86" s="67"/>
    </row>
    <row r="87" spans="1:7" ht="13">
      <c r="A87" s="137"/>
      <c r="B87" s="138" t="s">
        <v>173</v>
      </c>
      <c r="C87" s="139">
        <v>1</v>
      </c>
      <c r="E87" s="66"/>
      <c r="F87" s="67"/>
      <c r="G87" s="67"/>
    </row>
    <row r="88" spans="1:7" ht="13">
      <c r="A88" s="137"/>
      <c r="B88" s="138" t="s">
        <v>175</v>
      </c>
      <c r="C88" s="139">
        <v>0</v>
      </c>
      <c r="E88" s="66"/>
      <c r="F88" s="67"/>
      <c r="G88" s="67"/>
    </row>
    <row r="89" spans="1:7" ht="13">
      <c r="A89" s="137"/>
      <c r="B89" s="138" t="s">
        <v>176</v>
      </c>
      <c r="C89" s="139">
        <v>2</v>
      </c>
      <c r="E89" s="66"/>
      <c r="F89" s="67"/>
      <c r="G89" s="67"/>
    </row>
    <row r="90" spans="1:7" ht="13">
      <c r="A90" s="137"/>
      <c r="B90" s="138" t="s">
        <v>178</v>
      </c>
      <c r="C90" s="139">
        <v>1</v>
      </c>
      <c r="E90" s="66"/>
      <c r="F90" s="67"/>
      <c r="G90" s="67"/>
    </row>
    <row r="91" spans="1:7" ht="13">
      <c r="A91" s="137"/>
      <c r="B91" s="138" t="s">
        <v>180</v>
      </c>
      <c r="C91" s="139">
        <v>2</v>
      </c>
      <c r="E91" s="66"/>
      <c r="F91" s="67"/>
      <c r="G91" s="67"/>
    </row>
    <row r="92" spans="1:7" ht="13">
      <c r="A92" s="137"/>
      <c r="B92" s="138" t="s">
        <v>182</v>
      </c>
      <c r="C92" s="139">
        <v>1</v>
      </c>
      <c r="E92" s="66"/>
      <c r="F92" s="67"/>
      <c r="G92" s="67"/>
    </row>
    <row r="93" spans="1:7" ht="13">
      <c r="A93" s="137"/>
      <c r="B93" s="138" t="s">
        <v>183</v>
      </c>
      <c r="C93" s="139"/>
      <c r="E93" s="66"/>
      <c r="F93" s="67"/>
      <c r="G93" s="67"/>
    </row>
    <row r="94" spans="1:7" ht="13">
      <c r="A94" s="137"/>
      <c r="B94" s="138" t="s">
        <v>184</v>
      </c>
      <c r="C94" s="139">
        <v>1</v>
      </c>
      <c r="E94" s="66"/>
      <c r="F94" s="67"/>
      <c r="G94" s="67"/>
    </row>
    <row r="95" spans="1:7" ht="13">
      <c r="A95" s="137"/>
      <c r="B95" s="138" t="s">
        <v>187</v>
      </c>
      <c r="C95" s="139">
        <v>1</v>
      </c>
      <c r="E95" s="66"/>
      <c r="F95" s="67"/>
      <c r="G95" s="67"/>
    </row>
    <row r="96" spans="1:7" ht="13">
      <c r="A96" s="137"/>
      <c r="B96" s="138" t="s">
        <v>550</v>
      </c>
      <c r="C96" s="139"/>
      <c r="E96" s="66"/>
      <c r="F96" s="67"/>
      <c r="G96" s="67"/>
    </row>
    <row r="97" spans="1:7" ht="13">
      <c r="A97" s="137"/>
      <c r="B97" s="138" t="s">
        <v>190</v>
      </c>
      <c r="C97" s="139"/>
      <c r="E97" s="66"/>
      <c r="F97" s="67"/>
      <c r="G97" s="67"/>
    </row>
    <row r="98" spans="1:7" ht="13">
      <c r="A98" s="137"/>
      <c r="B98" s="138" t="s">
        <v>191</v>
      </c>
      <c r="C98" s="139"/>
      <c r="E98" s="66"/>
      <c r="F98" s="67"/>
      <c r="G98" s="67"/>
    </row>
    <row r="99" spans="1:7" ht="13">
      <c r="A99" s="137"/>
      <c r="B99" s="138" t="s">
        <v>192</v>
      </c>
      <c r="C99" s="139">
        <v>1</v>
      </c>
      <c r="E99" s="66"/>
      <c r="F99" s="67"/>
      <c r="G99" s="67"/>
    </row>
    <row r="100" spans="1:7" ht="13">
      <c r="A100" s="137"/>
      <c r="B100" s="138" t="s">
        <v>195</v>
      </c>
      <c r="C100" s="139">
        <v>0</v>
      </c>
      <c r="E100" s="66"/>
      <c r="F100" s="67"/>
      <c r="G100" s="67"/>
    </row>
    <row r="101" spans="1:7" ht="13">
      <c r="A101" s="137"/>
      <c r="B101" s="138" t="s">
        <v>196</v>
      </c>
      <c r="C101" s="139">
        <v>9</v>
      </c>
      <c r="E101" s="66"/>
      <c r="F101" s="67"/>
      <c r="G101" s="67"/>
    </row>
    <row r="102" spans="1:7" ht="13">
      <c r="A102" s="137"/>
      <c r="B102" s="138" t="s">
        <v>197</v>
      </c>
      <c r="C102" s="139">
        <v>6</v>
      </c>
      <c r="E102" s="66"/>
      <c r="F102" s="67"/>
      <c r="G102" s="67"/>
    </row>
    <row r="103" spans="1:7" ht="13">
      <c r="A103" s="137"/>
      <c r="B103" s="138" t="s">
        <v>200</v>
      </c>
      <c r="C103" s="139">
        <v>1</v>
      </c>
      <c r="E103" s="66"/>
      <c r="F103" s="67"/>
      <c r="G103" s="67"/>
    </row>
    <row r="104" spans="1:7" ht="13">
      <c r="A104" s="137"/>
      <c r="B104" s="138" t="s">
        <v>203</v>
      </c>
      <c r="C104" s="139"/>
      <c r="E104" s="66"/>
      <c r="F104" s="67"/>
      <c r="G104" s="67"/>
    </row>
    <row r="105" spans="1:7" ht="13">
      <c r="A105" s="137"/>
      <c r="B105" s="138" t="s">
        <v>205</v>
      </c>
      <c r="C105" s="139"/>
      <c r="E105" s="66"/>
      <c r="F105" s="67"/>
      <c r="G105" s="67"/>
    </row>
    <row r="106" spans="1:7" ht="13">
      <c r="A106" s="137"/>
      <c r="B106" s="138" t="s">
        <v>207</v>
      </c>
      <c r="C106" s="139">
        <v>1</v>
      </c>
      <c r="E106" s="66"/>
      <c r="F106" s="67"/>
      <c r="G106" s="67"/>
    </row>
    <row r="107" spans="1:7" ht="13">
      <c r="A107" s="137"/>
      <c r="B107" s="138" t="s">
        <v>209</v>
      </c>
      <c r="C107" s="139">
        <v>1</v>
      </c>
      <c r="E107" s="66"/>
      <c r="F107" s="67"/>
      <c r="G107" s="67"/>
    </row>
    <row r="108" spans="1:7" ht="13">
      <c r="A108" s="137"/>
      <c r="B108" s="138" t="s">
        <v>211</v>
      </c>
      <c r="C108" s="139">
        <v>1</v>
      </c>
      <c r="E108" s="66"/>
      <c r="F108" s="67"/>
      <c r="G108" s="67"/>
    </row>
    <row r="109" spans="1:7" ht="13">
      <c r="A109" s="137"/>
      <c r="B109" s="138" t="s">
        <v>213</v>
      </c>
      <c r="C109" s="139">
        <v>1</v>
      </c>
      <c r="E109" s="66"/>
      <c r="F109" s="67"/>
      <c r="G109" s="67"/>
    </row>
    <row r="110" spans="1:7" ht="13">
      <c r="A110" s="137"/>
      <c r="B110" s="138" t="s">
        <v>215</v>
      </c>
      <c r="C110" s="139">
        <v>1</v>
      </c>
      <c r="E110" s="66"/>
      <c r="F110" s="67"/>
      <c r="G110" s="67"/>
    </row>
    <row r="111" spans="1:7" ht="13">
      <c r="A111" s="137"/>
      <c r="B111" s="138" t="s">
        <v>217</v>
      </c>
      <c r="C111" s="139">
        <v>1</v>
      </c>
      <c r="E111" s="66"/>
      <c r="F111" s="67"/>
      <c r="G111" s="67"/>
    </row>
    <row r="112" spans="1:7" ht="13">
      <c r="A112" s="137"/>
      <c r="B112" s="138" t="s">
        <v>220</v>
      </c>
      <c r="C112" s="139">
        <v>1</v>
      </c>
      <c r="E112" s="66"/>
      <c r="F112" s="67"/>
      <c r="G112" s="67"/>
    </row>
    <row r="113" spans="1:7" ht="13">
      <c r="A113" s="137"/>
      <c r="B113" s="138" t="s">
        <v>223</v>
      </c>
      <c r="C113" s="139">
        <v>1</v>
      </c>
      <c r="E113" s="66"/>
      <c r="F113" s="67"/>
      <c r="G113" s="67"/>
    </row>
    <row r="114" spans="1:7" ht="13">
      <c r="A114" s="137"/>
      <c r="B114" s="138" t="s">
        <v>225</v>
      </c>
      <c r="C114" s="139">
        <v>4</v>
      </c>
      <c r="E114" s="66"/>
      <c r="F114" s="67"/>
      <c r="G114" s="67"/>
    </row>
    <row r="115" spans="1:7" ht="13">
      <c r="A115" s="137"/>
      <c r="B115" s="138" t="s">
        <v>226</v>
      </c>
      <c r="C115" s="139">
        <v>0</v>
      </c>
      <c r="E115" s="66"/>
      <c r="F115" s="67"/>
      <c r="G115" s="67"/>
    </row>
    <row r="116" spans="1:7" ht="13">
      <c r="A116" s="137"/>
      <c r="B116" s="138" t="s">
        <v>227</v>
      </c>
      <c r="C116" s="139">
        <v>0</v>
      </c>
      <c r="E116" s="66"/>
      <c r="F116" s="67"/>
      <c r="G116" s="67"/>
    </row>
    <row r="117" spans="1:7" ht="13">
      <c r="A117" s="137"/>
      <c r="B117" s="138" t="s">
        <v>229</v>
      </c>
      <c r="C117" s="139">
        <v>8</v>
      </c>
      <c r="E117" s="66"/>
      <c r="F117" s="67"/>
      <c r="G117" s="67"/>
    </row>
    <row r="118" spans="1:7" ht="13">
      <c r="A118" s="137"/>
      <c r="B118" s="138" t="s">
        <v>231</v>
      </c>
      <c r="C118" s="139">
        <v>0</v>
      </c>
      <c r="E118" s="66"/>
      <c r="F118" s="67"/>
      <c r="G118" s="67"/>
    </row>
    <row r="119" spans="1:7" ht="13">
      <c r="A119" s="137"/>
      <c r="B119" s="138" t="s">
        <v>232</v>
      </c>
      <c r="C119" s="139">
        <v>4</v>
      </c>
      <c r="E119" s="66"/>
      <c r="F119" s="67"/>
      <c r="G119" s="67"/>
    </row>
    <row r="120" spans="1:7" ht="13">
      <c r="A120" s="137"/>
      <c r="B120" s="138" t="s">
        <v>234</v>
      </c>
      <c r="C120" s="139">
        <v>4</v>
      </c>
      <c r="E120" s="66"/>
      <c r="F120" s="67"/>
      <c r="G120" s="67"/>
    </row>
    <row r="121" spans="1:7" ht="13">
      <c r="A121" s="137"/>
      <c r="B121" s="138" t="s">
        <v>236</v>
      </c>
      <c r="C121" s="139">
        <v>0</v>
      </c>
      <c r="E121" s="66"/>
      <c r="F121" s="67"/>
      <c r="G121" s="67"/>
    </row>
    <row r="122" spans="1:7" ht="13">
      <c r="A122" s="137"/>
      <c r="B122" s="138" t="s">
        <v>237</v>
      </c>
      <c r="C122" s="139">
        <v>0</v>
      </c>
      <c r="E122" s="66"/>
      <c r="F122" s="67"/>
      <c r="G122" s="67"/>
    </row>
    <row r="123" spans="1:7" ht="13">
      <c r="A123" s="137"/>
      <c r="B123" s="138" t="s">
        <v>238</v>
      </c>
      <c r="C123" s="139">
        <v>8</v>
      </c>
      <c r="E123" s="66"/>
      <c r="F123" s="67"/>
      <c r="G123" s="67"/>
    </row>
    <row r="124" spans="1:7" ht="13">
      <c r="A124" s="137"/>
      <c r="B124" s="138" t="s">
        <v>240</v>
      </c>
      <c r="C124" s="139">
        <v>0</v>
      </c>
      <c r="E124" s="66"/>
      <c r="F124" s="67"/>
      <c r="G124" s="67"/>
    </row>
    <row r="125" spans="1:7" ht="13">
      <c r="A125" s="137"/>
      <c r="B125" s="138" t="s">
        <v>241</v>
      </c>
      <c r="C125" s="139">
        <v>12</v>
      </c>
      <c r="E125" s="66"/>
      <c r="F125" s="67"/>
      <c r="G125" s="67"/>
    </row>
    <row r="126" spans="1:7" ht="13">
      <c r="A126" s="137"/>
      <c r="B126" s="138" t="s">
        <v>243</v>
      </c>
      <c r="C126" s="139">
        <v>8</v>
      </c>
      <c r="E126" s="66"/>
      <c r="F126" s="67"/>
      <c r="G126" s="67"/>
    </row>
    <row r="127" spans="1:7" ht="13">
      <c r="A127" s="137"/>
      <c r="B127" s="138" t="s">
        <v>246</v>
      </c>
      <c r="C127" s="139">
        <v>4</v>
      </c>
      <c r="E127" s="66"/>
      <c r="F127" s="67"/>
      <c r="G127" s="67"/>
    </row>
    <row r="128" spans="1:7" ht="13">
      <c r="A128" s="137"/>
      <c r="B128" s="138" t="s">
        <v>249</v>
      </c>
      <c r="C128" s="139">
        <v>0</v>
      </c>
      <c r="E128" s="66"/>
      <c r="F128" s="67"/>
      <c r="G128" s="67"/>
    </row>
    <row r="129" spans="1:7" ht="13">
      <c r="A129" s="137"/>
      <c r="B129" s="138" t="s">
        <v>250</v>
      </c>
      <c r="C129" s="139">
        <v>0</v>
      </c>
      <c r="E129" s="66"/>
      <c r="F129" s="67"/>
      <c r="G129" s="67"/>
    </row>
    <row r="130" spans="1:7" ht="13">
      <c r="A130" s="137"/>
      <c r="B130" s="138" t="s">
        <v>251</v>
      </c>
      <c r="C130" s="139">
        <v>1</v>
      </c>
      <c r="E130" s="66"/>
      <c r="F130" s="67"/>
      <c r="G130" s="67"/>
    </row>
    <row r="131" spans="1:7" ht="13">
      <c r="A131" s="137"/>
      <c r="B131" s="138" t="s">
        <v>546</v>
      </c>
      <c r="C131" s="139"/>
      <c r="E131" s="66"/>
      <c r="F131" s="67"/>
      <c r="G131" s="67"/>
    </row>
    <row r="132" spans="1:7" ht="13">
      <c r="A132" s="137"/>
      <c r="B132" s="138" t="s">
        <v>254</v>
      </c>
      <c r="C132" s="139">
        <v>1</v>
      </c>
      <c r="E132" s="66"/>
      <c r="F132" s="67"/>
      <c r="G132" s="67"/>
    </row>
    <row r="133" spans="1:7" ht="13">
      <c r="A133" s="137"/>
      <c r="B133" s="138" t="s">
        <v>255</v>
      </c>
      <c r="C133" s="139">
        <v>1</v>
      </c>
      <c r="E133" s="66"/>
      <c r="F133" s="67"/>
      <c r="G133" s="67"/>
    </row>
    <row r="134" spans="1:7" ht="13">
      <c r="A134" s="137"/>
      <c r="B134" s="138" t="s">
        <v>256</v>
      </c>
      <c r="C134" s="139">
        <v>1</v>
      </c>
      <c r="E134" s="66"/>
      <c r="F134" s="67"/>
      <c r="G134" s="67"/>
    </row>
    <row r="135" spans="1:7" ht="13">
      <c r="A135" s="137"/>
      <c r="B135" s="138" t="s">
        <v>257</v>
      </c>
      <c r="C135" s="139">
        <v>1</v>
      </c>
      <c r="E135" s="66"/>
      <c r="F135" s="67"/>
      <c r="G135" s="67"/>
    </row>
    <row r="136" spans="1:7" ht="13">
      <c r="A136" s="137"/>
      <c r="B136" s="138" t="s">
        <v>258</v>
      </c>
      <c r="C136" s="139">
        <v>1</v>
      </c>
      <c r="E136" s="66"/>
      <c r="F136" s="67"/>
      <c r="G136" s="67"/>
    </row>
    <row r="137" spans="1:7" ht="13">
      <c r="A137" s="137"/>
      <c r="B137" s="138" t="s">
        <v>259</v>
      </c>
      <c r="C137" s="139">
        <v>1</v>
      </c>
      <c r="E137" s="66"/>
      <c r="F137" s="67"/>
      <c r="G137" s="67"/>
    </row>
    <row r="138" spans="1:7" ht="13">
      <c r="A138" s="137"/>
      <c r="B138" s="138" t="s">
        <v>260</v>
      </c>
      <c r="C138" s="139">
        <v>1</v>
      </c>
      <c r="E138" s="66"/>
      <c r="F138" s="67"/>
      <c r="G138" s="67"/>
    </row>
    <row r="139" spans="1:7" ht="13">
      <c r="A139" s="137"/>
      <c r="B139" s="138" t="s">
        <v>263</v>
      </c>
      <c r="C139" s="139">
        <v>0</v>
      </c>
      <c r="E139" s="66"/>
      <c r="F139" s="67"/>
      <c r="G139" s="67"/>
    </row>
    <row r="140" spans="1:7" ht="13">
      <c r="A140" s="137"/>
      <c r="B140" s="138" t="s">
        <v>264</v>
      </c>
      <c r="C140" s="139">
        <v>3</v>
      </c>
      <c r="E140" s="66"/>
      <c r="F140" s="67"/>
      <c r="G140" s="67"/>
    </row>
    <row r="141" spans="1:7" ht="13">
      <c r="A141" s="137"/>
      <c r="B141" s="138" t="s">
        <v>266</v>
      </c>
      <c r="C141" s="139"/>
      <c r="E141" s="66"/>
      <c r="F141" s="67"/>
      <c r="G141" s="67"/>
    </row>
    <row r="142" spans="1:7" ht="13">
      <c r="A142" s="137"/>
      <c r="B142" s="138" t="s">
        <v>267</v>
      </c>
      <c r="C142" s="139"/>
      <c r="E142" s="66"/>
      <c r="F142" s="67"/>
      <c r="G142" s="67"/>
    </row>
    <row r="143" spans="1:7" ht="13">
      <c r="A143" s="137"/>
      <c r="B143" s="138" t="s">
        <v>269</v>
      </c>
      <c r="C143" s="139"/>
      <c r="E143" s="66"/>
      <c r="F143" s="67"/>
      <c r="G143" s="67"/>
    </row>
    <row r="144" spans="1:7" ht="13">
      <c r="A144" s="137"/>
      <c r="B144" s="138" t="s">
        <v>271</v>
      </c>
      <c r="C144" s="139">
        <v>1</v>
      </c>
      <c r="E144" s="66"/>
      <c r="F144" s="67"/>
      <c r="G144" s="67"/>
    </row>
    <row r="145" spans="1:7" ht="13">
      <c r="A145" s="137"/>
      <c r="B145" s="138" t="s">
        <v>272</v>
      </c>
      <c r="C145" s="139">
        <v>2</v>
      </c>
      <c r="E145" s="66"/>
      <c r="F145" s="67"/>
      <c r="G145" s="67"/>
    </row>
    <row r="146" spans="1:7" ht="13">
      <c r="A146" s="137"/>
      <c r="B146" s="138" t="s">
        <v>275</v>
      </c>
      <c r="C146" s="139">
        <v>1</v>
      </c>
      <c r="E146" s="66"/>
      <c r="F146" s="67"/>
      <c r="G146" s="67"/>
    </row>
    <row r="147" spans="1:7" ht="13">
      <c r="A147" s="137"/>
      <c r="B147" s="138" t="s">
        <v>278</v>
      </c>
      <c r="C147" s="139"/>
      <c r="E147" s="66"/>
      <c r="F147" s="67"/>
      <c r="G147" s="67"/>
    </row>
    <row r="148" spans="1:7" ht="13">
      <c r="A148" s="137"/>
      <c r="B148" s="138" t="s">
        <v>280</v>
      </c>
      <c r="C148" s="139">
        <v>1</v>
      </c>
      <c r="E148" s="66"/>
      <c r="F148" s="67"/>
      <c r="G148" s="67"/>
    </row>
    <row r="149" spans="1:7" ht="13">
      <c r="A149" s="137"/>
      <c r="B149" s="138" t="s">
        <v>281</v>
      </c>
      <c r="C149" s="139">
        <v>1</v>
      </c>
      <c r="E149" s="66"/>
      <c r="F149" s="67"/>
      <c r="G149" s="67"/>
    </row>
    <row r="150" spans="1:7" ht="13">
      <c r="A150" s="137"/>
      <c r="B150" s="138" t="s">
        <v>284</v>
      </c>
      <c r="C150" s="139"/>
      <c r="E150" s="66"/>
      <c r="F150" s="67"/>
      <c r="G150" s="67"/>
    </row>
    <row r="151" spans="1:7" ht="13">
      <c r="A151" s="137"/>
      <c r="B151" s="138" t="s">
        <v>287</v>
      </c>
      <c r="C151" s="139"/>
      <c r="E151" s="66"/>
      <c r="F151" s="67"/>
      <c r="G151" s="67"/>
    </row>
    <row r="152" spans="1:7" ht="13">
      <c r="A152" s="137"/>
      <c r="B152" s="138" t="s">
        <v>288</v>
      </c>
      <c r="C152" s="139">
        <v>3</v>
      </c>
      <c r="E152" s="66"/>
      <c r="F152" s="67"/>
      <c r="G152" s="67"/>
    </row>
    <row r="153" spans="1:7" ht="13">
      <c r="A153" s="137"/>
      <c r="B153" s="138" t="s">
        <v>291</v>
      </c>
      <c r="C153" s="139"/>
      <c r="E153" s="66"/>
      <c r="F153" s="67"/>
      <c r="G153" s="67"/>
    </row>
    <row r="154" spans="1:7" ht="13">
      <c r="A154" s="137"/>
      <c r="B154" s="138" t="s">
        <v>292</v>
      </c>
      <c r="C154" s="139">
        <v>1</v>
      </c>
      <c r="E154" s="66"/>
      <c r="F154" s="67"/>
      <c r="G154" s="67"/>
    </row>
    <row r="155" spans="1:7" ht="13">
      <c r="A155" s="137"/>
      <c r="B155" s="138" t="s">
        <v>295</v>
      </c>
      <c r="C155" s="139">
        <v>0</v>
      </c>
      <c r="E155" s="66"/>
      <c r="F155" s="67"/>
      <c r="G155" s="67"/>
    </row>
    <row r="156" spans="1:7" ht="13">
      <c r="A156" s="137"/>
      <c r="B156" s="138" t="s">
        <v>297</v>
      </c>
      <c r="C156" s="139">
        <v>0</v>
      </c>
      <c r="E156" s="66"/>
      <c r="F156" s="67"/>
      <c r="G156" s="67"/>
    </row>
    <row r="157" spans="1:7" ht="13">
      <c r="A157" s="137"/>
      <c r="B157" s="138" t="s">
        <v>298</v>
      </c>
      <c r="C157" s="139">
        <v>1</v>
      </c>
      <c r="E157" s="66"/>
      <c r="F157" s="67"/>
      <c r="G157" s="67"/>
    </row>
    <row r="158" spans="1:7" ht="13">
      <c r="A158" s="137"/>
      <c r="B158" s="138" t="s">
        <v>301</v>
      </c>
      <c r="C158" s="139">
        <v>0</v>
      </c>
      <c r="E158" s="66"/>
      <c r="F158" s="67"/>
      <c r="G158" s="67"/>
    </row>
    <row r="159" spans="1:7" ht="13">
      <c r="A159" s="137"/>
      <c r="B159" s="138" t="s">
        <v>302</v>
      </c>
      <c r="C159" s="139">
        <v>0</v>
      </c>
      <c r="E159" s="66"/>
      <c r="F159" s="67"/>
      <c r="G159" s="67"/>
    </row>
    <row r="160" spans="1:7" ht="13">
      <c r="A160" s="137"/>
      <c r="B160" s="138" t="s">
        <v>303</v>
      </c>
      <c r="C160" s="139">
        <v>0</v>
      </c>
      <c r="E160" s="66"/>
      <c r="F160" s="67"/>
      <c r="G160" s="67"/>
    </row>
    <row r="161" spans="1:7" ht="13">
      <c r="A161" s="137"/>
      <c r="B161" s="138" t="s">
        <v>304</v>
      </c>
      <c r="C161" s="139">
        <v>3</v>
      </c>
      <c r="E161" s="66"/>
      <c r="F161" s="67"/>
      <c r="G161" s="67"/>
    </row>
    <row r="162" spans="1:7" ht="13">
      <c r="A162" s="137"/>
      <c r="B162" s="138" t="s">
        <v>306</v>
      </c>
      <c r="C162" s="139">
        <v>1</v>
      </c>
      <c r="E162" s="66"/>
      <c r="F162" s="67"/>
      <c r="G162" s="67"/>
    </row>
    <row r="163" spans="1:7" ht="13">
      <c r="A163" s="137"/>
      <c r="B163" s="138" t="s">
        <v>308</v>
      </c>
      <c r="C163" s="139"/>
      <c r="E163" s="66"/>
      <c r="F163" s="67"/>
      <c r="G163" s="67"/>
    </row>
    <row r="164" spans="1:7" ht="13">
      <c r="A164" s="137"/>
      <c r="B164" s="138" t="s">
        <v>311</v>
      </c>
      <c r="C164" s="139">
        <v>1</v>
      </c>
      <c r="E164" s="66"/>
      <c r="F164" s="67"/>
      <c r="G164" s="67"/>
    </row>
    <row r="165" spans="1:7" ht="13">
      <c r="A165" s="137"/>
      <c r="B165" s="138" t="s">
        <v>313</v>
      </c>
      <c r="C165" s="139">
        <v>3</v>
      </c>
      <c r="E165" s="66"/>
      <c r="F165" s="67"/>
      <c r="G165" s="67"/>
    </row>
    <row r="166" spans="1:7" ht="13">
      <c r="A166" s="137"/>
      <c r="B166" s="138" t="s">
        <v>316</v>
      </c>
      <c r="C166" s="139">
        <v>1</v>
      </c>
      <c r="E166" s="66"/>
      <c r="F166" s="67"/>
      <c r="G166" s="67"/>
    </row>
    <row r="167" spans="1:7" ht="13">
      <c r="A167" s="137"/>
      <c r="B167" s="138" t="s">
        <v>318</v>
      </c>
      <c r="C167" s="139">
        <v>1</v>
      </c>
      <c r="E167" s="66"/>
      <c r="F167" s="67"/>
      <c r="G167" s="67"/>
    </row>
    <row r="168" spans="1:7" ht="13">
      <c r="A168" s="137"/>
      <c r="B168" s="138" t="s">
        <v>320</v>
      </c>
      <c r="C168" s="139">
        <v>0</v>
      </c>
      <c r="E168" s="66"/>
      <c r="F168" s="67"/>
      <c r="G168" s="67"/>
    </row>
    <row r="169" spans="1:7" ht="13">
      <c r="A169" s="137"/>
      <c r="B169" s="138" t="s">
        <v>321</v>
      </c>
      <c r="C169" s="139">
        <v>0</v>
      </c>
      <c r="E169" s="66"/>
      <c r="F169" s="67"/>
      <c r="G169" s="67"/>
    </row>
    <row r="170" spans="1:7" ht="13">
      <c r="A170" s="137"/>
      <c r="B170" s="138" t="s">
        <v>322</v>
      </c>
      <c r="C170" s="139">
        <v>1</v>
      </c>
      <c r="E170" s="66"/>
      <c r="F170" s="67"/>
      <c r="G170" s="67"/>
    </row>
    <row r="171" spans="1:7" ht="13">
      <c r="A171" s="137"/>
      <c r="B171" s="138" t="s">
        <v>324</v>
      </c>
      <c r="C171" s="139">
        <v>1</v>
      </c>
      <c r="E171" s="66"/>
      <c r="F171" s="67"/>
      <c r="G171" s="67"/>
    </row>
    <row r="172" spans="1:7" ht="13">
      <c r="A172" s="137"/>
      <c r="B172" s="138" t="s">
        <v>327</v>
      </c>
      <c r="C172" s="139"/>
      <c r="E172" s="66"/>
      <c r="F172" s="67"/>
      <c r="G172" s="67"/>
    </row>
    <row r="173" spans="1:7" ht="13">
      <c r="A173" s="137"/>
      <c r="B173" s="138" t="s">
        <v>328</v>
      </c>
      <c r="C173" s="139">
        <v>0</v>
      </c>
      <c r="E173" s="66"/>
      <c r="F173" s="67"/>
      <c r="G173" s="67"/>
    </row>
    <row r="174" spans="1:7" ht="13">
      <c r="A174" s="137"/>
      <c r="B174" s="138" t="s">
        <v>329</v>
      </c>
      <c r="C174" s="139">
        <v>1</v>
      </c>
      <c r="E174" s="66"/>
      <c r="F174" s="67"/>
      <c r="G174" s="67"/>
    </row>
    <row r="175" spans="1:7" ht="13">
      <c r="A175" s="137"/>
      <c r="B175" s="138" t="s">
        <v>332</v>
      </c>
      <c r="C175" s="139">
        <v>2</v>
      </c>
      <c r="E175" s="66"/>
      <c r="F175" s="67"/>
      <c r="G175" s="67"/>
    </row>
    <row r="176" spans="1:7" ht="13">
      <c r="A176" s="137"/>
      <c r="B176" s="138" t="s">
        <v>334</v>
      </c>
      <c r="C176" s="139">
        <v>1</v>
      </c>
      <c r="E176" s="66"/>
      <c r="F176" s="67"/>
      <c r="G176" s="67"/>
    </row>
    <row r="177" spans="1:7" ht="13">
      <c r="A177" s="137"/>
      <c r="B177" s="138" t="s">
        <v>335</v>
      </c>
      <c r="C177" s="139">
        <v>0</v>
      </c>
      <c r="E177" s="66"/>
      <c r="F177" s="67"/>
      <c r="G177" s="67"/>
    </row>
    <row r="178" spans="1:7" ht="13">
      <c r="A178" s="137"/>
      <c r="B178" s="138" t="s">
        <v>336</v>
      </c>
      <c r="C178" s="139">
        <v>1</v>
      </c>
      <c r="E178" s="66"/>
      <c r="F178" s="67"/>
      <c r="G178" s="67"/>
    </row>
    <row r="179" spans="1:7" ht="13">
      <c r="A179" s="137"/>
      <c r="B179" s="138" t="s">
        <v>339</v>
      </c>
      <c r="C179" s="139">
        <v>1</v>
      </c>
      <c r="E179" s="66"/>
      <c r="F179" s="67"/>
      <c r="G179" s="67"/>
    </row>
    <row r="180" spans="1:7" ht="13">
      <c r="A180" s="137"/>
      <c r="B180" s="138" t="s">
        <v>342</v>
      </c>
      <c r="C180" s="139">
        <v>0</v>
      </c>
      <c r="E180" s="66"/>
      <c r="F180" s="67"/>
      <c r="G180" s="67"/>
    </row>
    <row r="181" spans="1:7" ht="13">
      <c r="A181" s="137"/>
      <c r="B181" s="138" t="s">
        <v>343</v>
      </c>
      <c r="C181" s="139">
        <v>0</v>
      </c>
      <c r="E181" s="66"/>
      <c r="F181" s="67"/>
      <c r="G181" s="67"/>
    </row>
    <row r="182" spans="1:7" ht="13">
      <c r="A182" s="137"/>
      <c r="B182" s="138" t="s">
        <v>344</v>
      </c>
      <c r="C182" s="139">
        <v>1</v>
      </c>
      <c r="E182" s="66"/>
      <c r="F182" s="67"/>
      <c r="G182" s="67"/>
    </row>
    <row r="183" spans="1:7" ht="13">
      <c r="A183" s="137"/>
      <c r="B183" s="138" t="s">
        <v>347</v>
      </c>
      <c r="C183" s="139"/>
      <c r="E183" s="66"/>
      <c r="F183" s="67"/>
      <c r="G183" s="67"/>
    </row>
    <row r="184" spans="1:7" ht="13">
      <c r="A184" s="137"/>
      <c r="B184" s="138" t="s">
        <v>348</v>
      </c>
      <c r="C184" s="139"/>
      <c r="E184" s="66"/>
      <c r="F184" s="67"/>
      <c r="G184" s="67"/>
    </row>
    <row r="185" spans="1:7" ht="13">
      <c r="A185" s="137"/>
      <c r="B185" s="138" t="s">
        <v>349</v>
      </c>
      <c r="C185" s="139"/>
      <c r="E185" s="66"/>
      <c r="F185" s="67"/>
      <c r="G185" s="67"/>
    </row>
    <row r="186" spans="1:7" ht="13">
      <c r="A186" s="137"/>
      <c r="B186" s="138" t="s">
        <v>351</v>
      </c>
      <c r="C186" s="139">
        <v>1</v>
      </c>
      <c r="E186" s="66"/>
      <c r="F186" s="67"/>
      <c r="G186" s="67"/>
    </row>
    <row r="187" spans="1:7" ht="13">
      <c r="A187" s="137"/>
      <c r="B187" s="138" t="s">
        <v>352</v>
      </c>
      <c r="C187" s="139"/>
      <c r="E187" s="66"/>
      <c r="F187" s="67"/>
      <c r="G187" s="67"/>
    </row>
    <row r="188" spans="1:7" ht="13">
      <c r="A188" s="137"/>
      <c r="B188" s="138" t="s">
        <v>353</v>
      </c>
      <c r="C188" s="139"/>
      <c r="E188" s="66"/>
      <c r="F188" s="67"/>
      <c r="G188" s="67"/>
    </row>
    <row r="189" spans="1:7" ht="13">
      <c r="A189" s="137"/>
      <c r="B189" s="138" t="s">
        <v>354</v>
      </c>
      <c r="C189" s="139">
        <v>1</v>
      </c>
      <c r="E189" s="66"/>
      <c r="F189" s="67"/>
      <c r="G189" s="67"/>
    </row>
    <row r="190" spans="1:7" ht="13">
      <c r="A190" s="137"/>
      <c r="B190" s="138" t="s">
        <v>357</v>
      </c>
      <c r="C190" s="139">
        <v>1</v>
      </c>
      <c r="E190" s="66"/>
      <c r="F190" s="67"/>
      <c r="G190" s="67"/>
    </row>
    <row r="191" spans="1:7" ht="13">
      <c r="A191" s="137"/>
      <c r="B191" s="138" t="s">
        <v>360</v>
      </c>
      <c r="C191" s="139">
        <v>1</v>
      </c>
      <c r="E191" s="66"/>
      <c r="F191" s="67"/>
      <c r="G191" s="67"/>
    </row>
    <row r="192" spans="1:7" ht="13">
      <c r="A192" s="137"/>
      <c r="B192" s="138" t="s">
        <v>362</v>
      </c>
      <c r="C192" s="139">
        <v>2</v>
      </c>
      <c r="E192" s="66"/>
      <c r="F192" s="67"/>
      <c r="G192" s="67"/>
    </row>
    <row r="193" spans="1:7" ht="13">
      <c r="A193" s="137"/>
      <c r="B193" s="138" t="s">
        <v>365</v>
      </c>
      <c r="C193" s="139">
        <v>1</v>
      </c>
      <c r="E193" s="66"/>
      <c r="F193" s="67"/>
      <c r="G193" s="67"/>
    </row>
    <row r="194" spans="1:7" ht="13">
      <c r="A194" s="137"/>
      <c r="B194" s="138" t="s">
        <v>368</v>
      </c>
      <c r="C194" s="139"/>
      <c r="E194" s="66"/>
      <c r="F194" s="67"/>
      <c r="G194" s="67"/>
    </row>
    <row r="195" spans="1:7" ht="13">
      <c r="A195" s="137"/>
      <c r="B195" s="138" t="s">
        <v>369</v>
      </c>
      <c r="C195" s="139">
        <v>1</v>
      </c>
      <c r="E195" s="66"/>
      <c r="F195" s="67"/>
      <c r="G195" s="67"/>
    </row>
    <row r="196" spans="1:7" ht="13">
      <c r="A196" s="137"/>
      <c r="B196" s="138" t="s">
        <v>372</v>
      </c>
      <c r="C196" s="139"/>
      <c r="E196" s="66"/>
      <c r="F196" s="67"/>
      <c r="G196" s="67"/>
    </row>
    <row r="197" spans="1:7" ht="13">
      <c r="A197" s="137"/>
      <c r="B197" s="138" t="s">
        <v>373</v>
      </c>
      <c r="C197" s="139">
        <v>1</v>
      </c>
      <c r="E197" s="66"/>
      <c r="F197" s="67"/>
      <c r="G197" s="67"/>
    </row>
    <row r="198" spans="1:7" ht="13">
      <c r="A198" s="137"/>
      <c r="B198" s="138" t="s">
        <v>376</v>
      </c>
      <c r="C198" s="139">
        <v>7</v>
      </c>
      <c r="E198" s="66"/>
      <c r="F198" s="67"/>
      <c r="G198" s="67"/>
    </row>
    <row r="199" spans="1:7" ht="13">
      <c r="A199" s="137"/>
      <c r="B199" s="138" t="s">
        <v>379</v>
      </c>
      <c r="C199" s="139">
        <v>0</v>
      </c>
      <c r="E199" s="66"/>
      <c r="F199" s="67"/>
      <c r="G199" s="67"/>
    </row>
    <row r="200" spans="1:7" ht="13">
      <c r="A200" s="137"/>
      <c r="B200" s="138" t="s">
        <v>380</v>
      </c>
      <c r="C200" s="139">
        <v>1</v>
      </c>
      <c r="E200" s="66"/>
      <c r="F200" s="67"/>
      <c r="G200" s="67"/>
    </row>
    <row r="201" spans="1:7" ht="13">
      <c r="A201" s="137"/>
      <c r="B201" s="138" t="s">
        <v>383</v>
      </c>
      <c r="C201" s="139">
        <v>2</v>
      </c>
      <c r="E201" s="66"/>
      <c r="F201" s="67"/>
      <c r="G201" s="67"/>
    </row>
    <row r="202" spans="1:7" ht="13">
      <c r="A202" s="137"/>
      <c r="B202" s="138" t="s">
        <v>385</v>
      </c>
      <c r="C202" s="139">
        <v>5</v>
      </c>
      <c r="E202" s="66"/>
      <c r="F202" s="67"/>
      <c r="G202" s="67"/>
    </row>
    <row r="203" spans="1:7" ht="13">
      <c r="A203" s="137"/>
      <c r="B203" s="138" t="s">
        <v>387</v>
      </c>
      <c r="C203" s="139">
        <v>6</v>
      </c>
      <c r="E203" s="66"/>
      <c r="F203" s="67"/>
      <c r="G203" s="67"/>
    </row>
    <row r="204" spans="1:7" ht="13">
      <c r="A204" s="137"/>
      <c r="B204" s="138" t="s">
        <v>389</v>
      </c>
      <c r="C204" s="139">
        <v>2</v>
      </c>
      <c r="E204" s="66"/>
      <c r="F204" s="67"/>
      <c r="G204" s="67"/>
    </row>
    <row r="205" spans="1:7" ht="13">
      <c r="A205" s="137"/>
      <c r="B205" s="138" t="s">
        <v>391</v>
      </c>
      <c r="C205" s="139">
        <v>0</v>
      </c>
      <c r="E205" s="66"/>
      <c r="F205" s="67"/>
      <c r="G205" s="67"/>
    </row>
    <row r="206" spans="1:7" ht="13">
      <c r="A206" s="137"/>
      <c r="B206" s="138" t="s">
        <v>551</v>
      </c>
      <c r="C206" s="139"/>
      <c r="E206" s="66"/>
      <c r="F206" s="67"/>
      <c r="G206" s="67"/>
    </row>
    <row r="207" spans="1:7" ht="13">
      <c r="A207" s="137"/>
      <c r="B207" s="138" t="s">
        <v>392</v>
      </c>
      <c r="C207" s="139">
        <v>4</v>
      </c>
      <c r="E207" s="66"/>
      <c r="F207" s="67"/>
      <c r="G207" s="67"/>
    </row>
    <row r="208" spans="1:7" ht="13">
      <c r="A208" s="137"/>
      <c r="B208" s="138" t="s">
        <v>395</v>
      </c>
      <c r="C208" s="139">
        <v>2</v>
      </c>
      <c r="E208" s="66"/>
      <c r="F208" s="67"/>
      <c r="G208" s="67"/>
    </row>
    <row r="209" spans="1:7" ht="13">
      <c r="A209" s="137"/>
      <c r="B209" s="138" t="s">
        <v>398</v>
      </c>
      <c r="C209" s="139">
        <v>1</v>
      </c>
      <c r="E209" s="66"/>
      <c r="F209" s="67"/>
      <c r="G209" s="67"/>
    </row>
    <row r="210" spans="1:7" ht="13">
      <c r="A210" s="137"/>
      <c r="B210" s="138" t="s">
        <v>401</v>
      </c>
      <c r="C210" s="139">
        <v>1</v>
      </c>
      <c r="E210" s="66"/>
      <c r="F210" s="67"/>
      <c r="G210" s="67"/>
    </row>
    <row r="211" spans="1:7" ht="13">
      <c r="A211" s="137"/>
      <c r="B211" s="138" t="s">
        <v>404</v>
      </c>
      <c r="C211" s="139">
        <v>1</v>
      </c>
      <c r="E211" s="66"/>
      <c r="F211" s="67"/>
      <c r="G211" s="67"/>
    </row>
    <row r="212" spans="1:7" ht="13">
      <c r="A212" s="137"/>
      <c r="B212" s="138" t="s">
        <v>405</v>
      </c>
      <c r="C212" s="139">
        <v>0</v>
      </c>
      <c r="E212" s="66"/>
      <c r="F212" s="67"/>
      <c r="G212" s="67"/>
    </row>
    <row r="213" spans="1:7" ht="13">
      <c r="A213" s="137"/>
      <c r="B213" s="138" t="s">
        <v>407</v>
      </c>
      <c r="C213" s="139">
        <v>2</v>
      </c>
      <c r="E213" s="66"/>
      <c r="F213" s="67"/>
      <c r="G213" s="67"/>
    </row>
    <row r="214" spans="1:7" ht="13">
      <c r="A214" s="137"/>
      <c r="B214" s="138" t="s">
        <v>409</v>
      </c>
      <c r="C214" s="139">
        <v>2</v>
      </c>
      <c r="E214" s="66"/>
      <c r="F214" s="67"/>
      <c r="G214" s="67"/>
    </row>
    <row r="215" spans="1:7" ht="13">
      <c r="A215" s="137"/>
      <c r="B215" s="138" t="s">
        <v>411</v>
      </c>
      <c r="C215" s="139">
        <v>0</v>
      </c>
      <c r="E215" s="66"/>
      <c r="F215" s="67"/>
      <c r="G215" s="67"/>
    </row>
    <row r="216" spans="1:7" ht="13">
      <c r="A216" s="137"/>
      <c r="B216" s="138" t="s">
        <v>412</v>
      </c>
      <c r="C216" s="139">
        <v>0</v>
      </c>
      <c r="E216" s="66"/>
      <c r="F216" s="67"/>
      <c r="G216" s="67"/>
    </row>
    <row r="217" spans="1:7" ht="13">
      <c r="A217" s="137"/>
      <c r="B217" s="138" t="s">
        <v>413</v>
      </c>
      <c r="C217" s="139">
        <v>0</v>
      </c>
      <c r="E217" s="66"/>
      <c r="F217" s="67"/>
      <c r="G217" s="67"/>
    </row>
    <row r="218" spans="1:7" ht="13">
      <c r="A218" s="137"/>
      <c r="B218" s="138" t="s">
        <v>414</v>
      </c>
      <c r="C218" s="139">
        <v>0</v>
      </c>
      <c r="E218" s="66"/>
      <c r="F218" s="67"/>
      <c r="G218" s="67"/>
    </row>
    <row r="219" spans="1:7" ht="13">
      <c r="A219" s="137"/>
      <c r="B219" s="138" t="s">
        <v>415</v>
      </c>
      <c r="C219" s="139">
        <v>2</v>
      </c>
      <c r="E219" s="66"/>
      <c r="F219" s="67"/>
      <c r="G219" s="67"/>
    </row>
    <row r="220" spans="1:7" ht="13">
      <c r="A220" s="137"/>
      <c r="B220" s="138" t="s">
        <v>417</v>
      </c>
      <c r="C220" s="139">
        <v>0</v>
      </c>
      <c r="E220" s="66"/>
      <c r="F220" s="67"/>
      <c r="G220" s="67"/>
    </row>
    <row r="221" spans="1:7" ht="13">
      <c r="A221" s="137"/>
      <c r="B221" s="138" t="s">
        <v>418</v>
      </c>
      <c r="C221" s="139">
        <v>0</v>
      </c>
      <c r="E221" s="66"/>
      <c r="F221" s="67"/>
      <c r="G221" s="67"/>
    </row>
    <row r="222" spans="1:7" ht="13">
      <c r="A222" s="137"/>
      <c r="B222" s="138" t="s">
        <v>419</v>
      </c>
      <c r="C222" s="139">
        <v>0</v>
      </c>
      <c r="E222" s="66"/>
      <c r="F222" s="67"/>
      <c r="G222" s="67"/>
    </row>
    <row r="223" spans="1:7" ht="13">
      <c r="A223" s="137"/>
      <c r="B223" s="138" t="s">
        <v>420</v>
      </c>
      <c r="C223" s="139">
        <v>3</v>
      </c>
      <c r="E223" s="66"/>
      <c r="F223" s="67"/>
      <c r="G223" s="67"/>
    </row>
    <row r="224" spans="1:7" ht="13">
      <c r="A224" s="137"/>
      <c r="B224" s="138" t="s">
        <v>422</v>
      </c>
      <c r="C224" s="139"/>
      <c r="E224" s="66"/>
      <c r="F224" s="67"/>
      <c r="G224" s="67"/>
    </row>
    <row r="225" spans="1:7" ht="13">
      <c r="A225" s="137"/>
      <c r="B225" s="138" t="s">
        <v>423</v>
      </c>
      <c r="C225" s="139">
        <v>0</v>
      </c>
      <c r="E225" s="66"/>
      <c r="F225" s="67"/>
      <c r="G225" s="67"/>
    </row>
    <row r="226" spans="1:7" ht="13">
      <c r="A226" s="137"/>
      <c r="B226" s="138" t="s">
        <v>424</v>
      </c>
      <c r="C226" s="139">
        <v>2</v>
      </c>
      <c r="E226" s="66"/>
      <c r="F226" s="67"/>
      <c r="G226" s="67"/>
    </row>
    <row r="227" spans="1:7" ht="13">
      <c r="A227" s="137"/>
      <c r="B227" s="138" t="s">
        <v>406</v>
      </c>
      <c r="C227" s="139">
        <v>2</v>
      </c>
      <c r="E227" s="66"/>
      <c r="F227" s="67"/>
      <c r="G227" s="67"/>
    </row>
    <row r="228" spans="1:7" ht="13">
      <c r="A228" s="137"/>
      <c r="B228" s="138" t="s">
        <v>429</v>
      </c>
      <c r="C228" s="139">
        <v>0</v>
      </c>
      <c r="E228" s="66"/>
      <c r="F228" s="67"/>
      <c r="G228" s="67"/>
    </row>
    <row r="229" spans="1:7" ht="13">
      <c r="A229" s="137"/>
      <c r="B229" s="138" t="s">
        <v>430</v>
      </c>
      <c r="C229" s="139">
        <v>3</v>
      </c>
      <c r="E229" s="66"/>
      <c r="F229" s="67"/>
      <c r="G229" s="67"/>
    </row>
    <row r="230" spans="1:7" ht="13">
      <c r="A230" s="137"/>
      <c r="B230" s="138" t="s">
        <v>432</v>
      </c>
      <c r="C230" s="139">
        <v>2</v>
      </c>
      <c r="E230" s="66"/>
      <c r="F230" s="67"/>
      <c r="G230" s="67"/>
    </row>
    <row r="231" spans="1:7" ht="13">
      <c r="A231" s="137"/>
      <c r="B231" s="138" t="s">
        <v>434</v>
      </c>
      <c r="C231" s="139">
        <v>0</v>
      </c>
      <c r="E231" s="66"/>
      <c r="F231" s="67"/>
      <c r="G231" s="67"/>
    </row>
    <row r="232" spans="1:7" ht="13">
      <c r="A232" s="137"/>
      <c r="B232" s="138" t="s">
        <v>435</v>
      </c>
      <c r="C232" s="139">
        <v>10</v>
      </c>
      <c r="E232" s="66"/>
      <c r="F232" s="67"/>
      <c r="G232" s="67"/>
    </row>
    <row r="233" spans="1:7" ht="13">
      <c r="A233" s="137"/>
      <c r="B233" s="138" t="s">
        <v>555</v>
      </c>
      <c r="C233" s="139"/>
      <c r="E233" s="66"/>
      <c r="F233" s="67"/>
      <c r="G233" s="67"/>
    </row>
    <row r="234" spans="1:7" ht="13">
      <c r="A234" s="137"/>
      <c r="B234" s="138" t="s">
        <v>556</v>
      </c>
      <c r="C234" s="139"/>
      <c r="E234" s="66"/>
      <c r="F234" s="67"/>
      <c r="G234" s="67"/>
    </row>
    <row r="235" spans="1:7" ht="13">
      <c r="A235" s="137"/>
      <c r="B235" s="138" t="s">
        <v>436</v>
      </c>
      <c r="C235" s="139"/>
      <c r="E235" s="66"/>
      <c r="F235" s="67"/>
      <c r="G235" s="67"/>
    </row>
    <row r="236" spans="1:7" ht="13">
      <c r="A236" s="137"/>
      <c r="B236" s="138" t="s">
        <v>437</v>
      </c>
      <c r="C236" s="139">
        <v>1</v>
      </c>
      <c r="E236" s="66"/>
      <c r="F236" s="67"/>
      <c r="G236" s="67"/>
    </row>
    <row r="237" spans="1:7" ht="13">
      <c r="A237" s="137"/>
      <c r="B237" s="138" t="s">
        <v>439</v>
      </c>
      <c r="C237" s="139">
        <v>1</v>
      </c>
      <c r="E237" s="66"/>
      <c r="F237" s="67"/>
      <c r="G237" s="67"/>
    </row>
    <row r="238" spans="1:7" ht="13">
      <c r="A238" s="137"/>
      <c r="B238" s="138" t="s">
        <v>441</v>
      </c>
      <c r="C238" s="139">
        <v>0</v>
      </c>
      <c r="E238" s="66"/>
      <c r="F238" s="67"/>
      <c r="G238" s="67"/>
    </row>
    <row r="239" spans="1:7" ht="13">
      <c r="A239" s="137"/>
      <c r="B239" s="138" t="s">
        <v>442</v>
      </c>
      <c r="C239" s="139">
        <v>1</v>
      </c>
      <c r="E239" s="66"/>
      <c r="F239" s="67"/>
      <c r="G239" s="67"/>
    </row>
    <row r="240" spans="1:7" ht="13">
      <c r="A240" s="137"/>
      <c r="B240" s="138" t="s">
        <v>444</v>
      </c>
      <c r="C240" s="139">
        <v>0</v>
      </c>
      <c r="E240" s="66"/>
      <c r="F240" s="67"/>
      <c r="G240" s="67"/>
    </row>
    <row r="241" spans="1:7" ht="13">
      <c r="A241" s="137"/>
      <c r="B241" s="138" t="s">
        <v>445</v>
      </c>
      <c r="C241" s="139">
        <v>1</v>
      </c>
      <c r="E241" s="66"/>
      <c r="F241" s="67"/>
      <c r="G241" s="67"/>
    </row>
    <row r="242" spans="1:7" ht="13">
      <c r="A242" s="137"/>
      <c r="B242" s="138" t="s">
        <v>447</v>
      </c>
      <c r="C242" s="139">
        <v>3</v>
      </c>
      <c r="E242" s="66"/>
      <c r="F242" s="67"/>
      <c r="G242" s="67"/>
    </row>
    <row r="243" spans="1:7" ht="13">
      <c r="A243" s="137"/>
      <c r="B243" s="138" t="s">
        <v>448</v>
      </c>
      <c r="C243" s="139">
        <v>0</v>
      </c>
      <c r="E243" s="66"/>
      <c r="F243" s="67"/>
      <c r="G243" s="67"/>
    </row>
    <row r="244" spans="1:7" ht="13">
      <c r="A244" s="137"/>
      <c r="B244" s="138" t="s">
        <v>449</v>
      </c>
      <c r="C244" s="139">
        <v>10</v>
      </c>
      <c r="E244" s="66"/>
      <c r="F244" s="67"/>
      <c r="G244" s="67"/>
    </row>
    <row r="245" spans="1:7" ht="13">
      <c r="A245" s="137"/>
      <c r="B245" s="138" t="s">
        <v>450</v>
      </c>
      <c r="C245" s="139">
        <v>1</v>
      </c>
      <c r="E245" s="66"/>
      <c r="F245" s="67"/>
      <c r="G245" s="67"/>
    </row>
    <row r="246" spans="1:7" ht="13">
      <c r="A246" s="137"/>
      <c r="B246" s="138" t="s">
        <v>452</v>
      </c>
      <c r="C246" s="139">
        <v>2</v>
      </c>
      <c r="E246" s="66"/>
      <c r="F246" s="67"/>
      <c r="G246" s="67"/>
    </row>
    <row r="247" spans="1:7" ht="13">
      <c r="A247" s="137"/>
      <c r="B247" s="138" t="s">
        <v>453</v>
      </c>
      <c r="C247" s="139">
        <v>1</v>
      </c>
      <c r="E247" s="66"/>
      <c r="F247" s="67"/>
      <c r="G247" s="67"/>
    </row>
    <row r="248" spans="1:7" ht="13">
      <c r="A248" s="137"/>
      <c r="B248" s="138" t="s">
        <v>455</v>
      </c>
      <c r="C248" s="139">
        <v>0</v>
      </c>
      <c r="E248" s="66"/>
      <c r="F248" s="67"/>
      <c r="G248" s="67"/>
    </row>
    <row r="249" spans="1:7" ht="13">
      <c r="A249" s="137"/>
      <c r="B249" s="138" t="s">
        <v>456</v>
      </c>
      <c r="C249" s="139">
        <v>1</v>
      </c>
      <c r="E249" s="66"/>
      <c r="F249" s="67"/>
      <c r="G249" s="67"/>
    </row>
    <row r="250" spans="1:7" ht="13">
      <c r="A250" s="137"/>
      <c r="B250" s="138" t="s">
        <v>457</v>
      </c>
      <c r="C250" s="139">
        <v>1</v>
      </c>
      <c r="E250" s="66"/>
      <c r="F250" s="67"/>
      <c r="G250" s="67"/>
    </row>
    <row r="251" spans="1:7" ht="13">
      <c r="A251" s="137"/>
      <c r="B251" s="138" t="s">
        <v>458</v>
      </c>
      <c r="C251" s="139">
        <v>1</v>
      </c>
      <c r="E251" s="66"/>
      <c r="F251" s="67"/>
      <c r="G251" s="67"/>
    </row>
    <row r="252" spans="1:7" ht="13">
      <c r="A252" s="137"/>
      <c r="B252" s="138" t="s">
        <v>460</v>
      </c>
      <c r="C252" s="139">
        <v>1</v>
      </c>
      <c r="E252" s="66"/>
      <c r="F252" s="67"/>
      <c r="G252" s="67"/>
    </row>
    <row r="253" spans="1:7" ht="13">
      <c r="A253" s="137"/>
      <c r="B253" s="138" t="s">
        <v>463</v>
      </c>
      <c r="C253" s="139">
        <v>0</v>
      </c>
      <c r="E253" s="66"/>
      <c r="F253" s="67"/>
      <c r="G253" s="67"/>
    </row>
    <row r="254" spans="1:7" ht="13">
      <c r="A254" s="137"/>
      <c r="B254" s="138" t="s">
        <v>464</v>
      </c>
      <c r="C254" s="139">
        <v>1</v>
      </c>
      <c r="E254" s="66"/>
      <c r="F254" s="67"/>
      <c r="G254" s="67"/>
    </row>
    <row r="255" spans="1:7" ht="13">
      <c r="A255" s="137"/>
      <c r="B255" s="138" t="s">
        <v>466</v>
      </c>
      <c r="C255" s="139">
        <v>2</v>
      </c>
      <c r="E255" s="66"/>
      <c r="F255" s="67"/>
      <c r="G255" s="67"/>
    </row>
    <row r="256" spans="1:7" ht="13">
      <c r="A256" s="137"/>
      <c r="B256" s="138" t="s">
        <v>469</v>
      </c>
      <c r="C256" s="139">
        <v>1</v>
      </c>
      <c r="E256" s="66"/>
      <c r="F256" s="67"/>
      <c r="G256" s="67"/>
    </row>
    <row r="257" spans="1:7" ht="13">
      <c r="A257" s="137"/>
      <c r="B257" s="138" t="s">
        <v>472</v>
      </c>
      <c r="C257" s="139">
        <v>4</v>
      </c>
      <c r="E257" s="66"/>
      <c r="F257" s="67"/>
      <c r="G257" s="67"/>
    </row>
    <row r="258" spans="1:7" ht="13">
      <c r="A258" s="137"/>
      <c r="B258" s="138" t="s">
        <v>475</v>
      </c>
      <c r="C258" s="139">
        <v>4</v>
      </c>
      <c r="E258" s="66"/>
      <c r="F258" s="67"/>
      <c r="G258" s="67"/>
    </row>
    <row r="259" spans="1:7" ht="13">
      <c r="A259" s="137"/>
      <c r="B259" s="138" t="s">
        <v>478</v>
      </c>
      <c r="C259" s="139">
        <v>10</v>
      </c>
      <c r="E259" s="66"/>
      <c r="F259" s="67"/>
      <c r="G259" s="67"/>
    </row>
    <row r="260" spans="1:7" ht="13">
      <c r="A260" s="137"/>
      <c r="B260" s="138" t="s">
        <v>479</v>
      </c>
      <c r="C260" s="139">
        <v>3</v>
      </c>
      <c r="E260" s="66"/>
      <c r="F260" s="67"/>
      <c r="G260" s="67"/>
    </row>
    <row r="261" spans="1:7" ht="13">
      <c r="A261" s="137"/>
      <c r="B261" s="138" t="s">
        <v>481</v>
      </c>
      <c r="C261" s="139"/>
      <c r="E261" s="66"/>
      <c r="F261" s="67"/>
      <c r="G261" s="67"/>
    </row>
    <row r="262" spans="1:7" ht="13">
      <c r="A262" s="137"/>
      <c r="B262" s="138" t="s">
        <v>482</v>
      </c>
      <c r="C262" s="139"/>
      <c r="E262" s="66"/>
      <c r="F262" s="67"/>
      <c r="G262" s="67"/>
    </row>
    <row r="263" spans="1:7" ht="13">
      <c r="A263" s="137"/>
      <c r="B263" s="138" t="s">
        <v>483</v>
      </c>
      <c r="C263" s="139">
        <v>0</v>
      </c>
      <c r="E263" s="66"/>
      <c r="F263" s="67"/>
      <c r="G263" s="67"/>
    </row>
    <row r="264" spans="1:7" ht="13">
      <c r="A264" s="137"/>
      <c r="B264" s="138" t="s">
        <v>548</v>
      </c>
      <c r="C264" s="139"/>
      <c r="E264" s="66"/>
      <c r="F264" s="67"/>
      <c r="G264" s="67"/>
    </row>
    <row r="265" spans="1:7" ht="13">
      <c r="A265" s="137"/>
      <c r="B265" s="138" t="s">
        <v>549</v>
      </c>
      <c r="C265" s="139"/>
      <c r="E265" s="66"/>
      <c r="F265" s="67"/>
      <c r="G265" s="67"/>
    </row>
    <row r="266" spans="1:7" ht="13">
      <c r="A266" s="137"/>
      <c r="B266" s="138" t="s">
        <v>484</v>
      </c>
      <c r="C266" s="139">
        <v>1</v>
      </c>
      <c r="E266" s="66"/>
      <c r="F266" s="67"/>
      <c r="G266" s="67"/>
    </row>
    <row r="267" spans="1:7" ht="13">
      <c r="A267" s="137"/>
      <c r="B267" s="138" t="s">
        <v>486</v>
      </c>
      <c r="C267" s="139">
        <v>1</v>
      </c>
      <c r="E267" s="66"/>
      <c r="F267" s="67"/>
      <c r="G267" s="67"/>
    </row>
    <row r="268" spans="1:7" ht="13">
      <c r="A268" s="137"/>
      <c r="B268" s="138" t="s">
        <v>547</v>
      </c>
      <c r="C268" s="139"/>
      <c r="E268" s="66"/>
      <c r="F268" s="67"/>
      <c r="G268" s="67"/>
    </row>
    <row r="269" spans="1:7" ht="13">
      <c r="A269" s="137"/>
      <c r="B269" s="138" t="s">
        <v>488</v>
      </c>
      <c r="C269" s="139"/>
      <c r="E269" s="66"/>
      <c r="F269" s="67"/>
      <c r="G269" s="67"/>
    </row>
    <row r="270" spans="1:7" ht="13">
      <c r="A270" s="137"/>
      <c r="B270" s="138" t="s">
        <v>491</v>
      </c>
      <c r="C270" s="139">
        <v>2</v>
      </c>
      <c r="E270" s="66"/>
      <c r="F270" s="67"/>
      <c r="G270" s="67"/>
    </row>
    <row r="271" spans="1:7" ht="13">
      <c r="A271" s="137"/>
      <c r="B271" s="138" t="s">
        <v>494</v>
      </c>
      <c r="C271" s="139">
        <v>0</v>
      </c>
      <c r="E271" s="66"/>
      <c r="F271" s="67"/>
      <c r="G271" s="67"/>
    </row>
    <row r="272" spans="1:7" ht="13">
      <c r="A272" s="137"/>
      <c r="B272" s="138" t="s">
        <v>495</v>
      </c>
      <c r="C272" s="139"/>
      <c r="E272" s="66"/>
      <c r="F272" s="67"/>
      <c r="G272" s="67"/>
    </row>
    <row r="273" spans="1:7" ht="13">
      <c r="A273" s="137"/>
      <c r="B273" s="138" t="s">
        <v>496</v>
      </c>
      <c r="C273" s="139">
        <v>4</v>
      </c>
      <c r="E273" s="66"/>
      <c r="F273" s="67"/>
      <c r="G273" s="67"/>
    </row>
    <row r="274" spans="1:7" ht="13">
      <c r="A274" s="137"/>
      <c r="B274" s="138" t="s">
        <v>498</v>
      </c>
      <c r="C274" s="139">
        <v>1</v>
      </c>
      <c r="E274" s="66"/>
      <c r="F274" s="67"/>
      <c r="G274" s="67"/>
    </row>
    <row r="275" spans="1:7" ht="13">
      <c r="A275" s="137"/>
      <c r="B275" s="138" t="s">
        <v>501</v>
      </c>
      <c r="C275" s="139">
        <v>0</v>
      </c>
      <c r="E275" s="66"/>
      <c r="F275" s="67"/>
      <c r="G275" s="67"/>
    </row>
    <row r="276" spans="1:7" ht="13">
      <c r="A276" s="137"/>
      <c r="B276" s="138" t="s">
        <v>502</v>
      </c>
      <c r="C276" s="139">
        <v>2</v>
      </c>
      <c r="E276" s="66"/>
      <c r="F276" s="67"/>
      <c r="G276" s="67"/>
    </row>
    <row r="277" spans="1:7" ht="13">
      <c r="A277" s="137"/>
      <c r="B277" s="138" t="s">
        <v>505</v>
      </c>
      <c r="C277" s="139">
        <v>5</v>
      </c>
      <c r="E277" s="66"/>
      <c r="F277" s="67"/>
      <c r="G277" s="67"/>
    </row>
    <row r="278" spans="1:7" ht="13">
      <c r="A278" s="137"/>
      <c r="B278" s="138" t="s">
        <v>514</v>
      </c>
      <c r="C278" s="139">
        <v>0</v>
      </c>
      <c r="E278" s="66"/>
      <c r="F278" s="67"/>
      <c r="G278" s="67"/>
    </row>
    <row r="279" spans="1:7" ht="13">
      <c r="A279" s="137"/>
      <c r="B279" s="138" t="s">
        <v>507</v>
      </c>
      <c r="C279" s="139">
        <v>4</v>
      </c>
      <c r="E279" s="66"/>
      <c r="F279" s="67"/>
      <c r="G279" s="67"/>
    </row>
    <row r="280" spans="1:7" ht="13">
      <c r="A280" s="137"/>
      <c r="B280" s="138" t="s">
        <v>509</v>
      </c>
      <c r="C280" s="139">
        <v>0</v>
      </c>
      <c r="E280" s="66"/>
      <c r="F280" s="67"/>
      <c r="G280" s="67"/>
    </row>
    <row r="281" spans="1:7" ht="13">
      <c r="A281" s="137"/>
      <c r="B281" s="138" t="s">
        <v>510</v>
      </c>
      <c r="C281" s="139">
        <v>2</v>
      </c>
      <c r="E281" s="66"/>
      <c r="F281" s="67"/>
      <c r="G281" s="67"/>
    </row>
    <row r="282" spans="1:7" ht="13">
      <c r="A282" s="137"/>
      <c r="B282" s="138" t="s">
        <v>512</v>
      </c>
      <c r="C282" s="139">
        <v>2</v>
      </c>
      <c r="E282" s="66"/>
      <c r="F282" s="67"/>
      <c r="G282" s="67"/>
    </row>
    <row r="283" spans="1:7" ht="13">
      <c r="A283" s="137"/>
      <c r="B283" s="138" t="s">
        <v>515</v>
      </c>
      <c r="C283" s="139">
        <v>1</v>
      </c>
      <c r="E283" s="66"/>
      <c r="F283" s="67"/>
      <c r="G283" s="67"/>
    </row>
    <row r="284" spans="1:7" ht="13">
      <c r="A284" s="137"/>
      <c r="B284" s="138" t="s">
        <v>518</v>
      </c>
      <c r="C284" s="139">
        <v>1</v>
      </c>
      <c r="E284" s="66"/>
      <c r="F284" s="67"/>
      <c r="G284" s="67"/>
    </row>
    <row r="285" spans="1:7" ht="13">
      <c r="A285" s="137"/>
      <c r="B285" s="138" t="s">
        <v>521</v>
      </c>
      <c r="C285" s="139">
        <v>0</v>
      </c>
      <c r="E285" s="66"/>
      <c r="F285" s="67"/>
      <c r="G285" s="67"/>
    </row>
    <row r="286" spans="1:7" ht="13">
      <c r="A286" s="137"/>
      <c r="B286" s="138" t="s">
        <v>523</v>
      </c>
      <c r="C286" s="139">
        <v>1</v>
      </c>
      <c r="E286" s="66"/>
      <c r="F286" s="67"/>
      <c r="G286" s="67"/>
    </row>
    <row r="287" spans="1:7" ht="13">
      <c r="A287" s="137"/>
      <c r="B287" s="138" t="s">
        <v>524</v>
      </c>
      <c r="C287" s="139"/>
      <c r="E287" s="66"/>
      <c r="F287" s="67"/>
      <c r="G287" s="67"/>
    </row>
    <row r="288" spans="1:7" ht="13">
      <c r="A288" s="137"/>
      <c r="B288" s="138" t="s">
        <v>525</v>
      </c>
      <c r="C288" s="139"/>
      <c r="E288" s="66"/>
      <c r="F288" s="67"/>
      <c r="G288" s="67"/>
    </row>
    <row r="289" spans="1:7" ht="13">
      <c r="A289" s="137"/>
      <c r="B289" s="138" t="s">
        <v>526</v>
      </c>
      <c r="C289" s="139">
        <v>0</v>
      </c>
      <c r="E289" s="66"/>
      <c r="F289" s="67"/>
      <c r="G289" s="67"/>
    </row>
    <row r="290" spans="1:7" ht="13">
      <c r="A290" s="137"/>
      <c r="B290" s="138" t="s">
        <v>527</v>
      </c>
      <c r="C290" s="139">
        <v>1</v>
      </c>
      <c r="E290" s="66"/>
      <c r="F290" s="67"/>
      <c r="G290" s="67"/>
    </row>
    <row r="291" spans="1:7" ht="13">
      <c r="A291" s="137"/>
      <c r="B291" s="138" t="s">
        <v>552</v>
      </c>
      <c r="C291" s="139"/>
      <c r="E291" s="66"/>
      <c r="F291" s="67"/>
      <c r="G291" s="67"/>
    </row>
    <row r="292" spans="1:7" ht="13">
      <c r="A292" s="137"/>
      <c r="B292" s="138" t="s">
        <v>530</v>
      </c>
      <c r="C292" s="139">
        <v>1</v>
      </c>
      <c r="E292" s="66"/>
      <c r="F292" s="67"/>
      <c r="G292" s="67"/>
    </row>
    <row r="293" spans="1:7" ht="13">
      <c r="A293" s="137"/>
      <c r="B293" s="138" t="s">
        <v>532</v>
      </c>
      <c r="C293" s="139">
        <v>1</v>
      </c>
      <c r="E293" s="66"/>
      <c r="F293" s="67"/>
      <c r="G293" s="67"/>
    </row>
    <row r="294" spans="1:7" ht="13">
      <c r="A294" s="137"/>
      <c r="B294" s="138" t="s">
        <v>534</v>
      </c>
      <c r="C294" s="139">
        <v>2</v>
      </c>
      <c r="E294" s="66"/>
      <c r="F294" s="67"/>
      <c r="G294" s="67"/>
    </row>
    <row r="295" spans="1:7" ht="13">
      <c r="A295" s="137"/>
      <c r="B295" s="138" t="s">
        <v>536</v>
      </c>
      <c r="C295" s="139"/>
      <c r="E295" s="66"/>
      <c r="F295" s="67"/>
      <c r="G295" s="67"/>
    </row>
    <row r="296" spans="1:7" ht="13">
      <c r="A296" s="137"/>
      <c r="B296" s="138" t="s">
        <v>537</v>
      </c>
      <c r="C296" s="139"/>
      <c r="E296" s="66"/>
      <c r="F296" s="67"/>
      <c r="G296" s="67"/>
    </row>
    <row r="297" spans="1:7" ht="13">
      <c r="A297" s="137"/>
      <c r="B297" s="138" t="s">
        <v>538</v>
      </c>
      <c r="C297" s="139">
        <v>1</v>
      </c>
      <c r="E297" s="66"/>
      <c r="F297" s="67"/>
      <c r="G297" s="67"/>
    </row>
    <row r="298" spans="1:7" ht="13">
      <c r="A298" s="134" t="s">
        <v>615</v>
      </c>
      <c r="B298" s="136"/>
      <c r="C298" s="135">
        <v>302</v>
      </c>
      <c r="E298" s="66"/>
      <c r="F298" s="67"/>
      <c r="G298" s="67"/>
    </row>
    <row r="299" spans="1:7" ht="13">
      <c r="A299" s="134" t="s">
        <v>541</v>
      </c>
      <c r="B299" s="134" t="s">
        <v>542</v>
      </c>
      <c r="C299" s="135">
        <v>2</v>
      </c>
      <c r="E299" s="66"/>
      <c r="F299" s="67"/>
      <c r="G299" s="67"/>
    </row>
    <row r="300" spans="1:7" ht="13">
      <c r="A300" s="137"/>
      <c r="B300" s="138" t="s">
        <v>545</v>
      </c>
      <c r="C300" s="139">
        <v>2</v>
      </c>
      <c r="E300" s="66"/>
      <c r="F300" s="67"/>
      <c r="G300" s="67"/>
    </row>
    <row r="301" spans="1:7" ht="13">
      <c r="A301" s="134" t="s">
        <v>628</v>
      </c>
      <c r="B301" s="136"/>
      <c r="C301" s="135">
        <v>4</v>
      </c>
      <c r="E301" s="66"/>
      <c r="F301" s="67"/>
      <c r="G301" s="67"/>
    </row>
    <row r="302" spans="1:7" ht="13">
      <c r="A302" s="134" t="s">
        <v>1284</v>
      </c>
      <c r="B302" s="134" t="s">
        <v>1284</v>
      </c>
      <c r="C302" s="135"/>
      <c r="E302" s="66"/>
      <c r="F302" s="67"/>
      <c r="G302" s="67"/>
    </row>
    <row r="303" spans="1:7" ht="13">
      <c r="A303" s="140" t="s">
        <v>1285</v>
      </c>
      <c r="B303" s="141"/>
      <c r="C303" s="142"/>
      <c r="E303" s="66"/>
      <c r="F303" s="67"/>
      <c r="G303" s="67"/>
    </row>
    <row r="304" spans="1:7" ht="13">
      <c r="E304" s="66"/>
      <c r="F304" s="67"/>
      <c r="G304" s="67"/>
    </row>
    <row r="305" spans="5:7" ht="13">
      <c r="E305" s="66"/>
      <c r="F305" s="67"/>
      <c r="G305" s="67"/>
    </row>
    <row r="306" spans="5:7" ht="13">
      <c r="E306" s="66"/>
      <c r="F306" s="67"/>
      <c r="G306" s="67"/>
    </row>
    <row r="307" spans="5:7" ht="13">
      <c r="E307" s="66"/>
      <c r="F307" s="67"/>
      <c r="G307" s="67"/>
    </row>
    <row r="308" spans="5:7" ht="13">
      <c r="E308" s="66"/>
      <c r="F308" s="67"/>
      <c r="G308" s="67"/>
    </row>
    <row r="309" spans="5:7" ht="13">
      <c r="E309" s="66"/>
      <c r="F309" s="67"/>
      <c r="G309" s="67"/>
    </row>
    <row r="310" spans="5:7" ht="13">
      <c r="E310" s="66"/>
      <c r="F310" s="67"/>
      <c r="G310" s="67"/>
    </row>
    <row r="311" spans="5:7" ht="13">
      <c r="E311" s="66"/>
      <c r="F311" s="67"/>
      <c r="G311" s="67"/>
    </row>
    <row r="312" spans="5:7" ht="13">
      <c r="E312" s="66"/>
      <c r="F312" s="67"/>
      <c r="G312" s="67"/>
    </row>
    <row r="313" spans="5:7" ht="13">
      <c r="E313" s="66"/>
      <c r="F313" s="67"/>
      <c r="G313" s="67"/>
    </row>
    <row r="314" spans="5:7" ht="13">
      <c r="E314" s="66"/>
      <c r="F314" s="67"/>
      <c r="G314" s="67"/>
    </row>
    <row r="315" spans="5:7" ht="13">
      <c r="E315" s="66"/>
      <c r="F315" s="67"/>
      <c r="G315" s="67"/>
    </row>
    <row r="316" spans="5:7" ht="13">
      <c r="E316" s="66"/>
      <c r="F316" s="67"/>
      <c r="G316" s="67"/>
    </row>
    <row r="317" spans="5:7" ht="13">
      <c r="E317" s="66"/>
      <c r="F317" s="67"/>
      <c r="G317" s="67"/>
    </row>
    <row r="318" spans="5:7" ht="13">
      <c r="E318" s="66"/>
      <c r="F318" s="67"/>
      <c r="G318" s="67"/>
    </row>
    <row r="319" spans="5:7" ht="13">
      <c r="E319" s="66"/>
      <c r="F319" s="67"/>
      <c r="G319" s="67"/>
    </row>
    <row r="320" spans="5:7" ht="13">
      <c r="E320" s="66"/>
      <c r="F320" s="67"/>
      <c r="G320" s="67"/>
    </row>
    <row r="321" spans="5:7" ht="13">
      <c r="E321" s="66"/>
      <c r="F321" s="67"/>
      <c r="G321" s="67"/>
    </row>
    <row r="322" spans="5:7" ht="13">
      <c r="E322" s="66"/>
      <c r="F322" s="67"/>
      <c r="G322" s="67"/>
    </row>
    <row r="323" spans="5:7" ht="13">
      <c r="E323" s="66"/>
      <c r="F323" s="67"/>
      <c r="G323" s="67"/>
    </row>
    <row r="324" spans="5:7" ht="13">
      <c r="E324" s="66"/>
      <c r="F324" s="67"/>
      <c r="G324" s="67"/>
    </row>
    <row r="325" spans="5:7" ht="13">
      <c r="E325" s="66"/>
      <c r="F325" s="67"/>
      <c r="G325" s="67"/>
    </row>
    <row r="326" spans="5:7" ht="13">
      <c r="E326" s="66"/>
      <c r="F326" s="67"/>
      <c r="G326" s="67"/>
    </row>
    <row r="327" spans="5:7" ht="13">
      <c r="E327" s="66"/>
      <c r="F327" s="67"/>
      <c r="G327" s="67"/>
    </row>
    <row r="328" spans="5:7" ht="13">
      <c r="E328" s="66"/>
      <c r="F328" s="67"/>
      <c r="G328" s="67"/>
    </row>
    <row r="329" spans="5:7" ht="13">
      <c r="E329" s="66"/>
      <c r="F329" s="67"/>
      <c r="G329" s="67"/>
    </row>
    <row r="330" spans="5:7" ht="13">
      <c r="E330" s="66"/>
      <c r="F330" s="67"/>
      <c r="G330" s="67"/>
    </row>
    <row r="331" spans="5:7" ht="13">
      <c r="E331" s="66"/>
      <c r="F331" s="67"/>
      <c r="G331" s="67"/>
    </row>
    <row r="332" spans="5:7" ht="13">
      <c r="E332" s="66"/>
      <c r="F332" s="67"/>
      <c r="G332" s="67"/>
    </row>
    <row r="333" spans="5:7" ht="13">
      <c r="E333" s="66"/>
      <c r="F333" s="67"/>
      <c r="G333" s="67"/>
    </row>
    <row r="334" spans="5:7" ht="13">
      <c r="E334" s="66"/>
      <c r="F334" s="67"/>
      <c r="G334" s="67"/>
    </row>
    <row r="335" spans="5:7" ht="13">
      <c r="E335" s="66"/>
      <c r="F335" s="67"/>
      <c r="G335" s="67"/>
    </row>
    <row r="336" spans="5:7" ht="13">
      <c r="E336" s="66"/>
      <c r="F336" s="67"/>
      <c r="G336" s="67"/>
    </row>
    <row r="337" spans="5:7" ht="13">
      <c r="E337" s="66"/>
      <c r="F337" s="67"/>
      <c r="G337" s="67"/>
    </row>
    <row r="338" spans="5:7" ht="13">
      <c r="E338" s="66"/>
      <c r="F338" s="67"/>
      <c r="G338" s="67"/>
    </row>
    <row r="339" spans="5:7" ht="13">
      <c r="E339" s="66"/>
      <c r="F339" s="67"/>
      <c r="G339" s="67"/>
    </row>
    <row r="340" spans="5:7" ht="13">
      <c r="E340" s="66"/>
      <c r="F340" s="67"/>
      <c r="G340" s="67"/>
    </row>
    <row r="341" spans="5:7" ht="13">
      <c r="E341" s="66"/>
      <c r="F341" s="67"/>
      <c r="G341" s="67"/>
    </row>
    <row r="342" spans="5:7" ht="13">
      <c r="E342" s="66"/>
      <c r="F342" s="67"/>
      <c r="G342" s="67"/>
    </row>
    <row r="343" spans="5:7" ht="13">
      <c r="E343" s="66"/>
      <c r="F343" s="67"/>
      <c r="G343" s="67"/>
    </row>
    <row r="344" spans="5:7" ht="13">
      <c r="E344" s="66"/>
      <c r="F344" s="67"/>
      <c r="G344" s="67"/>
    </row>
    <row r="345" spans="5:7" ht="13">
      <c r="E345" s="66"/>
      <c r="F345" s="67"/>
      <c r="G345" s="67"/>
    </row>
    <row r="346" spans="5:7" ht="13">
      <c r="E346" s="66"/>
      <c r="F346" s="67"/>
      <c r="G346" s="67"/>
    </row>
    <row r="347" spans="5:7" ht="13">
      <c r="E347" s="66"/>
      <c r="F347" s="67"/>
      <c r="G347" s="67"/>
    </row>
    <row r="348" spans="5:7" ht="13">
      <c r="E348" s="66"/>
      <c r="F348" s="67"/>
      <c r="G348" s="67"/>
    </row>
    <row r="349" spans="5:7" ht="13">
      <c r="E349" s="66"/>
      <c r="F349" s="67"/>
      <c r="G349" s="67"/>
    </row>
    <row r="350" spans="5:7" ht="13">
      <c r="E350" s="66"/>
      <c r="F350" s="67"/>
      <c r="G350" s="67"/>
    </row>
    <row r="351" spans="5:7" ht="13">
      <c r="E351" s="66"/>
      <c r="F351" s="67"/>
      <c r="G351" s="67"/>
    </row>
    <row r="352" spans="5:7" ht="13">
      <c r="E352" s="66"/>
      <c r="F352" s="67"/>
      <c r="G352" s="67"/>
    </row>
    <row r="353" spans="5:7" ht="13">
      <c r="E353" s="66"/>
      <c r="F353" s="67"/>
      <c r="G353" s="67"/>
    </row>
    <row r="354" spans="5:7" ht="13">
      <c r="E354" s="66"/>
      <c r="F354" s="67"/>
      <c r="G354" s="67"/>
    </row>
    <row r="355" spans="5:7" ht="13">
      <c r="E355" s="66"/>
      <c r="F355" s="67"/>
      <c r="G355" s="67"/>
    </row>
    <row r="356" spans="5:7" ht="13">
      <c r="E356" s="66"/>
      <c r="F356" s="67"/>
      <c r="G356" s="67"/>
    </row>
    <row r="357" spans="5:7" ht="13">
      <c r="E357" s="66"/>
      <c r="F357" s="67"/>
      <c r="G357" s="67"/>
    </row>
    <row r="358" spans="5:7" ht="13">
      <c r="E358" s="66"/>
      <c r="F358" s="67"/>
      <c r="G358" s="67"/>
    </row>
    <row r="359" spans="5:7" ht="13">
      <c r="E359" s="66"/>
      <c r="F359" s="67"/>
      <c r="G359" s="67"/>
    </row>
    <row r="360" spans="5:7" ht="13">
      <c r="E360" s="66"/>
      <c r="F360" s="67"/>
      <c r="G360" s="67"/>
    </row>
    <row r="361" spans="5:7" ht="13">
      <c r="E361" s="66"/>
      <c r="F361" s="67"/>
      <c r="G361" s="67"/>
    </row>
    <row r="362" spans="5:7" ht="13">
      <c r="E362" s="66"/>
      <c r="F362" s="67"/>
      <c r="G362" s="67"/>
    </row>
    <row r="363" spans="5:7" ht="13">
      <c r="E363" s="66"/>
      <c r="F363" s="67"/>
      <c r="G363" s="67"/>
    </row>
    <row r="364" spans="5:7" ht="13">
      <c r="E364" s="66"/>
      <c r="F364" s="67"/>
      <c r="G364" s="67"/>
    </row>
    <row r="365" spans="5:7" ht="13">
      <c r="E365" s="66"/>
      <c r="F365" s="67"/>
      <c r="G365" s="67"/>
    </row>
    <row r="366" spans="5:7" ht="13">
      <c r="E366" s="66"/>
      <c r="F366" s="67"/>
      <c r="G366" s="67"/>
    </row>
    <row r="367" spans="5:7" ht="13">
      <c r="E367" s="66"/>
      <c r="F367" s="67"/>
      <c r="G367" s="67"/>
    </row>
    <row r="368" spans="5:7" ht="13">
      <c r="E368" s="66"/>
      <c r="F368" s="67"/>
      <c r="G368" s="67"/>
    </row>
    <row r="369" spans="5:7" ht="13">
      <c r="E369" s="66"/>
      <c r="F369" s="67"/>
      <c r="G369" s="67"/>
    </row>
    <row r="370" spans="5:7" ht="13">
      <c r="E370" s="66"/>
      <c r="F370" s="67"/>
      <c r="G370" s="67"/>
    </row>
    <row r="371" spans="5:7" ht="13">
      <c r="E371" s="66"/>
      <c r="F371" s="67"/>
      <c r="G371" s="67"/>
    </row>
    <row r="372" spans="5:7" ht="13">
      <c r="E372" s="66"/>
      <c r="F372" s="67"/>
      <c r="G372" s="67"/>
    </row>
    <row r="373" spans="5:7" ht="13">
      <c r="E373" s="66"/>
      <c r="F373" s="67"/>
      <c r="G373" s="67"/>
    </row>
    <row r="374" spans="5:7" ht="13">
      <c r="E374" s="66"/>
      <c r="F374" s="67"/>
      <c r="G374" s="67"/>
    </row>
    <row r="375" spans="5:7" ht="13">
      <c r="E375" s="66"/>
      <c r="F375" s="67"/>
      <c r="G375" s="67"/>
    </row>
    <row r="376" spans="5:7" ht="13">
      <c r="E376" s="66"/>
      <c r="F376" s="67"/>
      <c r="G376" s="67"/>
    </row>
    <row r="377" spans="5:7" ht="13">
      <c r="E377" s="66"/>
      <c r="F377" s="67"/>
      <c r="G377" s="67"/>
    </row>
    <row r="378" spans="5:7" ht="13">
      <c r="E378" s="66"/>
      <c r="F378" s="67"/>
      <c r="G378" s="67"/>
    </row>
    <row r="379" spans="5:7" ht="13">
      <c r="E379" s="66"/>
      <c r="F379" s="67"/>
      <c r="G379" s="67"/>
    </row>
    <row r="380" spans="5:7" ht="13">
      <c r="E380" s="66"/>
      <c r="F380" s="67"/>
      <c r="G380" s="67"/>
    </row>
    <row r="381" spans="5:7" ht="13">
      <c r="E381" s="66"/>
      <c r="F381" s="67"/>
      <c r="G381" s="67"/>
    </row>
    <row r="382" spans="5:7" ht="13">
      <c r="E382" s="66"/>
      <c r="F382" s="67"/>
      <c r="G382" s="67"/>
    </row>
    <row r="383" spans="5:7" ht="13">
      <c r="E383" s="66"/>
      <c r="F383" s="67"/>
      <c r="G383" s="67"/>
    </row>
    <row r="384" spans="5:7" ht="13">
      <c r="E384" s="66"/>
      <c r="F384" s="67"/>
      <c r="G384" s="67"/>
    </row>
    <row r="385" spans="5:7" ht="13">
      <c r="E385" s="66"/>
      <c r="F385" s="67"/>
      <c r="G385" s="67"/>
    </row>
    <row r="386" spans="5:7" ht="13">
      <c r="E386" s="66"/>
      <c r="F386" s="67"/>
      <c r="G386" s="67"/>
    </row>
    <row r="387" spans="5:7" ht="13">
      <c r="E387" s="66"/>
      <c r="F387" s="67"/>
      <c r="G387" s="67"/>
    </row>
    <row r="388" spans="5:7" ht="13">
      <c r="E388" s="66"/>
      <c r="F388" s="67"/>
      <c r="G388" s="67"/>
    </row>
    <row r="389" spans="5:7" ht="13">
      <c r="E389" s="66"/>
      <c r="F389" s="67"/>
      <c r="G389" s="67"/>
    </row>
    <row r="390" spans="5:7" ht="13">
      <c r="E390" s="66"/>
      <c r="F390" s="67"/>
      <c r="G390" s="67"/>
    </row>
    <row r="391" spans="5:7" ht="13">
      <c r="E391" s="66"/>
      <c r="F391" s="67"/>
      <c r="G391" s="67"/>
    </row>
    <row r="392" spans="5:7" ht="13">
      <c r="E392" s="66"/>
      <c r="F392" s="67"/>
      <c r="G392" s="67"/>
    </row>
    <row r="393" spans="5:7" ht="13">
      <c r="E393" s="66"/>
      <c r="F393" s="67"/>
      <c r="G393" s="67"/>
    </row>
    <row r="394" spans="5:7" ht="13">
      <c r="E394" s="66"/>
      <c r="F394" s="67"/>
      <c r="G394" s="67"/>
    </row>
    <row r="395" spans="5:7" ht="13">
      <c r="E395" s="66"/>
      <c r="F395" s="67"/>
      <c r="G395" s="67"/>
    </row>
    <row r="396" spans="5:7" ht="13">
      <c r="E396" s="66"/>
      <c r="F396" s="67"/>
      <c r="G396" s="67"/>
    </row>
    <row r="397" spans="5:7" ht="13">
      <c r="E397" s="66"/>
      <c r="F397" s="67"/>
      <c r="G397" s="67"/>
    </row>
    <row r="398" spans="5:7" ht="13">
      <c r="E398" s="66"/>
      <c r="F398" s="67"/>
      <c r="G398" s="67"/>
    </row>
    <row r="399" spans="5:7" ht="13">
      <c r="E399" s="66"/>
      <c r="F399" s="67"/>
      <c r="G399" s="67"/>
    </row>
    <row r="400" spans="5:7" ht="13">
      <c r="E400" s="66"/>
      <c r="F400" s="67"/>
      <c r="G400" s="67"/>
    </row>
    <row r="401" spans="5:7" ht="13">
      <c r="E401" s="66"/>
      <c r="F401" s="67"/>
      <c r="G401" s="67"/>
    </row>
    <row r="402" spans="5:7" ht="13">
      <c r="E402" s="66"/>
      <c r="F402" s="67"/>
      <c r="G402" s="67"/>
    </row>
    <row r="403" spans="5:7" ht="13">
      <c r="E403" s="66"/>
      <c r="F403" s="67"/>
      <c r="G403" s="67"/>
    </row>
    <row r="404" spans="5:7" ht="13">
      <c r="E404" s="66"/>
      <c r="F404" s="67"/>
      <c r="G404" s="67"/>
    </row>
    <row r="405" spans="5:7" ht="13">
      <c r="E405" s="66"/>
      <c r="F405" s="67"/>
      <c r="G405" s="67"/>
    </row>
    <row r="406" spans="5:7" ht="13">
      <c r="E406" s="66"/>
      <c r="F406" s="67"/>
      <c r="G406" s="67"/>
    </row>
    <row r="407" spans="5:7" ht="13">
      <c r="E407" s="66"/>
      <c r="F407" s="67"/>
      <c r="G407" s="67"/>
    </row>
    <row r="408" spans="5:7" ht="13">
      <c r="E408" s="66"/>
      <c r="F408" s="67"/>
      <c r="G408" s="67"/>
    </row>
    <row r="409" spans="5:7" ht="13">
      <c r="E409" s="66"/>
      <c r="F409" s="67"/>
      <c r="G409" s="67"/>
    </row>
    <row r="410" spans="5:7" ht="13">
      <c r="E410" s="66"/>
      <c r="F410" s="67"/>
      <c r="G410" s="67"/>
    </row>
    <row r="411" spans="5:7" ht="13">
      <c r="E411" s="66"/>
      <c r="F411" s="67"/>
      <c r="G411" s="67"/>
    </row>
    <row r="412" spans="5:7" ht="13">
      <c r="E412" s="66"/>
      <c r="F412" s="67"/>
      <c r="G412" s="67"/>
    </row>
    <row r="413" spans="5:7" ht="13">
      <c r="E413" s="66"/>
      <c r="F413" s="67"/>
      <c r="G413" s="67"/>
    </row>
    <row r="414" spans="5:7" ht="13">
      <c r="E414" s="66"/>
      <c r="F414" s="67"/>
      <c r="G414" s="67"/>
    </row>
    <row r="415" spans="5:7" ht="13">
      <c r="E415" s="66"/>
      <c r="F415" s="67"/>
      <c r="G415" s="67"/>
    </row>
    <row r="416" spans="5:7" ht="13">
      <c r="E416" s="66"/>
      <c r="F416" s="67"/>
      <c r="G416" s="67"/>
    </row>
    <row r="417" spans="5:7" ht="13">
      <c r="E417" s="66"/>
      <c r="F417" s="67"/>
      <c r="G417" s="67"/>
    </row>
    <row r="418" spans="5:7" ht="13">
      <c r="E418" s="66"/>
      <c r="F418" s="67"/>
      <c r="G418" s="67"/>
    </row>
    <row r="419" spans="5:7" ht="13">
      <c r="E419" s="66"/>
      <c r="F419" s="67"/>
      <c r="G419" s="67"/>
    </row>
    <row r="420" spans="5:7" ht="13">
      <c r="E420" s="66"/>
      <c r="F420" s="67"/>
      <c r="G420" s="67"/>
    </row>
    <row r="421" spans="5:7" ht="13">
      <c r="E421" s="66"/>
      <c r="F421" s="67"/>
      <c r="G421" s="67"/>
    </row>
    <row r="422" spans="5:7" ht="13">
      <c r="E422" s="66"/>
      <c r="F422" s="67"/>
      <c r="G422" s="67"/>
    </row>
    <row r="423" spans="5:7" ht="13">
      <c r="E423" s="66"/>
      <c r="F423" s="67"/>
      <c r="G423" s="67"/>
    </row>
    <row r="424" spans="5:7" ht="13">
      <c r="E424" s="66"/>
      <c r="F424" s="67"/>
      <c r="G424" s="67"/>
    </row>
    <row r="425" spans="5:7" ht="13">
      <c r="E425" s="66"/>
      <c r="F425" s="67"/>
      <c r="G425" s="67"/>
    </row>
    <row r="426" spans="5:7" ht="13">
      <c r="E426" s="66"/>
      <c r="F426" s="67"/>
      <c r="G426" s="67"/>
    </row>
    <row r="427" spans="5:7" ht="13">
      <c r="E427" s="66"/>
      <c r="F427" s="67"/>
      <c r="G427" s="67"/>
    </row>
    <row r="428" spans="5:7" ht="13">
      <c r="E428" s="66"/>
      <c r="F428" s="67"/>
      <c r="G428" s="67"/>
    </row>
    <row r="429" spans="5:7" ht="13">
      <c r="E429" s="66"/>
      <c r="F429" s="67"/>
      <c r="G429" s="67"/>
    </row>
    <row r="430" spans="5:7" ht="13">
      <c r="E430" s="66"/>
      <c r="F430" s="67"/>
      <c r="G430" s="67"/>
    </row>
    <row r="431" spans="5:7" ht="13">
      <c r="E431" s="66"/>
      <c r="F431" s="67"/>
      <c r="G431" s="67"/>
    </row>
    <row r="432" spans="5:7" ht="13">
      <c r="E432" s="66"/>
      <c r="F432" s="67"/>
      <c r="G432" s="67"/>
    </row>
    <row r="433" spans="5:7" ht="13">
      <c r="E433" s="66"/>
      <c r="F433" s="67"/>
      <c r="G433" s="67"/>
    </row>
    <row r="434" spans="5:7" ht="13">
      <c r="E434" s="66"/>
      <c r="F434" s="67"/>
      <c r="G434" s="67"/>
    </row>
    <row r="435" spans="5:7" ht="13">
      <c r="E435" s="66"/>
      <c r="F435" s="67"/>
      <c r="G435" s="67"/>
    </row>
    <row r="436" spans="5:7" ht="13">
      <c r="E436" s="66"/>
      <c r="F436" s="67"/>
      <c r="G436" s="67"/>
    </row>
    <row r="437" spans="5:7" ht="13">
      <c r="E437" s="66"/>
      <c r="F437" s="67"/>
      <c r="G437" s="67"/>
    </row>
    <row r="438" spans="5:7" ht="13">
      <c r="E438" s="66"/>
      <c r="F438" s="67"/>
      <c r="G438" s="67"/>
    </row>
    <row r="439" spans="5:7" ht="13">
      <c r="E439" s="66"/>
      <c r="F439" s="67"/>
      <c r="G439" s="67"/>
    </row>
    <row r="440" spans="5:7" ht="13">
      <c r="E440" s="66"/>
      <c r="F440" s="67"/>
      <c r="G440" s="67"/>
    </row>
    <row r="441" spans="5:7" ht="13">
      <c r="E441" s="66"/>
      <c r="F441" s="67"/>
      <c r="G441" s="67"/>
    </row>
    <row r="442" spans="5:7" ht="13">
      <c r="E442" s="66"/>
      <c r="F442" s="67"/>
      <c r="G442" s="67"/>
    </row>
    <row r="443" spans="5:7" ht="13">
      <c r="E443" s="66"/>
      <c r="F443" s="67"/>
      <c r="G443" s="67"/>
    </row>
    <row r="444" spans="5:7" ht="13">
      <c r="E444" s="66"/>
      <c r="F444" s="67"/>
      <c r="G444" s="67"/>
    </row>
    <row r="445" spans="5:7" ht="13">
      <c r="E445" s="66"/>
      <c r="F445" s="67"/>
      <c r="G445" s="67"/>
    </row>
    <row r="446" spans="5:7" ht="13">
      <c r="E446" s="66"/>
      <c r="F446" s="67"/>
      <c r="G446" s="67"/>
    </row>
    <row r="447" spans="5:7" ht="13">
      <c r="E447" s="66"/>
      <c r="F447" s="67"/>
      <c r="G447" s="67"/>
    </row>
    <row r="448" spans="5:7" ht="13">
      <c r="E448" s="66"/>
      <c r="F448" s="67"/>
      <c r="G448" s="67"/>
    </row>
    <row r="449" spans="5:7" ht="13">
      <c r="E449" s="66"/>
      <c r="F449" s="67"/>
      <c r="G449" s="67"/>
    </row>
    <row r="450" spans="5:7" ht="13">
      <c r="E450" s="66"/>
      <c r="F450" s="67"/>
      <c r="G450" s="67"/>
    </row>
    <row r="451" spans="5:7" ht="13">
      <c r="E451" s="66"/>
      <c r="F451" s="67"/>
      <c r="G451" s="67"/>
    </row>
    <row r="452" spans="5:7" ht="13">
      <c r="E452" s="66"/>
      <c r="F452" s="67"/>
      <c r="G452" s="67"/>
    </row>
    <row r="453" spans="5:7" ht="13">
      <c r="E453" s="66"/>
      <c r="F453" s="67"/>
      <c r="G453" s="67"/>
    </row>
    <row r="454" spans="5:7" ht="13">
      <c r="E454" s="66"/>
      <c r="F454" s="67"/>
      <c r="G454" s="67"/>
    </row>
    <row r="455" spans="5:7" ht="13">
      <c r="E455" s="66"/>
      <c r="F455" s="67"/>
      <c r="G455" s="67"/>
    </row>
    <row r="456" spans="5:7" ht="13">
      <c r="E456" s="66"/>
      <c r="F456" s="67"/>
      <c r="G456" s="67"/>
    </row>
    <row r="457" spans="5:7" ht="13">
      <c r="E457" s="66"/>
      <c r="F457" s="67"/>
      <c r="G457" s="67"/>
    </row>
    <row r="458" spans="5:7" ht="13">
      <c r="E458" s="66"/>
      <c r="F458" s="67"/>
      <c r="G458" s="67"/>
    </row>
    <row r="459" spans="5:7" ht="13">
      <c r="E459" s="66"/>
      <c r="F459" s="67"/>
      <c r="G459" s="67"/>
    </row>
    <row r="460" spans="5:7" ht="13">
      <c r="E460" s="66"/>
      <c r="F460" s="67"/>
      <c r="G460" s="67"/>
    </row>
    <row r="461" spans="5:7" ht="13">
      <c r="E461" s="66"/>
      <c r="F461" s="67"/>
      <c r="G461" s="67"/>
    </row>
    <row r="462" spans="5:7" ht="13">
      <c r="E462" s="66"/>
      <c r="F462" s="67"/>
      <c r="G462" s="67"/>
    </row>
    <row r="463" spans="5:7" ht="13">
      <c r="E463" s="66"/>
      <c r="F463" s="67"/>
      <c r="G463" s="67"/>
    </row>
    <row r="464" spans="5:7" ht="13">
      <c r="E464" s="66"/>
      <c r="F464" s="67"/>
      <c r="G464" s="67"/>
    </row>
    <row r="465" spans="5:7" ht="13">
      <c r="E465" s="66"/>
      <c r="F465" s="67"/>
      <c r="G465" s="67"/>
    </row>
    <row r="466" spans="5:7" ht="13">
      <c r="E466" s="66"/>
      <c r="F466" s="67"/>
      <c r="G466" s="67"/>
    </row>
    <row r="467" spans="5:7" ht="13">
      <c r="E467" s="66"/>
      <c r="F467" s="67"/>
      <c r="G467" s="67"/>
    </row>
    <row r="468" spans="5:7" ht="13">
      <c r="E468" s="66"/>
      <c r="F468" s="67"/>
      <c r="G468" s="67"/>
    </row>
    <row r="469" spans="5:7" ht="13">
      <c r="E469" s="66"/>
      <c r="F469" s="67"/>
      <c r="G469" s="67"/>
    </row>
    <row r="470" spans="5:7" ht="13">
      <c r="E470" s="66"/>
      <c r="F470" s="67"/>
      <c r="G470" s="67"/>
    </row>
    <row r="471" spans="5:7" ht="13">
      <c r="E471" s="66"/>
      <c r="F471" s="67"/>
      <c r="G471" s="67"/>
    </row>
    <row r="472" spans="5:7" ht="13">
      <c r="E472" s="66"/>
      <c r="F472" s="67"/>
      <c r="G472" s="67"/>
    </row>
    <row r="473" spans="5:7" ht="13">
      <c r="E473" s="66"/>
      <c r="F473" s="67"/>
      <c r="G473" s="67"/>
    </row>
    <row r="474" spans="5:7" ht="13">
      <c r="E474" s="66"/>
      <c r="F474" s="67"/>
      <c r="G474" s="67"/>
    </row>
    <row r="475" spans="5:7" ht="13">
      <c r="E475" s="66"/>
      <c r="F475" s="67"/>
      <c r="G475" s="67"/>
    </row>
    <row r="476" spans="5:7" ht="13">
      <c r="E476" s="66"/>
      <c r="F476" s="67"/>
      <c r="G476" s="67"/>
    </row>
    <row r="477" spans="5:7" ht="13">
      <c r="E477" s="66"/>
      <c r="F477" s="67"/>
      <c r="G477" s="67"/>
    </row>
    <row r="478" spans="5:7" ht="13">
      <c r="E478" s="66"/>
      <c r="F478" s="67"/>
      <c r="G478" s="67"/>
    </row>
    <row r="479" spans="5:7" ht="13">
      <c r="E479" s="66"/>
      <c r="F479" s="67"/>
      <c r="G479" s="67"/>
    </row>
    <row r="480" spans="5:7" ht="13">
      <c r="E480" s="66"/>
      <c r="F480" s="67"/>
      <c r="G480" s="67"/>
    </row>
    <row r="481" spans="5:7" ht="13">
      <c r="E481" s="66"/>
      <c r="F481" s="67"/>
      <c r="G481" s="67"/>
    </row>
    <row r="482" spans="5:7" ht="13">
      <c r="E482" s="66"/>
      <c r="F482" s="67"/>
      <c r="G482" s="67"/>
    </row>
    <row r="483" spans="5:7" ht="13">
      <c r="E483" s="66"/>
      <c r="F483" s="67"/>
      <c r="G483" s="67"/>
    </row>
    <row r="484" spans="5:7" ht="13">
      <c r="E484" s="66"/>
      <c r="F484" s="67"/>
      <c r="G484" s="67"/>
    </row>
    <row r="485" spans="5:7" ht="13">
      <c r="E485" s="66"/>
      <c r="F485" s="67"/>
      <c r="G485" s="67"/>
    </row>
    <row r="486" spans="5:7" ht="13">
      <c r="E486" s="66"/>
      <c r="F486" s="67"/>
      <c r="G486" s="67"/>
    </row>
    <row r="487" spans="5:7" ht="13">
      <c r="E487" s="66"/>
      <c r="F487" s="67"/>
      <c r="G487" s="67"/>
    </row>
    <row r="488" spans="5:7" ht="13">
      <c r="E488" s="66"/>
      <c r="F488" s="67"/>
      <c r="G488" s="67"/>
    </row>
    <row r="489" spans="5:7" ht="13">
      <c r="E489" s="66"/>
      <c r="F489" s="67"/>
      <c r="G489" s="67"/>
    </row>
    <row r="490" spans="5:7" ht="13">
      <c r="E490" s="66"/>
      <c r="F490" s="67"/>
      <c r="G490" s="67"/>
    </row>
    <row r="491" spans="5:7" ht="13">
      <c r="E491" s="66"/>
      <c r="F491" s="67"/>
      <c r="G491" s="67"/>
    </row>
    <row r="492" spans="5:7" ht="13">
      <c r="E492" s="66"/>
      <c r="F492" s="67"/>
      <c r="G492" s="67"/>
    </row>
    <row r="493" spans="5:7" ht="13">
      <c r="E493" s="66"/>
      <c r="F493" s="67"/>
      <c r="G493" s="67"/>
    </row>
    <row r="494" spans="5:7" ht="13">
      <c r="E494" s="66"/>
      <c r="F494" s="67"/>
      <c r="G494" s="67"/>
    </row>
    <row r="495" spans="5:7" ht="13">
      <c r="E495" s="66"/>
      <c r="F495" s="67"/>
      <c r="G495" s="67"/>
    </row>
    <row r="496" spans="5:7" ht="13">
      <c r="E496" s="66"/>
      <c r="F496" s="67"/>
      <c r="G496" s="67"/>
    </row>
    <row r="497" spans="5:7" ht="13">
      <c r="E497" s="66"/>
      <c r="F497" s="67"/>
      <c r="G497" s="67"/>
    </row>
    <row r="498" spans="5:7" ht="13">
      <c r="E498" s="66"/>
      <c r="F498" s="67"/>
      <c r="G498" s="67"/>
    </row>
    <row r="499" spans="5:7" ht="13">
      <c r="E499" s="66"/>
      <c r="F499" s="67"/>
      <c r="G499" s="67"/>
    </row>
    <row r="500" spans="5:7" ht="13">
      <c r="E500" s="66"/>
      <c r="F500" s="67"/>
      <c r="G500" s="67"/>
    </row>
    <row r="501" spans="5:7" ht="13">
      <c r="E501" s="66"/>
      <c r="F501" s="67"/>
      <c r="G501" s="67"/>
    </row>
    <row r="502" spans="5:7" ht="13">
      <c r="E502" s="66"/>
      <c r="F502" s="67"/>
      <c r="G502" s="67"/>
    </row>
    <row r="503" spans="5:7" ht="13">
      <c r="E503" s="66"/>
      <c r="F503" s="67"/>
      <c r="G503" s="67"/>
    </row>
    <row r="504" spans="5:7" ht="13">
      <c r="E504" s="66"/>
      <c r="F504" s="67"/>
      <c r="G504" s="67"/>
    </row>
    <row r="505" spans="5:7" ht="13">
      <c r="E505" s="66"/>
      <c r="F505" s="67"/>
      <c r="G505" s="67"/>
    </row>
    <row r="506" spans="5:7" ht="13">
      <c r="E506" s="66"/>
      <c r="F506" s="67"/>
      <c r="G506" s="67"/>
    </row>
    <row r="507" spans="5:7" ht="13">
      <c r="E507" s="66"/>
      <c r="F507" s="67"/>
      <c r="G507" s="67"/>
    </row>
    <row r="508" spans="5:7" ht="13">
      <c r="E508" s="66"/>
      <c r="F508" s="67"/>
      <c r="G508" s="67"/>
    </row>
    <row r="509" spans="5:7" ht="13">
      <c r="E509" s="66"/>
      <c r="F509" s="67"/>
      <c r="G509" s="67"/>
    </row>
    <row r="510" spans="5:7" ht="13">
      <c r="E510" s="66"/>
      <c r="F510" s="67"/>
      <c r="G510" s="67"/>
    </row>
    <row r="511" spans="5:7" ht="13">
      <c r="E511" s="66"/>
      <c r="F511" s="67"/>
      <c r="G511" s="67"/>
    </row>
    <row r="512" spans="5:7" ht="13">
      <c r="E512" s="66"/>
      <c r="F512" s="67"/>
      <c r="G512" s="67"/>
    </row>
    <row r="513" spans="5:7" ht="13">
      <c r="E513" s="66"/>
      <c r="F513" s="67"/>
      <c r="G513" s="67"/>
    </row>
    <row r="514" spans="5:7" ht="13">
      <c r="E514" s="66"/>
      <c r="F514" s="67"/>
      <c r="G514" s="67"/>
    </row>
    <row r="515" spans="5:7" ht="13">
      <c r="E515" s="66"/>
      <c r="F515" s="67"/>
      <c r="G515" s="67"/>
    </row>
    <row r="516" spans="5:7" ht="13">
      <c r="E516" s="66"/>
      <c r="F516" s="67"/>
      <c r="G516" s="67"/>
    </row>
    <row r="517" spans="5:7" ht="13">
      <c r="E517" s="66"/>
      <c r="F517" s="67"/>
      <c r="G517" s="67"/>
    </row>
    <row r="518" spans="5:7" ht="13">
      <c r="E518" s="66"/>
      <c r="F518" s="67"/>
      <c r="G518" s="67"/>
    </row>
    <row r="519" spans="5:7" ht="13">
      <c r="E519" s="66"/>
      <c r="F519" s="67"/>
      <c r="G519" s="67"/>
    </row>
    <row r="520" spans="5:7" ht="13">
      <c r="E520" s="66"/>
      <c r="F520" s="67"/>
      <c r="G520" s="67"/>
    </row>
    <row r="521" spans="5:7" ht="13">
      <c r="E521" s="66"/>
      <c r="F521" s="67"/>
      <c r="G521" s="67"/>
    </row>
    <row r="522" spans="5:7" ht="13">
      <c r="E522" s="66"/>
      <c r="F522" s="67"/>
      <c r="G522" s="67"/>
    </row>
    <row r="523" spans="5:7" ht="13">
      <c r="E523" s="66"/>
      <c r="F523" s="67"/>
      <c r="G523" s="67"/>
    </row>
    <row r="524" spans="5:7" ht="13">
      <c r="E524" s="66"/>
      <c r="F524" s="67"/>
      <c r="G524" s="67"/>
    </row>
    <row r="525" spans="5:7" ht="13">
      <c r="E525" s="66"/>
      <c r="F525" s="67"/>
      <c r="G525" s="67"/>
    </row>
    <row r="526" spans="5:7" ht="13">
      <c r="E526" s="66"/>
      <c r="F526" s="67"/>
      <c r="G526" s="67"/>
    </row>
    <row r="527" spans="5:7" ht="13">
      <c r="E527" s="66"/>
      <c r="F527" s="67"/>
      <c r="G527" s="67"/>
    </row>
    <row r="528" spans="5:7" ht="13">
      <c r="E528" s="66"/>
      <c r="F528" s="67"/>
      <c r="G528" s="67"/>
    </row>
    <row r="529" spans="5:7" ht="13">
      <c r="E529" s="66"/>
      <c r="F529" s="67"/>
      <c r="G529" s="67"/>
    </row>
    <row r="530" spans="5:7" ht="13">
      <c r="E530" s="66"/>
      <c r="F530" s="67"/>
      <c r="G530" s="67"/>
    </row>
    <row r="531" spans="5:7" ht="13">
      <c r="E531" s="66"/>
      <c r="F531" s="67"/>
      <c r="G531" s="67"/>
    </row>
    <row r="532" spans="5:7" ht="13">
      <c r="E532" s="66"/>
      <c r="F532" s="67"/>
      <c r="G532" s="67"/>
    </row>
    <row r="533" spans="5:7" ht="13">
      <c r="E533" s="66"/>
      <c r="F533" s="67"/>
      <c r="G533" s="67"/>
    </row>
    <row r="534" spans="5:7" ht="13">
      <c r="E534" s="66"/>
      <c r="F534" s="67"/>
      <c r="G534" s="67"/>
    </row>
    <row r="535" spans="5:7" ht="13">
      <c r="E535" s="66"/>
      <c r="F535" s="67"/>
      <c r="G535" s="67"/>
    </row>
    <row r="536" spans="5:7" ht="13">
      <c r="E536" s="66"/>
      <c r="F536" s="67"/>
      <c r="G536" s="67"/>
    </row>
    <row r="537" spans="5:7" ht="13">
      <c r="E537" s="66"/>
      <c r="F537" s="67"/>
      <c r="G537" s="67"/>
    </row>
    <row r="538" spans="5:7" ht="13">
      <c r="E538" s="66"/>
      <c r="F538" s="67"/>
      <c r="G538" s="67"/>
    </row>
    <row r="539" spans="5:7" ht="13">
      <c r="E539" s="66"/>
      <c r="F539" s="67"/>
      <c r="G539" s="67"/>
    </row>
    <row r="540" spans="5:7" ht="13">
      <c r="E540" s="66"/>
      <c r="F540" s="67"/>
      <c r="G540" s="67"/>
    </row>
    <row r="541" spans="5:7" ht="13">
      <c r="E541" s="66"/>
      <c r="F541" s="67"/>
      <c r="G541" s="67"/>
    </row>
    <row r="542" spans="5:7" ht="13">
      <c r="E542" s="66"/>
      <c r="F542" s="67"/>
      <c r="G542" s="67"/>
    </row>
    <row r="543" spans="5:7" ht="13">
      <c r="E543" s="66"/>
      <c r="F543" s="67"/>
      <c r="G543" s="67"/>
    </row>
    <row r="544" spans="5:7" ht="13">
      <c r="E544" s="66"/>
      <c r="F544" s="67"/>
      <c r="G544" s="67"/>
    </row>
    <row r="545" spans="5:7" ht="13">
      <c r="E545" s="66"/>
      <c r="F545" s="67"/>
      <c r="G545" s="67"/>
    </row>
    <row r="546" spans="5:7" ht="13">
      <c r="E546" s="66"/>
      <c r="F546" s="67"/>
      <c r="G546" s="67"/>
    </row>
    <row r="547" spans="5:7" ht="13">
      <c r="E547" s="66"/>
      <c r="F547" s="67"/>
      <c r="G547" s="67"/>
    </row>
    <row r="548" spans="5:7" ht="13">
      <c r="E548" s="66"/>
      <c r="F548" s="67"/>
      <c r="G548" s="67"/>
    </row>
    <row r="549" spans="5:7" ht="13">
      <c r="E549" s="66"/>
      <c r="F549" s="67"/>
      <c r="G549" s="67"/>
    </row>
    <row r="550" spans="5:7" ht="13">
      <c r="E550" s="66"/>
      <c r="F550" s="67"/>
      <c r="G550" s="67"/>
    </row>
    <row r="551" spans="5:7" ht="13">
      <c r="E551" s="66"/>
      <c r="F551" s="67"/>
      <c r="G551" s="67"/>
    </row>
    <row r="552" spans="5:7" ht="13">
      <c r="E552" s="66"/>
      <c r="F552" s="67"/>
      <c r="G552" s="67"/>
    </row>
    <row r="553" spans="5:7" ht="13">
      <c r="E553" s="66"/>
      <c r="F553" s="67"/>
      <c r="G553" s="67"/>
    </row>
    <row r="554" spans="5:7" ht="13">
      <c r="E554" s="66"/>
      <c r="F554" s="67"/>
      <c r="G554" s="67"/>
    </row>
    <row r="555" spans="5:7" ht="13">
      <c r="E555" s="66"/>
      <c r="F555" s="67"/>
      <c r="G555" s="67"/>
    </row>
    <row r="556" spans="5:7" ht="13">
      <c r="E556" s="66"/>
      <c r="F556" s="67"/>
      <c r="G556" s="67"/>
    </row>
    <row r="557" spans="5:7" ht="13">
      <c r="E557" s="66"/>
      <c r="F557" s="67"/>
      <c r="G557" s="67"/>
    </row>
    <row r="558" spans="5:7" ht="13">
      <c r="E558" s="66"/>
      <c r="F558" s="67"/>
      <c r="G558" s="67"/>
    </row>
    <row r="559" spans="5:7" ht="13">
      <c r="E559" s="66"/>
      <c r="F559" s="67"/>
      <c r="G559" s="67"/>
    </row>
    <row r="560" spans="5:7" ht="13">
      <c r="E560" s="66"/>
      <c r="F560" s="67"/>
      <c r="G560" s="67"/>
    </row>
    <row r="561" spans="5:7" ht="13">
      <c r="E561" s="66"/>
      <c r="F561" s="67"/>
      <c r="G561" s="67"/>
    </row>
    <row r="562" spans="5:7" ht="13">
      <c r="E562" s="66"/>
      <c r="F562" s="67"/>
      <c r="G562" s="67"/>
    </row>
    <row r="563" spans="5:7" ht="13">
      <c r="E563" s="66"/>
      <c r="F563" s="67"/>
      <c r="G563" s="67"/>
    </row>
    <row r="564" spans="5:7" ht="13">
      <c r="E564" s="66"/>
      <c r="F564" s="67"/>
      <c r="G564" s="67"/>
    </row>
    <row r="565" spans="5:7" ht="13">
      <c r="E565" s="66"/>
      <c r="F565" s="67"/>
      <c r="G565" s="67"/>
    </row>
    <row r="566" spans="5:7" ht="13">
      <c r="E566" s="66"/>
      <c r="F566" s="67"/>
      <c r="G566" s="67"/>
    </row>
    <row r="567" spans="5:7" ht="13">
      <c r="E567" s="66"/>
      <c r="F567" s="67"/>
      <c r="G567" s="67"/>
    </row>
    <row r="568" spans="5:7" ht="13">
      <c r="E568" s="66"/>
      <c r="F568" s="67"/>
      <c r="G568" s="67"/>
    </row>
    <row r="569" spans="5:7" ht="13">
      <c r="E569" s="66"/>
      <c r="F569" s="67"/>
      <c r="G569" s="67"/>
    </row>
    <row r="570" spans="5:7" ht="13">
      <c r="E570" s="66"/>
      <c r="F570" s="67"/>
      <c r="G570" s="67"/>
    </row>
    <row r="571" spans="5:7" ht="13">
      <c r="E571" s="66"/>
      <c r="F571" s="67"/>
      <c r="G571" s="67"/>
    </row>
    <row r="572" spans="5:7" ht="13">
      <c r="E572" s="66"/>
      <c r="F572" s="67"/>
      <c r="G572" s="67"/>
    </row>
    <row r="573" spans="5:7" ht="13">
      <c r="E573" s="66"/>
      <c r="F573" s="67"/>
      <c r="G573" s="67"/>
    </row>
    <row r="574" spans="5:7" ht="13">
      <c r="E574" s="66"/>
      <c r="F574" s="67"/>
      <c r="G574" s="67"/>
    </row>
    <row r="575" spans="5:7" ht="13">
      <c r="E575" s="66"/>
      <c r="F575" s="67"/>
      <c r="G575" s="67"/>
    </row>
    <row r="576" spans="5:7" ht="13">
      <c r="E576" s="66"/>
      <c r="F576" s="67"/>
      <c r="G576" s="67"/>
    </row>
    <row r="577" spans="5:7" ht="13">
      <c r="E577" s="66"/>
      <c r="F577" s="67"/>
      <c r="G577" s="67"/>
    </row>
    <row r="578" spans="5:7" ht="13">
      <c r="E578" s="66"/>
      <c r="F578" s="67"/>
      <c r="G578" s="67"/>
    </row>
    <row r="579" spans="5:7" ht="13">
      <c r="E579" s="66"/>
      <c r="F579" s="67"/>
      <c r="G579" s="67"/>
    </row>
    <row r="580" spans="5:7" ht="13">
      <c r="E580" s="66"/>
      <c r="F580" s="67"/>
      <c r="G580" s="67"/>
    </row>
    <row r="581" spans="5:7" ht="13">
      <c r="E581" s="66"/>
      <c r="F581" s="67"/>
      <c r="G581" s="67"/>
    </row>
    <row r="582" spans="5:7" ht="13">
      <c r="E582" s="66"/>
      <c r="F582" s="67"/>
      <c r="G582" s="67"/>
    </row>
    <row r="583" spans="5:7" ht="13">
      <c r="E583" s="66"/>
      <c r="F583" s="67"/>
      <c r="G583" s="67"/>
    </row>
    <row r="584" spans="5:7" ht="13">
      <c r="E584" s="66"/>
      <c r="F584" s="67"/>
      <c r="G584" s="67"/>
    </row>
    <row r="585" spans="5:7" ht="13">
      <c r="E585" s="66"/>
      <c r="F585" s="67"/>
      <c r="G585" s="67"/>
    </row>
    <row r="586" spans="5:7" ht="13">
      <c r="E586" s="66"/>
      <c r="F586" s="67"/>
      <c r="G586" s="67"/>
    </row>
    <row r="587" spans="5:7" ht="13">
      <c r="E587" s="66"/>
      <c r="F587" s="67"/>
      <c r="G587" s="67"/>
    </row>
    <row r="588" spans="5:7" ht="13">
      <c r="E588" s="66"/>
      <c r="F588" s="67"/>
      <c r="G588" s="67"/>
    </row>
    <row r="589" spans="5:7" ht="13">
      <c r="E589" s="66"/>
      <c r="F589" s="67"/>
      <c r="G589" s="67"/>
    </row>
    <row r="590" spans="5:7" ht="13">
      <c r="E590" s="66"/>
      <c r="F590" s="67"/>
      <c r="G590" s="67"/>
    </row>
    <row r="591" spans="5:7" ht="13">
      <c r="E591" s="66"/>
      <c r="F591" s="67"/>
      <c r="G591" s="67"/>
    </row>
    <row r="592" spans="5:7" ht="13">
      <c r="E592" s="66"/>
      <c r="F592" s="67"/>
      <c r="G592" s="67"/>
    </row>
    <row r="593" spans="5:7" ht="13">
      <c r="E593" s="66"/>
      <c r="F593" s="67"/>
      <c r="G593" s="67"/>
    </row>
    <row r="594" spans="5:7" ht="13">
      <c r="E594" s="66"/>
      <c r="F594" s="67"/>
      <c r="G594" s="67"/>
    </row>
    <row r="595" spans="5:7" ht="13">
      <c r="E595" s="66"/>
      <c r="F595" s="67"/>
      <c r="G595" s="67"/>
    </row>
    <row r="596" spans="5:7" ht="13">
      <c r="E596" s="66"/>
      <c r="F596" s="67"/>
      <c r="G596" s="67"/>
    </row>
    <row r="597" spans="5:7" ht="13">
      <c r="E597" s="66"/>
      <c r="F597" s="67"/>
      <c r="G597" s="67"/>
    </row>
    <row r="598" spans="5:7" ht="13">
      <c r="E598" s="66"/>
      <c r="F598" s="67"/>
      <c r="G598" s="67"/>
    </row>
    <row r="599" spans="5:7" ht="13">
      <c r="E599" s="66"/>
      <c r="F599" s="67"/>
      <c r="G599" s="67"/>
    </row>
    <row r="600" spans="5:7" ht="13">
      <c r="E600" s="66"/>
      <c r="F600" s="67"/>
      <c r="G600" s="67"/>
    </row>
    <row r="601" spans="5:7" ht="13">
      <c r="E601" s="66"/>
      <c r="F601" s="67"/>
      <c r="G601" s="67"/>
    </row>
    <row r="602" spans="5:7" ht="13">
      <c r="E602" s="66"/>
      <c r="F602" s="67"/>
      <c r="G602" s="67"/>
    </row>
    <row r="603" spans="5:7" ht="13">
      <c r="E603" s="66"/>
      <c r="F603" s="67"/>
      <c r="G603" s="67"/>
    </row>
    <row r="604" spans="5:7" ht="13">
      <c r="E604" s="66"/>
      <c r="F604" s="67"/>
      <c r="G604" s="67"/>
    </row>
    <row r="605" spans="5:7" ht="13">
      <c r="E605" s="66"/>
      <c r="F605" s="67"/>
      <c r="G605" s="67"/>
    </row>
    <row r="606" spans="5:7" ht="13">
      <c r="E606" s="66"/>
      <c r="F606" s="67"/>
      <c r="G606" s="67"/>
    </row>
    <row r="607" spans="5:7" ht="13">
      <c r="E607" s="66"/>
      <c r="F607" s="67"/>
      <c r="G607" s="67"/>
    </row>
    <row r="608" spans="5:7" ht="13">
      <c r="E608" s="66"/>
      <c r="F608" s="67"/>
      <c r="G608" s="67"/>
    </row>
    <row r="609" spans="5:7" ht="13">
      <c r="E609" s="66"/>
      <c r="F609" s="67"/>
      <c r="G609" s="67"/>
    </row>
    <row r="610" spans="5:7" ht="13">
      <c r="E610" s="66"/>
      <c r="F610" s="67"/>
      <c r="G610" s="67"/>
    </row>
    <row r="611" spans="5:7" ht="13">
      <c r="E611" s="66"/>
      <c r="F611" s="67"/>
      <c r="G611" s="67"/>
    </row>
    <row r="612" spans="5:7" ht="13">
      <c r="E612" s="66"/>
      <c r="F612" s="67"/>
      <c r="G612" s="67"/>
    </row>
    <row r="613" spans="5:7" ht="13">
      <c r="E613" s="66"/>
      <c r="F613" s="67"/>
      <c r="G613" s="67"/>
    </row>
    <row r="614" spans="5:7" ht="13">
      <c r="E614" s="66"/>
      <c r="F614" s="67"/>
      <c r="G614" s="67"/>
    </row>
    <row r="615" spans="5:7" ht="13">
      <c r="E615" s="66"/>
      <c r="F615" s="67"/>
      <c r="G615" s="67"/>
    </row>
    <row r="616" spans="5:7" ht="13">
      <c r="E616" s="66"/>
      <c r="F616" s="67"/>
      <c r="G616" s="67"/>
    </row>
    <row r="617" spans="5:7" ht="13">
      <c r="E617" s="66"/>
      <c r="F617" s="67"/>
      <c r="G617" s="67"/>
    </row>
    <row r="618" spans="5:7" ht="13">
      <c r="E618" s="66"/>
      <c r="F618" s="67"/>
      <c r="G618" s="67"/>
    </row>
    <row r="619" spans="5:7" ht="13">
      <c r="E619" s="66"/>
      <c r="F619" s="67"/>
      <c r="G619" s="67"/>
    </row>
    <row r="620" spans="5:7" ht="13">
      <c r="E620" s="66"/>
      <c r="F620" s="67"/>
      <c r="G620" s="67"/>
    </row>
    <row r="621" spans="5:7" ht="13">
      <c r="E621" s="66"/>
      <c r="F621" s="67"/>
      <c r="G621" s="67"/>
    </row>
    <row r="622" spans="5:7" ht="13">
      <c r="E622" s="66"/>
      <c r="F622" s="67"/>
      <c r="G622" s="67"/>
    </row>
    <row r="623" spans="5:7" ht="13">
      <c r="E623" s="66"/>
      <c r="F623" s="67"/>
      <c r="G623" s="67"/>
    </row>
    <row r="624" spans="5:7" ht="13">
      <c r="E624" s="66"/>
      <c r="F624" s="67"/>
      <c r="G624" s="67"/>
    </row>
    <row r="625" spans="5:7" ht="13">
      <c r="E625" s="66"/>
      <c r="F625" s="67"/>
      <c r="G625" s="67"/>
    </row>
    <row r="626" spans="5:7" ht="13">
      <c r="E626" s="66"/>
      <c r="F626" s="67"/>
      <c r="G626" s="67"/>
    </row>
    <row r="627" spans="5:7" ht="13">
      <c r="E627" s="66"/>
      <c r="F627" s="67"/>
      <c r="G627" s="67"/>
    </row>
    <row r="628" spans="5:7" ht="13">
      <c r="E628" s="66"/>
      <c r="F628" s="67"/>
      <c r="G628" s="67"/>
    </row>
    <row r="629" spans="5:7" ht="13">
      <c r="E629" s="66"/>
      <c r="F629" s="67"/>
      <c r="G629" s="67"/>
    </row>
    <row r="630" spans="5:7" ht="13">
      <c r="E630" s="66"/>
      <c r="F630" s="67"/>
      <c r="G630" s="67"/>
    </row>
    <row r="631" spans="5:7" ht="13">
      <c r="E631" s="66"/>
      <c r="F631" s="67"/>
      <c r="G631" s="67"/>
    </row>
    <row r="632" spans="5:7" ht="13">
      <c r="E632" s="66"/>
      <c r="F632" s="67"/>
      <c r="G632" s="67"/>
    </row>
    <row r="633" spans="5:7" ht="13">
      <c r="E633" s="66"/>
      <c r="F633" s="67"/>
      <c r="G633" s="67"/>
    </row>
    <row r="634" spans="5:7" ht="13">
      <c r="E634" s="66"/>
      <c r="F634" s="67"/>
      <c r="G634" s="67"/>
    </row>
    <row r="635" spans="5:7" ht="13">
      <c r="E635" s="66"/>
      <c r="F635" s="67"/>
      <c r="G635" s="67"/>
    </row>
    <row r="636" spans="5:7" ht="13">
      <c r="E636" s="66"/>
      <c r="F636" s="67"/>
      <c r="G636" s="67"/>
    </row>
    <row r="637" spans="5:7" ht="13">
      <c r="E637" s="66"/>
      <c r="F637" s="67"/>
      <c r="G637" s="67"/>
    </row>
    <row r="638" spans="5:7" ht="13">
      <c r="E638" s="66"/>
      <c r="F638" s="67"/>
      <c r="G638" s="67"/>
    </row>
    <row r="639" spans="5:7" ht="13">
      <c r="E639" s="66"/>
      <c r="F639" s="67"/>
      <c r="G639" s="67"/>
    </row>
    <row r="640" spans="5:7" ht="13">
      <c r="E640" s="66"/>
      <c r="F640" s="67"/>
      <c r="G640" s="67"/>
    </row>
    <row r="641" spans="5:7" ht="13">
      <c r="E641" s="66"/>
      <c r="F641" s="67"/>
      <c r="G641" s="67"/>
    </row>
    <row r="642" spans="5:7" ht="13">
      <c r="E642" s="66"/>
      <c r="F642" s="67"/>
      <c r="G642" s="67"/>
    </row>
    <row r="643" spans="5:7" ht="13">
      <c r="E643" s="66"/>
      <c r="F643" s="67"/>
      <c r="G643" s="67"/>
    </row>
    <row r="644" spans="5:7" ht="13">
      <c r="E644" s="66"/>
      <c r="F644" s="67"/>
      <c r="G644" s="67"/>
    </row>
    <row r="645" spans="5:7" ht="13">
      <c r="E645" s="66"/>
      <c r="F645" s="67"/>
      <c r="G645" s="67"/>
    </row>
    <row r="646" spans="5:7" ht="13">
      <c r="E646" s="66"/>
      <c r="F646" s="67"/>
      <c r="G646" s="67"/>
    </row>
    <row r="647" spans="5:7" ht="13">
      <c r="E647" s="66"/>
      <c r="F647" s="67"/>
      <c r="G647" s="67"/>
    </row>
    <row r="648" spans="5:7" ht="13">
      <c r="E648" s="66"/>
      <c r="F648" s="67"/>
      <c r="G648" s="67"/>
    </row>
    <row r="649" spans="5:7" ht="13">
      <c r="E649" s="66"/>
      <c r="F649" s="67"/>
      <c r="G649" s="67"/>
    </row>
    <row r="650" spans="5:7" ht="13">
      <c r="E650" s="66"/>
      <c r="F650" s="67"/>
      <c r="G650" s="67"/>
    </row>
    <row r="651" spans="5:7" ht="13">
      <c r="E651" s="66"/>
      <c r="F651" s="67"/>
      <c r="G651" s="67"/>
    </row>
    <row r="652" spans="5:7" ht="13">
      <c r="E652" s="66"/>
      <c r="F652" s="67"/>
      <c r="G652" s="67"/>
    </row>
    <row r="653" spans="5:7" ht="13">
      <c r="E653" s="66"/>
      <c r="F653" s="67"/>
      <c r="G653" s="67"/>
    </row>
    <row r="654" spans="5:7" ht="13">
      <c r="E654" s="66"/>
      <c r="F654" s="67"/>
      <c r="G654" s="67"/>
    </row>
    <row r="655" spans="5:7" ht="13">
      <c r="E655" s="66"/>
      <c r="F655" s="67"/>
      <c r="G655" s="67"/>
    </row>
    <row r="656" spans="5:7" ht="13">
      <c r="E656" s="66"/>
      <c r="F656" s="67"/>
      <c r="G656" s="67"/>
    </row>
    <row r="657" spans="5:7" ht="13">
      <c r="E657" s="66"/>
      <c r="F657" s="67"/>
      <c r="G657" s="67"/>
    </row>
    <row r="658" spans="5:7" ht="13">
      <c r="E658" s="66"/>
      <c r="F658" s="67"/>
      <c r="G658" s="67"/>
    </row>
    <row r="659" spans="5:7" ht="13">
      <c r="E659" s="66"/>
      <c r="F659" s="67"/>
      <c r="G659" s="67"/>
    </row>
    <row r="660" spans="5:7" ht="13">
      <c r="E660" s="66"/>
      <c r="F660" s="67"/>
      <c r="G660" s="67"/>
    </row>
    <row r="661" spans="5:7" ht="13">
      <c r="E661" s="66"/>
      <c r="F661" s="67"/>
      <c r="G661" s="67"/>
    </row>
    <row r="662" spans="5:7" ht="13">
      <c r="E662" s="66"/>
      <c r="F662" s="67"/>
      <c r="G662" s="67"/>
    </row>
    <row r="663" spans="5:7" ht="13">
      <c r="E663" s="66"/>
      <c r="F663" s="67"/>
      <c r="G663" s="67"/>
    </row>
    <row r="664" spans="5:7" ht="13">
      <c r="E664" s="66"/>
      <c r="F664" s="67"/>
      <c r="G664" s="67"/>
    </row>
    <row r="665" spans="5:7" ht="13">
      <c r="E665" s="66"/>
      <c r="F665" s="67"/>
      <c r="G665" s="67"/>
    </row>
    <row r="666" spans="5:7" ht="13">
      <c r="E666" s="66"/>
      <c r="F666" s="67"/>
      <c r="G666" s="67"/>
    </row>
    <row r="667" spans="5:7" ht="13">
      <c r="E667" s="66"/>
      <c r="F667" s="67"/>
      <c r="G667" s="67"/>
    </row>
    <row r="668" spans="5:7" ht="13">
      <c r="E668" s="66"/>
      <c r="F668" s="67"/>
      <c r="G668" s="67"/>
    </row>
    <row r="669" spans="5:7" ht="13">
      <c r="E669" s="66"/>
      <c r="F669" s="67"/>
      <c r="G669" s="67"/>
    </row>
    <row r="670" spans="5:7" ht="13">
      <c r="E670" s="66"/>
      <c r="F670" s="67"/>
      <c r="G670" s="67"/>
    </row>
    <row r="671" spans="5:7" ht="13">
      <c r="E671" s="66"/>
      <c r="F671" s="67"/>
      <c r="G671" s="67"/>
    </row>
    <row r="672" spans="5:7" ht="13">
      <c r="E672" s="66"/>
      <c r="F672" s="67"/>
      <c r="G672" s="67"/>
    </row>
    <row r="673" spans="5:7" ht="13">
      <c r="E673" s="66"/>
      <c r="F673" s="67"/>
      <c r="G673" s="67"/>
    </row>
    <row r="674" spans="5:7" ht="13">
      <c r="E674" s="66"/>
      <c r="F674" s="67"/>
      <c r="G674" s="67"/>
    </row>
    <row r="675" spans="5:7" ht="13">
      <c r="E675" s="66"/>
      <c r="F675" s="67"/>
      <c r="G675" s="67"/>
    </row>
    <row r="676" spans="5:7" ht="13">
      <c r="E676" s="66"/>
      <c r="F676" s="67"/>
      <c r="G676" s="67"/>
    </row>
    <row r="677" spans="5:7" ht="13">
      <c r="E677" s="66"/>
      <c r="F677" s="67"/>
      <c r="G677" s="67"/>
    </row>
    <row r="678" spans="5:7" ht="13">
      <c r="E678" s="66"/>
      <c r="F678" s="67"/>
      <c r="G678" s="67"/>
    </row>
    <row r="679" spans="5:7" ht="13">
      <c r="E679" s="66"/>
      <c r="F679" s="67"/>
      <c r="G679" s="67"/>
    </row>
    <row r="680" spans="5:7" ht="13">
      <c r="E680" s="66"/>
      <c r="F680" s="67"/>
      <c r="G680" s="67"/>
    </row>
    <row r="681" spans="5:7" ht="13">
      <c r="E681" s="66"/>
      <c r="F681" s="67"/>
      <c r="G681" s="67"/>
    </row>
    <row r="682" spans="5:7" ht="13">
      <c r="E682" s="66"/>
      <c r="F682" s="67"/>
      <c r="G682" s="67"/>
    </row>
    <row r="683" spans="5:7" ht="13">
      <c r="E683" s="66"/>
      <c r="F683" s="67"/>
      <c r="G683" s="67"/>
    </row>
    <row r="684" spans="5:7" ht="13">
      <c r="E684" s="66"/>
      <c r="F684" s="67"/>
      <c r="G684" s="67"/>
    </row>
    <row r="685" spans="5:7" ht="13">
      <c r="E685" s="66"/>
      <c r="F685" s="67"/>
      <c r="G685" s="67"/>
    </row>
    <row r="686" spans="5:7" ht="13">
      <c r="E686" s="66"/>
      <c r="F686" s="67"/>
      <c r="G686" s="67"/>
    </row>
    <row r="687" spans="5:7" ht="13">
      <c r="E687" s="66"/>
      <c r="F687" s="67"/>
      <c r="G687" s="67"/>
    </row>
    <row r="688" spans="5:7" ht="13">
      <c r="E688" s="66"/>
      <c r="F688" s="67"/>
      <c r="G688" s="67"/>
    </row>
    <row r="689" spans="5:7" ht="13">
      <c r="E689" s="66"/>
      <c r="F689" s="67"/>
      <c r="G689" s="67"/>
    </row>
    <row r="690" spans="5:7" ht="13">
      <c r="E690" s="66"/>
      <c r="F690" s="67"/>
      <c r="G690" s="67"/>
    </row>
    <row r="691" spans="5:7" ht="13">
      <c r="E691" s="66"/>
      <c r="F691" s="67"/>
      <c r="G691" s="67"/>
    </row>
    <row r="692" spans="5:7" ht="13">
      <c r="E692" s="66"/>
      <c r="F692" s="67"/>
      <c r="G692" s="67"/>
    </row>
    <row r="693" spans="5:7" ht="13">
      <c r="E693" s="66"/>
      <c r="F693" s="67"/>
      <c r="G693" s="67"/>
    </row>
    <row r="694" spans="5:7" ht="13">
      <c r="E694" s="66"/>
      <c r="F694" s="67"/>
      <c r="G694" s="67"/>
    </row>
    <row r="695" spans="5:7" ht="13">
      <c r="E695" s="66"/>
      <c r="F695" s="67"/>
      <c r="G695" s="67"/>
    </row>
    <row r="696" spans="5:7" ht="13">
      <c r="E696" s="66"/>
      <c r="F696" s="67"/>
      <c r="G696" s="67"/>
    </row>
    <row r="697" spans="5:7" ht="13">
      <c r="E697" s="66"/>
      <c r="F697" s="67"/>
      <c r="G697" s="67"/>
    </row>
    <row r="698" spans="5:7" ht="13">
      <c r="E698" s="66"/>
      <c r="F698" s="67"/>
      <c r="G698" s="67"/>
    </row>
    <row r="699" spans="5:7" ht="13">
      <c r="E699" s="66"/>
      <c r="F699" s="67"/>
      <c r="G699" s="67"/>
    </row>
    <row r="700" spans="5:7" ht="13">
      <c r="E700" s="66"/>
      <c r="F700" s="67"/>
      <c r="G700" s="67"/>
    </row>
    <row r="701" spans="5:7" ht="13">
      <c r="E701" s="66"/>
      <c r="F701" s="67"/>
      <c r="G701" s="67"/>
    </row>
    <row r="702" spans="5:7" ht="13">
      <c r="E702" s="66"/>
      <c r="F702" s="67"/>
      <c r="G702" s="67"/>
    </row>
    <row r="703" spans="5:7" ht="13">
      <c r="E703" s="66"/>
      <c r="F703" s="67"/>
      <c r="G703" s="67"/>
    </row>
    <row r="704" spans="5:7" ht="13">
      <c r="E704" s="66"/>
      <c r="F704" s="67"/>
      <c r="G704" s="67"/>
    </row>
    <row r="705" spans="5:7" ht="13">
      <c r="E705" s="66"/>
      <c r="F705" s="67"/>
      <c r="G705" s="67"/>
    </row>
    <row r="706" spans="5:7" ht="13">
      <c r="E706" s="66"/>
      <c r="F706" s="67"/>
      <c r="G706" s="67"/>
    </row>
    <row r="707" spans="5:7" ht="13">
      <c r="E707" s="66"/>
      <c r="F707" s="67"/>
      <c r="G707" s="67"/>
    </row>
    <row r="708" spans="5:7" ht="13">
      <c r="E708" s="66"/>
      <c r="F708" s="67"/>
      <c r="G708" s="67"/>
    </row>
    <row r="709" spans="5:7" ht="13">
      <c r="E709" s="66"/>
      <c r="F709" s="67"/>
      <c r="G709" s="67"/>
    </row>
    <row r="710" spans="5:7" ht="13">
      <c r="E710" s="66"/>
      <c r="F710" s="67"/>
      <c r="G710" s="67"/>
    </row>
    <row r="711" spans="5:7" ht="13">
      <c r="E711" s="66"/>
      <c r="F711" s="67"/>
      <c r="G711" s="67"/>
    </row>
    <row r="712" spans="5:7" ht="13">
      <c r="E712" s="66"/>
      <c r="F712" s="67"/>
      <c r="G712" s="67"/>
    </row>
    <row r="713" spans="5:7" ht="13">
      <c r="E713" s="66"/>
      <c r="F713" s="67"/>
      <c r="G713" s="67"/>
    </row>
    <row r="714" spans="5:7" ht="13">
      <c r="E714" s="66"/>
      <c r="F714" s="67"/>
      <c r="G714" s="67"/>
    </row>
    <row r="715" spans="5:7" ht="13">
      <c r="E715" s="66"/>
      <c r="F715" s="67"/>
      <c r="G715" s="67"/>
    </row>
    <row r="716" spans="5:7" ht="13">
      <c r="E716" s="66"/>
      <c r="F716" s="67"/>
      <c r="G716" s="67"/>
    </row>
    <row r="717" spans="5:7" ht="13">
      <c r="E717" s="66"/>
      <c r="F717" s="67"/>
      <c r="G717" s="67"/>
    </row>
    <row r="718" spans="5:7" ht="13">
      <c r="E718" s="66"/>
      <c r="F718" s="67"/>
      <c r="G718" s="67"/>
    </row>
    <row r="719" spans="5:7" ht="13">
      <c r="E719" s="66"/>
      <c r="F719" s="67"/>
      <c r="G719" s="67"/>
    </row>
    <row r="720" spans="5:7" ht="13">
      <c r="E720" s="66"/>
      <c r="F720" s="67"/>
      <c r="G720" s="67"/>
    </row>
    <row r="721" spans="5:7" ht="13">
      <c r="E721" s="66"/>
      <c r="F721" s="67"/>
      <c r="G721" s="67"/>
    </row>
    <row r="722" spans="5:7" ht="13">
      <c r="E722" s="66"/>
      <c r="F722" s="67"/>
      <c r="G722" s="67"/>
    </row>
    <row r="723" spans="5:7" ht="13">
      <c r="E723" s="66"/>
      <c r="F723" s="67"/>
      <c r="G723" s="67"/>
    </row>
    <row r="724" spans="5:7" ht="13">
      <c r="E724" s="66"/>
      <c r="F724" s="67"/>
      <c r="G724" s="67"/>
    </row>
    <row r="725" spans="5:7" ht="13">
      <c r="E725" s="66"/>
      <c r="F725" s="67"/>
      <c r="G725" s="67"/>
    </row>
    <row r="726" spans="5:7" ht="13">
      <c r="E726" s="66"/>
      <c r="F726" s="67"/>
      <c r="G726" s="67"/>
    </row>
    <row r="727" spans="5:7" ht="13">
      <c r="E727" s="66"/>
      <c r="F727" s="67"/>
      <c r="G727" s="67"/>
    </row>
    <row r="728" spans="5:7" ht="13">
      <c r="E728" s="66"/>
      <c r="F728" s="67"/>
      <c r="G728" s="67"/>
    </row>
    <row r="729" spans="5:7" ht="13">
      <c r="E729" s="66"/>
      <c r="F729" s="67"/>
      <c r="G729" s="67"/>
    </row>
    <row r="730" spans="5:7" ht="13">
      <c r="E730" s="66"/>
      <c r="F730" s="67"/>
      <c r="G730" s="67"/>
    </row>
    <row r="731" spans="5:7" ht="13">
      <c r="E731" s="66"/>
      <c r="F731" s="67"/>
      <c r="G731" s="67"/>
    </row>
    <row r="732" spans="5:7" ht="13">
      <c r="E732" s="66"/>
      <c r="F732" s="67"/>
      <c r="G732" s="67"/>
    </row>
    <row r="733" spans="5:7" ht="13">
      <c r="E733" s="66"/>
      <c r="F733" s="67"/>
      <c r="G733" s="67"/>
    </row>
    <row r="734" spans="5:7" ht="13">
      <c r="E734" s="66"/>
      <c r="F734" s="67"/>
      <c r="G734" s="67"/>
    </row>
    <row r="735" spans="5:7" ht="13">
      <c r="E735" s="66"/>
      <c r="F735" s="67"/>
      <c r="G735" s="67"/>
    </row>
    <row r="736" spans="5:7" ht="13">
      <c r="E736" s="66"/>
      <c r="F736" s="67"/>
      <c r="G736" s="67"/>
    </row>
    <row r="737" spans="5:7" ht="13">
      <c r="E737" s="66"/>
      <c r="F737" s="67"/>
      <c r="G737" s="67"/>
    </row>
    <row r="738" spans="5:7" ht="13">
      <c r="E738" s="66"/>
      <c r="F738" s="67"/>
      <c r="G738" s="67"/>
    </row>
    <row r="739" spans="5:7" ht="13">
      <c r="E739" s="66"/>
      <c r="F739" s="67"/>
      <c r="G739" s="67"/>
    </row>
    <row r="740" spans="5:7" ht="13">
      <c r="E740" s="66"/>
      <c r="F740" s="67"/>
      <c r="G740" s="67"/>
    </row>
    <row r="741" spans="5:7" ht="13">
      <c r="E741" s="66"/>
      <c r="F741" s="67"/>
      <c r="G741" s="67"/>
    </row>
    <row r="742" spans="5:7" ht="13">
      <c r="E742" s="66"/>
      <c r="F742" s="67"/>
      <c r="G742" s="67"/>
    </row>
    <row r="743" spans="5:7" ht="13">
      <c r="E743" s="66"/>
      <c r="F743" s="67"/>
      <c r="G743" s="67"/>
    </row>
    <row r="744" spans="5:7" ht="13">
      <c r="E744" s="66"/>
      <c r="F744" s="67"/>
      <c r="G744" s="67"/>
    </row>
    <row r="745" spans="5:7" ht="13">
      <c r="E745" s="66"/>
      <c r="F745" s="67"/>
      <c r="G745" s="67"/>
    </row>
    <row r="746" spans="5:7" ht="13">
      <c r="E746" s="66"/>
      <c r="F746" s="67"/>
      <c r="G746" s="67"/>
    </row>
    <row r="747" spans="5:7" ht="13">
      <c r="E747" s="66"/>
      <c r="F747" s="67"/>
      <c r="G747" s="67"/>
    </row>
    <row r="748" spans="5:7" ht="13">
      <c r="E748" s="66"/>
      <c r="F748" s="67"/>
      <c r="G748" s="67"/>
    </row>
    <row r="749" spans="5:7" ht="13">
      <c r="E749" s="66"/>
      <c r="F749" s="67"/>
      <c r="G749" s="67"/>
    </row>
    <row r="750" spans="5:7" ht="13">
      <c r="E750" s="66"/>
      <c r="F750" s="67"/>
      <c r="G750" s="67"/>
    </row>
    <row r="751" spans="5:7" ht="13">
      <c r="E751" s="66"/>
      <c r="F751" s="67"/>
      <c r="G751" s="67"/>
    </row>
    <row r="752" spans="5:7" ht="13">
      <c r="E752" s="66"/>
      <c r="F752" s="67"/>
      <c r="G752" s="67"/>
    </row>
    <row r="753" spans="5:7" ht="13">
      <c r="E753" s="66"/>
      <c r="F753" s="67"/>
      <c r="G753" s="67"/>
    </row>
    <row r="754" spans="5:7" ht="13">
      <c r="E754" s="66"/>
      <c r="F754" s="67"/>
      <c r="G754" s="67"/>
    </row>
    <row r="755" spans="5:7" ht="13">
      <c r="E755" s="66"/>
      <c r="F755" s="67"/>
      <c r="G755" s="67"/>
    </row>
    <row r="756" spans="5:7" ht="13">
      <c r="E756" s="66"/>
      <c r="F756" s="67"/>
      <c r="G756" s="67"/>
    </row>
    <row r="757" spans="5:7" ht="13">
      <c r="E757" s="66"/>
      <c r="F757" s="67"/>
      <c r="G757" s="67"/>
    </row>
    <row r="758" spans="5:7" ht="13">
      <c r="E758" s="66"/>
      <c r="F758" s="67"/>
      <c r="G758" s="67"/>
    </row>
    <row r="759" spans="5:7" ht="13">
      <c r="E759" s="66"/>
      <c r="F759" s="67"/>
      <c r="G759" s="67"/>
    </row>
    <row r="760" spans="5:7" ht="13">
      <c r="E760" s="66"/>
      <c r="F760" s="67"/>
      <c r="G760" s="67"/>
    </row>
    <row r="761" spans="5:7" ht="13">
      <c r="E761" s="66"/>
      <c r="F761" s="67"/>
      <c r="G761" s="67"/>
    </row>
    <row r="762" spans="5:7" ht="13">
      <c r="E762" s="66"/>
      <c r="F762" s="67"/>
      <c r="G762" s="67"/>
    </row>
    <row r="763" spans="5:7" ht="13">
      <c r="E763" s="66"/>
      <c r="F763" s="67"/>
      <c r="G763" s="67"/>
    </row>
    <row r="764" spans="5:7" ht="13">
      <c r="E764" s="66"/>
      <c r="F764" s="67"/>
      <c r="G764" s="67"/>
    </row>
    <row r="765" spans="5:7" ht="13">
      <c r="E765" s="66"/>
      <c r="F765" s="67"/>
      <c r="G765" s="67"/>
    </row>
    <row r="766" spans="5:7" ht="13">
      <c r="E766" s="66"/>
      <c r="F766" s="67"/>
      <c r="G766" s="67"/>
    </row>
    <row r="767" spans="5:7" ht="13">
      <c r="E767" s="66"/>
      <c r="F767" s="67"/>
      <c r="G767" s="67"/>
    </row>
    <row r="768" spans="5:7" ht="13">
      <c r="E768" s="66"/>
      <c r="F768" s="67"/>
      <c r="G768" s="67"/>
    </row>
    <row r="769" spans="5:7" ht="13">
      <c r="E769" s="66"/>
      <c r="F769" s="67"/>
      <c r="G769" s="67"/>
    </row>
    <row r="770" spans="5:7" ht="13">
      <c r="E770" s="66"/>
      <c r="F770" s="67"/>
      <c r="G770" s="67"/>
    </row>
    <row r="771" spans="5:7" ht="13">
      <c r="E771" s="66"/>
      <c r="F771" s="67"/>
      <c r="G771" s="67"/>
    </row>
    <row r="772" spans="5:7" ht="13">
      <c r="E772" s="66"/>
      <c r="F772" s="67"/>
      <c r="G772" s="67"/>
    </row>
    <row r="773" spans="5:7" ht="13">
      <c r="E773" s="66"/>
      <c r="F773" s="67"/>
      <c r="G773" s="67"/>
    </row>
    <row r="774" spans="5:7" ht="13">
      <c r="E774" s="66"/>
      <c r="F774" s="67"/>
      <c r="G774" s="67"/>
    </row>
    <row r="775" spans="5:7" ht="13">
      <c r="E775" s="66"/>
      <c r="F775" s="67"/>
      <c r="G775" s="67"/>
    </row>
    <row r="776" spans="5:7" ht="13">
      <c r="E776" s="66"/>
      <c r="F776" s="67"/>
      <c r="G776" s="67"/>
    </row>
    <row r="777" spans="5:7" ht="13">
      <c r="E777" s="66"/>
      <c r="F777" s="67"/>
      <c r="G777" s="67"/>
    </row>
    <row r="778" spans="5:7" ht="13">
      <c r="E778" s="66"/>
      <c r="F778" s="67"/>
      <c r="G778" s="67"/>
    </row>
    <row r="779" spans="5:7" ht="13">
      <c r="E779" s="66"/>
      <c r="F779" s="67"/>
      <c r="G779" s="67"/>
    </row>
    <row r="780" spans="5:7" ht="13">
      <c r="E780" s="66"/>
      <c r="F780" s="67"/>
      <c r="G780" s="67"/>
    </row>
    <row r="781" spans="5:7" ht="13">
      <c r="E781" s="66"/>
      <c r="F781" s="67"/>
      <c r="G781" s="67"/>
    </row>
    <row r="782" spans="5:7" ht="13">
      <c r="E782" s="66"/>
      <c r="F782" s="67"/>
      <c r="G782" s="67"/>
    </row>
    <row r="783" spans="5:7" ht="13">
      <c r="E783" s="66"/>
      <c r="F783" s="67"/>
      <c r="G783" s="67"/>
    </row>
    <row r="784" spans="5:7" ht="13">
      <c r="E784" s="66"/>
      <c r="F784" s="67"/>
      <c r="G784" s="67"/>
    </row>
    <row r="785" spans="5:7" ht="13">
      <c r="E785" s="66"/>
      <c r="F785" s="67"/>
      <c r="G785" s="67"/>
    </row>
    <row r="786" spans="5:7" ht="13">
      <c r="E786" s="66"/>
      <c r="F786" s="67"/>
      <c r="G786" s="67"/>
    </row>
    <row r="787" spans="5:7" ht="13">
      <c r="E787" s="66"/>
      <c r="F787" s="67"/>
      <c r="G787" s="67"/>
    </row>
    <row r="788" spans="5:7" ht="13">
      <c r="E788" s="66"/>
      <c r="F788" s="67"/>
      <c r="G788" s="67"/>
    </row>
    <row r="789" spans="5:7" ht="13">
      <c r="E789" s="66"/>
      <c r="F789" s="67"/>
      <c r="G789" s="67"/>
    </row>
    <row r="790" spans="5:7" ht="13">
      <c r="E790" s="66"/>
      <c r="F790" s="67"/>
      <c r="G790" s="67"/>
    </row>
    <row r="791" spans="5:7" ht="13">
      <c r="E791" s="66"/>
      <c r="F791" s="67"/>
      <c r="G791" s="67"/>
    </row>
    <row r="792" spans="5:7" ht="13">
      <c r="E792" s="66"/>
      <c r="F792" s="67"/>
      <c r="G792" s="67"/>
    </row>
    <row r="793" spans="5:7" ht="13">
      <c r="E793" s="66"/>
      <c r="F793" s="67"/>
      <c r="G793" s="67"/>
    </row>
    <row r="794" spans="5:7" ht="13">
      <c r="E794" s="66"/>
      <c r="F794" s="67"/>
      <c r="G794" s="67"/>
    </row>
    <row r="795" spans="5:7" ht="13">
      <c r="E795" s="66"/>
      <c r="F795" s="67"/>
      <c r="G795" s="67"/>
    </row>
    <row r="796" spans="5:7" ht="13">
      <c r="E796" s="66"/>
      <c r="F796" s="67"/>
      <c r="G796" s="67"/>
    </row>
    <row r="797" spans="5:7" ht="13">
      <c r="E797" s="66"/>
      <c r="F797" s="67"/>
      <c r="G797" s="67"/>
    </row>
    <row r="798" spans="5:7" ht="13">
      <c r="E798" s="66"/>
      <c r="F798" s="67"/>
      <c r="G798" s="67"/>
    </row>
    <row r="799" spans="5:7" ht="13">
      <c r="E799" s="66"/>
      <c r="F799" s="67"/>
      <c r="G799" s="67"/>
    </row>
    <row r="800" spans="5:7" ht="13">
      <c r="E800" s="66"/>
      <c r="F800" s="67"/>
      <c r="G800" s="67"/>
    </row>
    <row r="801" spans="5:7" ht="13">
      <c r="E801" s="66"/>
      <c r="F801" s="67"/>
      <c r="G801" s="67"/>
    </row>
    <row r="802" spans="5:7" ht="13">
      <c r="E802" s="66"/>
      <c r="F802" s="67"/>
      <c r="G802" s="67"/>
    </row>
    <row r="803" spans="5:7" ht="13">
      <c r="E803" s="66"/>
      <c r="F803" s="67"/>
      <c r="G803" s="67"/>
    </row>
    <row r="804" spans="5:7" ht="13">
      <c r="E804" s="66"/>
      <c r="F804" s="67"/>
      <c r="G804" s="67"/>
    </row>
    <row r="805" spans="5:7" ht="13">
      <c r="E805" s="66"/>
      <c r="F805" s="67"/>
      <c r="G805" s="67"/>
    </row>
    <row r="806" spans="5:7" ht="13">
      <c r="E806" s="66"/>
      <c r="F806" s="67"/>
      <c r="G806" s="67"/>
    </row>
    <row r="807" spans="5:7" ht="13">
      <c r="E807" s="66"/>
      <c r="F807" s="67"/>
      <c r="G807" s="67"/>
    </row>
    <row r="808" spans="5:7" ht="13">
      <c r="E808" s="66"/>
      <c r="F808" s="67"/>
      <c r="G808" s="67"/>
    </row>
    <row r="809" spans="5:7" ht="13">
      <c r="E809" s="66"/>
      <c r="F809" s="67"/>
      <c r="G809" s="67"/>
    </row>
    <row r="810" spans="5:7" ht="13">
      <c r="E810" s="66"/>
      <c r="F810" s="67"/>
      <c r="G810" s="67"/>
    </row>
    <row r="811" spans="5:7" ht="13">
      <c r="E811" s="66"/>
      <c r="F811" s="67"/>
      <c r="G811" s="67"/>
    </row>
    <row r="812" spans="5:7" ht="13">
      <c r="E812" s="66"/>
      <c r="F812" s="67"/>
      <c r="G812" s="67"/>
    </row>
    <row r="813" spans="5:7" ht="13">
      <c r="E813" s="66"/>
      <c r="F813" s="67"/>
      <c r="G813" s="67"/>
    </row>
    <row r="814" spans="5:7" ht="13">
      <c r="E814" s="66"/>
      <c r="F814" s="67"/>
      <c r="G814" s="67"/>
    </row>
    <row r="815" spans="5:7" ht="13">
      <c r="E815" s="66"/>
      <c r="F815" s="67"/>
      <c r="G815" s="67"/>
    </row>
    <row r="816" spans="5:7" ht="13">
      <c r="E816" s="66"/>
      <c r="F816" s="67"/>
      <c r="G816" s="67"/>
    </row>
    <row r="817" spans="5:7" ht="13">
      <c r="E817" s="66"/>
      <c r="F817" s="67"/>
      <c r="G817" s="67"/>
    </row>
    <row r="818" spans="5:7" ht="13">
      <c r="E818" s="66"/>
      <c r="F818" s="67"/>
      <c r="G818" s="67"/>
    </row>
    <row r="819" spans="5:7" ht="13">
      <c r="E819" s="66"/>
      <c r="F819" s="67"/>
      <c r="G819" s="67"/>
    </row>
    <row r="820" spans="5:7" ht="13">
      <c r="E820" s="66"/>
      <c r="F820" s="67"/>
      <c r="G820" s="67"/>
    </row>
    <row r="821" spans="5:7" ht="13">
      <c r="E821" s="66"/>
      <c r="F821" s="67"/>
      <c r="G821" s="67"/>
    </row>
    <row r="822" spans="5:7" ht="13">
      <c r="E822" s="66"/>
      <c r="F822" s="67"/>
      <c r="G822" s="67"/>
    </row>
    <row r="823" spans="5:7" ht="13">
      <c r="E823" s="66"/>
      <c r="F823" s="67"/>
      <c r="G823" s="67"/>
    </row>
    <row r="824" spans="5:7" ht="13">
      <c r="E824" s="66"/>
      <c r="F824" s="67"/>
      <c r="G824" s="67"/>
    </row>
    <row r="825" spans="5:7" ht="13">
      <c r="E825" s="66"/>
      <c r="F825" s="67"/>
      <c r="G825" s="67"/>
    </row>
    <row r="826" spans="5:7" ht="13">
      <c r="E826" s="66"/>
      <c r="F826" s="67"/>
      <c r="G826" s="67"/>
    </row>
    <row r="827" spans="5:7" ht="13">
      <c r="E827" s="66"/>
      <c r="F827" s="67"/>
      <c r="G827" s="67"/>
    </row>
    <row r="828" spans="5:7" ht="13">
      <c r="E828" s="66"/>
      <c r="F828" s="67"/>
      <c r="G828" s="67"/>
    </row>
    <row r="829" spans="5:7" ht="13">
      <c r="E829" s="66"/>
      <c r="F829" s="67"/>
      <c r="G829" s="67"/>
    </row>
    <row r="830" spans="5:7" ht="13">
      <c r="E830" s="66"/>
      <c r="F830" s="67"/>
      <c r="G830" s="67"/>
    </row>
    <row r="831" spans="5:7" ht="13">
      <c r="E831" s="66"/>
      <c r="F831" s="67"/>
      <c r="G831" s="67"/>
    </row>
    <row r="832" spans="5:7" ht="13">
      <c r="E832" s="66"/>
      <c r="F832" s="67"/>
      <c r="G832" s="67"/>
    </row>
    <row r="833" spans="5:7" ht="13">
      <c r="E833" s="66"/>
      <c r="F833" s="67"/>
      <c r="G833" s="67"/>
    </row>
    <row r="834" spans="5:7" ht="13">
      <c r="E834" s="66"/>
      <c r="F834" s="67"/>
      <c r="G834" s="67"/>
    </row>
    <row r="835" spans="5:7" ht="13">
      <c r="E835" s="66"/>
      <c r="F835" s="67"/>
      <c r="G835" s="67"/>
    </row>
    <row r="836" spans="5:7" ht="13">
      <c r="E836" s="66"/>
      <c r="F836" s="67"/>
      <c r="G836" s="67"/>
    </row>
    <row r="837" spans="5:7" ht="13">
      <c r="E837" s="66"/>
      <c r="F837" s="67"/>
      <c r="G837" s="67"/>
    </row>
    <row r="838" spans="5:7" ht="13">
      <c r="E838" s="66"/>
      <c r="F838" s="67"/>
      <c r="G838" s="67"/>
    </row>
    <row r="839" spans="5:7" ht="13">
      <c r="E839" s="66"/>
      <c r="F839" s="67"/>
      <c r="G839" s="67"/>
    </row>
    <row r="840" spans="5:7" ht="13">
      <c r="E840" s="66"/>
      <c r="F840" s="67"/>
      <c r="G840" s="67"/>
    </row>
    <row r="841" spans="5:7" ht="13">
      <c r="E841" s="66"/>
      <c r="F841" s="67"/>
      <c r="G841" s="67"/>
    </row>
    <row r="842" spans="5:7" ht="13">
      <c r="E842" s="66"/>
      <c r="F842" s="67"/>
      <c r="G842" s="67"/>
    </row>
    <row r="843" spans="5:7" ht="13">
      <c r="E843" s="66"/>
      <c r="F843" s="67"/>
      <c r="G843" s="67"/>
    </row>
    <row r="844" spans="5:7" ht="13">
      <c r="E844" s="66"/>
      <c r="F844" s="67"/>
      <c r="G844" s="67"/>
    </row>
    <row r="845" spans="5:7" ht="13">
      <c r="E845" s="66"/>
      <c r="F845" s="67"/>
      <c r="G845" s="67"/>
    </row>
    <row r="846" spans="5:7" ht="13">
      <c r="E846" s="66"/>
      <c r="F846" s="67"/>
      <c r="G846" s="67"/>
    </row>
    <row r="847" spans="5:7" ht="13">
      <c r="E847" s="66"/>
      <c r="F847" s="67"/>
      <c r="G847" s="67"/>
    </row>
    <row r="848" spans="5:7" ht="13">
      <c r="E848" s="66"/>
      <c r="F848" s="67"/>
      <c r="G848" s="67"/>
    </row>
    <row r="849" spans="5:7" ht="13">
      <c r="E849" s="66"/>
      <c r="F849" s="67"/>
      <c r="G849" s="67"/>
    </row>
    <row r="850" spans="5:7" ht="13">
      <c r="E850" s="66"/>
      <c r="F850" s="67"/>
      <c r="G850" s="67"/>
    </row>
    <row r="851" spans="5:7" ht="13">
      <c r="E851" s="66"/>
      <c r="F851" s="67"/>
      <c r="G851" s="67"/>
    </row>
    <row r="852" spans="5:7" ht="13">
      <c r="E852" s="66"/>
      <c r="F852" s="67"/>
      <c r="G852" s="67"/>
    </row>
    <row r="853" spans="5:7" ht="13">
      <c r="E853" s="66"/>
      <c r="F853" s="67"/>
      <c r="G853" s="67"/>
    </row>
    <row r="854" spans="5:7" ht="13">
      <c r="E854" s="66"/>
      <c r="F854" s="67"/>
      <c r="G854" s="67"/>
    </row>
    <row r="855" spans="5:7" ht="13">
      <c r="E855" s="66"/>
      <c r="F855" s="67"/>
      <c r="G855" s="67"/>
    </row>
    <row r="856" spans="5:7" ht="13">
      <c r="E856" s="66"/>
      <c r="F856" s="67"/>
      <c r="G856" s="67"/>
    </row>
    <row r="857" spans="5:7" ht="13">
      <c r="E857" s="66"/>
      <c r="F857" s="67"/>
      <c r="G857" s="67"/>
    </row>
    <row r="858" spans="5:7" ht="13">
      <c r="E858" s="66"/>
      <c r="F858" s="67"/>
      <c r="G858" s="67"/>
    </row>
    <row r="859" spans="5:7" ht="13">
      <c r="E859" s="66"/>
      <c r="F859" s="67"/>
      <c r="G859" s="67"/>
    </row>
    <row r="860" spans="5:7" ht="13">
      <c r="E860" s="66"/>
      <c r="F860" s="67"/>
      <c r="G860" s="67"/>
    </row>
    <row r="861" spans="5:7" ht="13">
      <c r="E861" s="66"/>
      <c r="F861" s="67"/>
      <c r="G861" s="67"/>
    </row>
    <row r="862" spans="5:7" ht="13">
      <c r="E862" s="66"/>
      <c r="F862" s="67"/>
      <c r="G862" s="67"/>
    </row>
    <row r="863" spans="5:7" ht="13">
      <c r="E863" s="66"/>
      <c r="F863" s="67"/>
      <c r="G863" s="67"/>
    </row>
    <row r="864" spans="5:7" ht="13">
      <c r="E864" s="66"/>
      <c r="F864" s="67"/>
      <c r="G864" s="67"/>
    </row>
    <row r="865" spans="5:7" ht="13">
      <c r="E865" s="66"/>
      <c r="F865" s="67"/>
      <c r="G865" s="67"/>
    </row>
    <row r="866" spans="5:7" ht="13">
      <c r="E866" s="66"/>
      <c r="F866" s="67"/>
      <c r="G866" s="67"/>
    </row>
    <row r="867" spans="5:7" ht="13">
      <c r="E867" s="66"/>
      <c r="F867" s="67"/>
      <c r="G867" s="67"/>
    </row>
    <row r="868" spans="5:7" ht="13">
      <c r="E868" s="66"/>
      <c r="F868" s="67"/>
      <c r="G868" s="67"/>
    </row>
    <row r="869" spans="5:7" ht="13">
      <c r="E869" s="66"/>
      <c r="F869" s="67"/>
      <c r="G869" s="67"/>
    </row>
    <row r="870" spans="5:7" ht="13">
      <c r="E870" s="66"/>
      <c r="F870" s="67"/>
      <c r="G870" s="67"/>
    </row>
    <row r="871" spans="5:7" ht="13">
      <c r="E871" s="66"/>
      <c r="F871" s="67"/>
      <c r="G871" s="67"/>
    </row>
    <row r="872" spans="5:7" ht="13">
      <c r="E872" s="66"/>
      <c r="F872" s="67"/>
      <c r="G872" s="67"/>
    </row>
    <row r="873" spans="5:7" ht="13">
      <c r="E873" s="66"/>
      <c r="F873" s="67"/>
      <c r="G873" s="67"/>
    </row>
    <row r="874" spans="5:7" ht="13">
      <c r="E874" s="66"/>
      <c r="F874" s="67"/>
      <c r="G874" s="67"/>
    </row>
    <row r="875" spans="5:7" ht="13">
      <c r="E875" s="66"/>
      <c r="F875" s="67"/>
      <c r="G875" s="67"/>
    </row>
    <row r="876" spans="5:7" ht="13">
      <c r="E876" s="66"/>
      <c r="F876" s="67"/>
      <c r="G876" s="67"/>
    </row>
    <row r="877" spans="5:7" ht="13">
      <c r="E877" s="66"/>
      <c r="F877" s="67"/>
      <c r="G877" s="67"/>
    </row>
    <row r="878" spans="5:7" ht="13">
      <c r="E878" s="66"/>
      <c r="F878" s="67"/>
      <c r="G878" s="67"/>
    </row>
    <row r="879" spans="5:7" ht="13">
      <c r="E879" s="66"/>
      <c r="F879" s="67"/>
      <c r="G879" s="67"/>
    </row>
    <row r="880" spans="5:7" ht="13">
      <c r="E880" s="66"/>
      <c r="F880" s="67"/>
      <c r="G880" s="67"/>
    </row>
    <row r="881" spans="5:7" ht="13">
      <c r="E881" s="66"/>
      <c r="F881" s="67"/>
      <c r="G881" s="67"/>
    </row>
    <row r="882" spans="5:7" ht="13">
      <c r="E882" s="66"/>
      <c r="F882" s="67"/>
      <c r="G882" s="67"/>
    </row>
    <row r="883" spans="5:7" ht="13">
      <c r="E883" s="66"/>
      <c r="F883" s="67"/>
      <c r="G883" s="67"/>
    </row>
    <row r="884" spans="5:7" ht="13">
      <c r="E884" s="66"/>
      <c r="F884" s="67"/>
      <c r="G884" s="67"/>
    </row>
    <row r="885" spans="5:7" ht="13">
      <c r="E885" s="66"/>
      <c r="F885" s="67"/>
      <c r="G885" s="67"/>
    </row>
    <row r="886" spans="5:7" ht="13">
      <c r="E886" s="66"/>
      <c r="F886" s="67"/>
      <c r="G886" s="67"/>
    </row>
    <row r="887" spans="5:7" ht="13">
      <c r="E887" s="66"/>
      <c r="F887" s="67"/>
      <c r="G887" s="67"/>
    </row>
    <row r="888" spans="5:7" ht="13">
      <c r="E888" s="66"/>
      <c r="F888" s="67"/>
      <c r="G888" s="67"/>
    </row>
    <row r="889" spans="5:7" ht="13">
      <c r="E889" s="66"/>
      <c r="F889" s="67"/>
      <c r="G889" s="67"/>
    </row>
    <row r="890" spans="5:7" ht="13">
      <c r="E890" s="66"/>
      <c r="F890" s="67"/>
      <c r="G890" s="67"/>
    </row>
    <row r="891" spans="5:7" ht="13">
      <c r="E891" s="66"/>
      <c r="F891" s="67"/>
      <c r="G891" s="67"/>
    </row>
    <row r="892" spans="5:7" ht="13">
      <c r="E892" s="66"/>
      <c r="F892" s="67"/>
      <c r="G892" s="67"/>
    </row>
    <row r="893" spans="5:7" ht="13">
      <c r="E893" s="66"/>
      <c r="F893" s="67"/>
      <c r="G893" s="67"/>
    </row>
    <row r="894" spans="5:7" ht="13">
      <c r="E894" s="66"/>
      <c r="F894" s="67"/>
      <c r="G894" s="67"/>
    </row>
    <row r="895" spans="5:7" ht="13">
      <c r="E895" s="66"/>
      <c r="F895" s="67"/>
      <c r="G895" s="67"/>
    </row>
    <row r="896" spans="5:7" ht="13">
      <c r="E896" s="66"/>
      <c r="F896" s="67"/>
      <c r="G896" s="67"/>
    </row>
    <row r="897" spans="5:7" ht="13">
      <c r="E897" s="66"/>
      <c r="F897" s="67"/>
      <c r="G897" s="67"/>
    </row>
    <row r="898" spans="5:7" ht="13">
      <c r="E898" s="66"/>
      <c r="F898" s="67"/>
      <c r="G898" s="67"/>
    </row>
    <row r="899" spans="5:7" ht="13">
      <c r="E899" s="66"/>
      <c r="F899" s="67"/>
      <c r="G899" s="67"/>
    </row>
    <row r="900" spans="5:7" ht="13">
      <c r="E900" s="66"/>
      <c r="F900" s="67"/>
      <c r="G900" s="67"/>
    </row>
    <row r="901" spans="5:7" ht="13">
      <c r="E901" s="66"/>
      <c r="F901" s="67"/>
      <c r="G901" s="67"/>
    </row>
    <row r="902" spans="5:7" ht="13">
      <c r="E902" s="66"/>
      <c r="F902" s="67"/>
      <c r="G902" s="67"/>
    </row>
    <row r="903" spans="5:7" ht="13">
      <c r="E903" s="66"/>
      <c r="F903" s="67"/>
      <c r="G903" s="67"/>
    </row>
    <row r="904" spans="5:7" ht="13">
      <c r="E904" s="66"/>
      <c r="F904" s="67"/>
      <c r="G904" s="67"/>
    </row>
    <row r="905" spans="5:7" ht="13">
      <c r="E905" s="66"/>
      <c r="F905" s="67"/>
      <c r="G905" s="67"/>
    </row>
    <row r="906" spans="5:7" ht="13">
      <c r="E906" s="66"/>
      <c r="F906" s="67"/>
      <c r="G906" s="67"/>
    </row>
    <row r="907" spans="5:7" ht="13">
      <c r="E907" s="66"/>
      <c r="F907" s="67"/>
      <c r="G907" s="67"/>
    </row>
    <row r="908" spans="5:7" ht="13">
      <c r="E908" s="66"/>
      <c r="F908" s="67"/>
      <c r="G908" s="67"/>
    </row>
    <row r="909" spans="5:7" ht="13">
      <c r="E909" s="66"/>
      <c r="F909" s="67"/>
      <c r="G909" s="67"/>
    </row>
    <row r="910" spans="5:7" ht="13">
      <c r="E910" s="66"/>
      <c r="F910" s="67"/>
      <c r="G910" s="67"/>
    </row>
    <row r="911" spans="5:7" ht="13">
      <c r="E911" s="66"/>
      <c r="F911" s="67"/>
      <c r="G911" s="67"/>
    </row>
    <row r="912" spans="5:7" ht="13">
      <c r="E912" s="66"/>
      <c r="F912" s="67"/>
      <c r="G912" s="67"/>
    </row>
    <row r="913" spans="5:7" ht="13">
      <c r="E913" s="66"/>
      <c r="F913" s="67"/>
      <c r="G913" s="67"/>
    </row>
    <row r="914" spans="5:7" ht="13">
      <c r="E914" s="66"/>
      <c r="F914" s="67"/>
      <c r="G914" s="67"/>
    </row>
    <row r="915" spans="5:7" ht="13">
      <c r="E915" s="66"/>
      <c r="F915" s="67"/>
      <c r="G915" s="67"/>
    </row>
    <row r="916" spans="5:7" ht="13">
      <c r="E916" s="66"/>
      <c r="F916" s="67"/>
      <c r="G916" s="67"/>
    </row>
    <row r="917" spans="5:7" ht="13">
      <c r="E917" s="66"/>
      <c r="F917" s="67"/>
      <c r="G917" s="67"/>
    </row>
    <row r="918" spans="5:7" ht="13">
      <c r="E918" s="66"/>
      <c r="F918" s="67"/>
      <c r="G918" s="67"/>
    </row>
    <row r="919" spans="5:7" ht="13">
      <c r="E919" s="66"/>
      <c r="F919" s="67"/>
      <c r="G919" s="67"/>
    </row>
    <row r="920" spans="5:7" ht="13">
      <c r="E920" s="66"/>
      <c r="F920" s="67"/>
      <c r="G920" s="67"/>
    </row>
    <row r="921" spans="5:7" ht="13">
      <c r="E921" s="66"/>
      <c r="F921" s="67"/>
      <c r="G921" s="67"/>
    </row>
    <row r="922" spans="5:7" ht="13">
      <c r="E922" s="66"/>
      <c r="F922" s="67"/>
      <c r="G922" s="67"/>
    </row>
    <row r="923" spans="5:7" ht="13">
      <c r="E923" s="66"/>
      <c r="F923" s="67"/>
      <c r="G923" s="67"/>
    </row>
    <row r="924" spans="5:7" ht="13">
      <c r="E924" s="66"/>
      <c r="F924" s="67"/>
      <c r="G924" s="67"/>
    </row>
    <row r="925" spans="5:7" ht="13">
      <c r="E925" s="66"/>
      <c r="F925" s="67"/>
      <c r="G925" s="67"/>
    </row>
    <row r="926" spans="5:7" ht="13">
      <c r="E926" s="66"/>
      <c r="F926" s="67"/>
      <c r="G926" s="67"/>
    </row>
    <row r="927" spans="5:7" ht="13">
      <c r="E927" s="66"/>
      <c r="F927" s="67"/>
      <c r="G927" s="67"/>
    </row>
    <row r="928" spans="5:7" ht="13">
      <c r="E928" s="66"/>
      <c r="F928" s="67"/>
      <c r="G928" s="67"/>
    </row>
    <row r="929" spans="5:7" ht="13">
      <c r="E929" s="66"/>
      <c r="F929" s="67"/>
      <c r="G929" s="67"/>
    </row>
    <row r="930" spans="5:7" ht="13">
      <c r="E930" s="66"/>
      <c r="F930" s="67"/>
      <c r="G930" s="67"/>
    </row>
    <row r="931" spans="5:7" ht="13">
      <c r="E931" s="66"/>
      <c r="F931" s="67"/>
      <c r="G931" s="67"/>
    </row>
    <row r="932" spans="5:7" ht="13">
      <c r="E932" s="66"/>
      <c r="F932" s="67"/>
      <c r="G932" s="67"/>
    </row>
    <row r="933" spans="5:7" ht="13">
      <c r="E933" s="66"/>
      <c r="F933" s="67"/>
      <c r="G933" s="67"/>
    </row>
    <row r="934" spans="5:7" ht="13">
      <c r="E934" s="66"/>
      <c r="F934" s="67"/>
      <c r="G934" s="67"/>
    </row>
    <row r="935" spans="5:7" ht="13">
      <c r="E935" s="66"/>
      <c r="F935" s="67"/>
      <c r="G935" s="67"/>
    </row>
    <row r="936" spans="5:7" ht="13">
      <c r="E936" s="66"/>
      <c r="F936" s="67"/>
      <c r="G936" s="67"/>
    </row>
    <row r="937" spans="5:7" ht="13">
      <c r="E937" s="66"/>
      <c r="F937" s="67"/>
      <c r="G937" s="67"/>
    </row>
    <row r="938" spans="5:7" ht="13">
      <c r="E938" s="66"/>
      <c r="F938" s="67"/>
      <c r="G938" s="67"/>
    </row>
    <row r="939" spans="5:7" ht="13">
      <c r="E939" s="66"/>
      <c r="F939" s="67"/>
      <c r="G939" s="67"/>
    </row>
    <row r="940" spans="5:7" ht="13">
      <c r="E940" s="66"/>
      <c r="F940" s="67"/>
      <c r="G940" s="67"/>
    </row>
    <row r="941" spans="5:7" ht="13">
      <c r="E941" s="66"/>
      <c r="F941" s="67"/>
      <c r="G941" s="67"/>
    </row>
    <row r="942" spans="5:7" ht="13">
      <c r="E942" s="66"/>
      <c r="F942" s="67"/>
      <c r="G942" s="67"/>
    </row>
    <row r="943" spans="5:7" ht="13">
      <c r="E943" s="66"/>
      <c r="F943" s="67"/>
      <c r="G943" s="67"/>
    </row>
    <row r="944" spans="5:7" ht="13">
      <c r="E944" s="66"/>
      <c r="F944" s="67"/>
      <c r="G944" s="67"/>
    </row>
    <row r="945" spans="5:7" ht="13">
      <c r="E945" s="66"/>
      <c r="F945" s="67"/>
      <c r="G945" s="67"/>
    </row>
    <row r="946" spans="5:7" ht="13">
      <c r="E946" s="66"/>
      <c r="F946" s="67"/>
      <c r="G946" s="67"/>
    </row>
    <row r="947" spans="5:7" ht="13">
      <c r="E947" s="66"/>
      <c r="F947" s="67"/>
      <c r="G947" s="67"/>
    </row>
    <row r="948" spans="5:7" ht="13">
      <c r="E948" s="66"/>
      <c r="F948" s="67"/>
      <c r="G948" s="67"/>
    </row>
    <row r="949" spans="5:7" ht="13">
      <c r="E949" s="66"/>
      <c r="F949" s="67"/>
      <c r="G949" s="67"/>
    </row>
    <row r="950" spans="5:7" ht="13">
      <c r="E950" s="66"/>
      <c r="F950" s="67"/>
      <c r="G950" s="67"/>
    </row>
    <row r="951" spans="5:7" ht="13">
      <c r="E951" s="66"/>
      <c r="F951" s="67"/>
      <c r="G951" s="67"/>
    </row>
    <row r="952" spans="5:7" ht="13">
      <c r="E952" s="66"/>
      <c r="F952" s="67"/>
      <c r="G952" s="67"/>
    </row>
    <row r="953" spans="5:7" ht="13">
      <c r="E953" s="66"/>
      <c r="F953" s="67"/>
      <c r="G953" s="67"/>
    </row>
    <row r="954" spans="5:7" ht="13">
      <c r="E954" s="66"/>
      <c r="F954" s="67"/>
      <c r="G954" s="67"/>
    </row>
    <row r="955" spans="5:7" ht="13">
      <c r="E955" s="66"/>
      <c r="F955" s="67"/>
      <c r="G955" s="67"/>
    </row>
    <row r="956" spans="5:7" ht="13">
      <c r="E956" s="66"/>
      <c r="F956" s="67"/>
      <c r="G956" s="67"/>
    </row>
    <row r="957" spans="5:7" ht="13">
      <c r="E957" s="66"/>
      <c r="F957" s="67"/>
      <c r="G957" s="67"/>
    </row>
    <row r="958" spans="5:7" ht="13">
      <c r="E958" s="66"/>
      <c r="F958" s="67"/>
      <c r="G958" s="67"/>
    </row>
    <row r="959" spans="5:7" ht="13">
      <c r="E959" s="66"/>
      <c r="F959" s="67"/>
      <c r="G959" s="67"/>
    </row>
    <row r="960" spans="5:7" ht="13">
      <c r="E960" s="66"/>
      <c r="F960" s="67"/>
      <c r="G960" s="67"/>
    </row>
    <row r="961" spans="5:7" ht="13">
      <c r="E961" s="66"/>
      <c r="F961" s="67"/>
      <c r="G961" s="67"/>
    </row>
    <row r="962" spans="5:7" ht="13">
      <c r="E962" s="66"/>
      <c r="F962" s="67"/>
      <c r="G962" s="67"/>
    </row>
    <row r="963" spans="5:7" ht="13">
      <c r="E963" s="66"/>
      <c r="F963" s="67"/>
      <c r="G963" s="67"/>
    </row>
    <row r="964" spans="5:7" ht="13">
      <c r="E964" s="66"/>
      <c r="F964" s="67"/>
      <c r="G964" s="67"/>
    </row>
    <row r="965" spans="5:7" ht="13">
      <c r="E965" s="66"/>
      <c r="F965" s="67"/>
      <c r="G965" s="67"/>
    </row>
    <row r="966" spans="5:7" ht="13">
      <c r="E966" s="66"/>
      <c r="F966" s="67"/>
      <c r="G966" s="67"/>
    </row>
    <row r="967" spans="5:7" ht="13">
      <c r="E967" s="66"/>
      <c r="F967" s="67"/>
      <c r="G967" s="67"/>
    </row>
    <row r="968" spans="5:7" ht="13">
      <c r="E968" s="66"/>
      <c r="F968" s="67"/>
      <c r="G968" s="67"/>
    </row>
    <row r="969" spans="5:7" ht="13">
      <c r="E969" s="66"/>
      <c r="F969" s="67"/>
      <c r="G969" s="67"/>
    </row>
    <row r="970" spans="5:7" ht="13">
      <c r="E970" s="66"/>
      <c r="F970" s="67"/>
      <c r="G970" s="67"/>
    </row>
    <row r="971" spans="5:7" ht="13">
      <c r="E971" s="66"/>
      <c r="F971" s="67"/>
      <c r="G971" s="67"/>
    </row>
    <row r="972" spans="5:7" ht="13">
      <c r="E972" s="66"/>
      <c r="F972" s="67"/>
      <c r="G972" s="67"/>
    </row>
    <row r="973" spans="5:7" ht="13">
      <c r="E973" s="66"/>
      <c r="F973" s="67"/>
      <c r="G973" s="67"/>
    </row>
    <row r="974" spans="5:7" ht="13">
      <c r="E974" s="66"/>
      <c r="F974" s="67"/>
      <c r="G974" s="67"/>
    </row>
    <row r="975" spans="5:7" ht="13">
      <c r="E975" s="66"/>
      <c r="F975" s="67"/>
      <c r="G975" s="67"/>
    </row>
    <row r="976" spans="5:7" ht="13">
      <c r="E976" s="66"/>
      <c r="F976" s="67"/>
      <c r="G976" s="67"/>
    </row>
    <row r="977" spans="5:7" ht="13">
      <c r="E977" s="66"/>
      <c r="F977" s="67"/>
      <c r="G977" s="67"/>
    </row>
    <row r="978" spans="5:7" ht="13">
      <c r="E978" s="66"/>
      <c r="F978" s="67"/>
      <c r="G978" s="67"/>
    </row>
    <row r="979" spans="5:7" ht="13">
      <c r="E979" s="66"/>
      <c r="F979" s="67"/>
      <c r="G979" s="67"/>
    </row>
    <row r="980" spans="5:7" ht="13">
      <c r="E980" s="66"/>
      <c r="F980" s="67"/>
      <c r="G980" s="67"/>
    </row>
    <row r="981" spans="5:7" ht="13">
      <c r="E981" s="66"/>
      <c r="F981" s="67"/>
      <c r="G981" s="67"/>
    </row>
    <row r="982" spans="5:7" ht="13">
      <c r="E982" s="66"/>
      <c r="F982" s="67"/>
      <c r="G982" s="67"/>
    </row>
    <row r="983" spans="5:7" ht="13">
      <c r="E983" s="66"/>
      <c r="F983" s="67"/>
      <c r="G983" s="67"/>
    </row>
    <row r="984" spans="5:7" ht="13">
      <c r="E984" s="66"/>
      <c r="F984" s="67"/>
      <c r="G984" s="67"/>
    </row>
    <row r="985" spans="5:7" ht="13">
      <c r="E985" s="66"/>
      <c r="F985" s="67"/>
      <c r="G985" s="67"/>
    </row>
    <row r="986" spans="5:7" ht="13">
      <c r="E986" s="66"/>
      <c r="F986" s="67"/>
      <c r="G986" s="67"/>
    </row>
    <row r="987" spans="5:7" ht="13">
      <c r="E987" s="66"/>
      <c r="F987" s="67"/>
      <c r="G987" s="67"/>
    </row>
    <row r="988" spans="5:7" ht="13">
      <c r="E988" s="66"/>
      <c r="F988" s="67"/>
      <c r="G988" s="67"/>
    </row>
    <row r="989" spans="5:7" ht="13">
      <c r="E989" s="66"/>
      <c r="F989" s="67"/>
      <c r="G989" s="67"/>
    </row>
    <row r="990" spans="5:7" ht="13">
      <c r="E990" s="66"/>
      <c r="F990" s="67"/>
      <c r="G990" s="67"/>
    </row>
    <row r="991" spans="5:7" ht="13">
      <c r="E991" s="66"/>
      <c r="F991" s="67"/>
      <c r="G991" s="67"/>
    </row>
    <row r="992" spans="5:7" ht="13">
      <c r="E992" s="66"/>
      <c r="F992" s="67"/>
      <c r="G992" s="67"/>
    </row>
    <row r="993" spans="5:7" ht="13">
      <c r="E993" s="66"/>
      <c r="F993" s="67"/>
      <c r="G993" s="67"/>
    </row>
    <row r="994" spans="5:7" ht="13">
      <c r="E994" s="66"/>
      <c r="F994" s="67"/>
      <c r="G994" s="67"/>
    </row>
    <row r="995" spans="5:7" ht="13">
      <c r="E995" s="66"/>
      <c r="F995" s="67"/>
      <c r="G995" s="67"/>
    </row>
    <row r="996" spans="5:7" ht="13">
      <c r="E996" s="66"/>
      <c r="F996" s="67"/>
      <c r="G996" s="67"/>
    </row>
    <row r="997" spans="5:7" ht="13">
      <c r="E997" s="66"/>
      <c r="F997" s="67"/>
      <c r="G997" s="67"/>
    </row>
    <row r="998" spans="5:7" ht="13">
      <c r="E998" s="66"/>
      <c r="F998" s="67"/>
      <c r="G998" s="67"/>
    </row>
    <row r="999" spans="5:7" ht="13">
      <c r="E999" s="66"/>
      <c r="F999" s="67"/>
      <c r="G999" s="67"/>
    </row>
    <row r="1000" spans="5:7" ht="13">
      <c r="E1000" s="66"/>
      <c r="F1000" s="67"/>
      <c r="G1000" s="67"/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C79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6640625" defaultRowHeight="15.75" customHeight="1"/>
  <cols>
    <col min="1" max="1" width="14.6640625" customWidth="1"/>
    <col min="2" max="2" width="14" customWidth="1"/>
  </cols>
  <sheetData>
    <row r="1" spans="1:3">
      <c r="A1" s="124" t="s">
        <v>629</v>
      </c>
      <c r="B1" s="125"/>
      <c r="C1" s="125"/>
    </row>
    <row r="2" spans="1:3">
      <c r="A2" s="68" t="s">
        <v>11</v>
      </c>
      <c r="B2" s="68" t="s">
        <v>12</v>
      </c>
      <c r="C2" s="68" t="s">
        <v>613</v>
      </c>
    </row>
    <row r="3" spans="1:3">
      <c r="A3" s="69" t="s">
        <v>106</v>
      </c>
      <c r="B3" s="70" t="s">
        <v>553</v>
      </c>
      <c r="C3" s="70">
        <v>1</v>
      </c>
    </row>
    <row r="4" spans="1:3">
      <c r="A4" s="70"/>
      <c r="B4" s="71" t="s">
        <v>107</v>
      </c>
      <c r="C4" s="70">
        <v>1</v>
      </c>
    </row>
    <row r="5" spans="1:3">
      <c r="A5" s="70"/>
      <c r="B5" s="71" t="s">
        <v>109</v>
      </c>
      <c r="C5" s="70">
        <v>1</v>
      </c>
    </row>
    <row r="6" spans="1:3">
      <c r="A6" s="70"/>
      <c r="B6" s="71" t="s">
        <v>112</v>
      </c>
      <c r="C6" s="70">
        <v>1</v>
      </c>
    </row>
    <row r="7" spans="1:3">
      <c r="A7" s="70"/>
      <c r="B7" s="70" t="s">
        <v>557</v>
      </c>
      <c r="C7" s="70">
        <v>1</v>
      </c>
    </row>
    <row r="8" spans="1:3">
      <c r="A8" s="72" t="s">
        <v>614</v>
      </c>
      <c r="B8" s="72"/>
      <c r="C8" s="72">
        <v>5</v>
      </c>
    </row>
    <row r="9" spans="1:3">
      <c r="A9" s="69" t="s">
        <v>138</v>
      </c>
      <c r="B9" s="71" t="s">
        <v>158</v>
      </c>
      <c r="C9" s="70">
        <v>1</v>
      </c>
    </row>
    <row r="10" spans="1:3">
      <c r="A10" s="70"/>
      <c r="B10" s="71" t="s">
        <v>160</v>
      </c>
      <c r="C10" s="70">
        <v>1</v>
      </c>
    </row>
    <row r="11" spans="1:3">
      <c r="A11" s="70"/>
      <c r="B11" s="71" t="s">
        <v>163</v>
      </c>
      <c r="C11" s="70">
        <v>1</v>
      </c>
    </row>
    <row r="12" spans="1:3">
      <c r="A12" s="70"/>
      <c r="B12" s="71" t="s">
        <v>170</v>
      </c>
      <c r="C12" s="70">
        <v>10</v>
      </c>
    </row>
    <row r="13" spans="1:3">
      <c r="A13" s="70"/>
      <c r="B13" s="71" t="s">
        <v>172</v>
      </c>
      <c r="C13" s="70">
        <v>2</v>
      </c>
    </row>
    <row r="14" spans="1:3">
      <c r="A14" s="70"/>
      <c r="B14" s="71" t="s">
        <v>182</v>
      </c>
      <c r="C14" s="70">
        <v>1</v>
      </c>
    </row>
    <row r="15" spans="1:3">
      <c r="A15" s="70"/>
      <c r="B15" s="70" t="s">
        <v>550</v>
      </c>
      <c r="C15" s="70">
        <v>1</v>
      </c>
    </row>
    <row r="16" spans="1:3">
      <c r="A16" s="70"/>
      <c r="B16" s="71" t="s">
        <v>195</v>
      </c>
      <c r="C16" s="70">
        <v>2</v>
      </c>
    </row>
    <row r="17" spans="1:3">
      <c r="A17" s="70"/>
      <c r="B17" s="71" t="s">
        <v>226</v>
      </c>
      <c r="C17" s="70">
        <v>1</v>
      </c>
    </row>
    <row r="18" spans="1:3">
      <c r="A18" s="70"/>
      <c r="B18" s="71" t="s">
        <v>231</v>
      </c>
      <c r="C18" s="70">
        <v>1</v>
      </c>
    </row>
    <row r="19" spans="1:3">
      <c r="A19" s="70"/>
      <c r="B19" s="71" t="s">
        <v>234</v>
      </c>
      <c r="C19" s="70">
        <v>4</v>
      </c>
    </row>
    <row r="20" spans="1:3">
      <c r="A20" s="70"/>
      <c r="B20" s="71" t="s">
        <v>237</v>
      </c>
      <c r="C20" s="70">
        <v>4</v>
      </c>
    </row>
    <row r="21" spans="1:3">
      <c r="A21" s="70"/>
      <c r="B21" s="71" t="s">
        <v>240</v>
      </c>
      <c r="C21" s="70">
        <v>4</v>
      </c>
    </row>
    <row r="22" spans="1:3">
      <c r="A22" s="70"/>
      <c r="B22" s="71" t="s">
        <v>241</v>
      </c>
      <c r="C22" s="70">
        <v>3</v>
      </c>
    </row>
    <row r="23" spans="1:3">
      <c r="A23" s="70"/>
      <c r="B23" s="71" t="s">
        <v>249</v>
      </c>
      <c r="C23" s="70">
        <v>2</v>
      </c>
    </row>
    <row r="24" spans="1:3">
      <c r="A24" s="70"/>
      <c r="B24" s="71" t="s">
        <v>250</v>
      </c>
      <c r="C24" s="70">
        <v>1</v>
      </c>
    </row>
    <row r="25" spans="1:3">
      <c r="A25" s="70"/>
      <c r="B25" s="70" t="s">
        <v>546</v>
      </c>
      <c r="C25" s="70">
        <v>1</v>
      </c>
    </row>
    <row r="26" spans="1:3">
      <c r="A26" s="70"/>
      <c r="B26" s="71" t="s">
        <v>263</v>
      </c>
      <c r="C26" s="70">
        <v>1</v>
      </c>
    </row>
    <row r="27" spans="1:3">
      <c r="A27" s="70"/>
      <c r="B27" s="71" t="s">
        <v>280</v>
      </c>
      <c r="C27" s="70">
        <v>1</v>
      </c>
    </row>
    <row r="28" spans="1:3">
      <c r="A28" s="70"/>
      <c r="B28" s="71" t="s">
        <v>295</v>
      </c>
      <c r="C28" s="70">
        <v>8</v>
      </c>
    </row>
    <row r="29" spans="1:3">
      <c r="A29" s="70"/>
      <c r="B29" s="71" t="s">
        <v>297</v>
      </c>
      <c r="C29" s="70">
        <v>1</v>
      </c>
    </row>
    <row r="30" spans="1:3">
      <c r="A30" s="70"/>
      <c r="B30" s="71" t="s">
        <v>298</v>
      </c>
      <c r="C30" s="70">
        <v>2</v>
      </c>
    </row>
    <row r="31" spans="1:3">
      <c r="A31" s="70"/>
      <c r="B31" s="71" t="s">
        <v>301</v>
      </c>
      <c r="C31" s="70">
        <v>1</v>
      </c>
    </row>
    <row r="32" spans="1:3">
      <c r="A32" s="70"/>
      <c r="B32" s="71" t="s">
        <v>302</v>
      </c>
      <c r="C32" s="70">
        <v>4</v>
      </c>
    </row>
    <row r="33" spans="1:3">
      <c r="A33" s="70"/>
      <c r="B33" s="71" t="s">
        <v>303</v>
      </c>
      <c r="C33" s="70">
        <v>2</v>
      </c>
    </row>
    <row r="34" spans="1:3">
      <c r="A34" s="70"/>
      <c r="B34" s="71" t="s">
        <v>320</v>
      </c>
      <c r="C34" s="70">
        <v>2</v>
      </c>
    </row>
    <row r="35" spans="1:3">
      <c r="A35" s="70"/>
      <c r="B35" s="71" t="s">
        <v>321</v>
      </c>
      <c r="C35" s="70">
        <v>1</v>
      </c>
    </row>
    <row r="36" spans="1:3">
      <c r="A36" s="70"/>
      <c r="B36" s="71" t="s">
        <v>328</v>
      </c>
      <c r="C36" s="70">
        <v>1</v>
      </c>
    </row>
    <row r="37" spans="1:3">
      <c r="A37" s="70"/>
      <c r="B37" s="71" t="s">
        <v>329</v>
      </c>
      <c r="C37" s="70">
        <v>1</v>
      </c>
    </row>
    <row r="38" spans="1:3">
      <c r="A38" s="70"/>
      <c r="B38" s="71" t="s">
        <v>335</v>
      </c>
      <c r="C38" s="70">
        <v>1</v>
      </c>
    </row>
    <row r="39" spans="1:3">
      <c r="A39" s="70"/>
      <c r="B39" s="71" t="s">
        <v>342</v>
      </c>
      <c r="C39" s="70">
        <v>1</v>
      </c>
    </row>
    <row r="40" spans="1:3">
      <c r="A40" s="70"/>
      <c r="B40" s="71" t="s">
        <v>343</v>
      </c>
      <c r="C40" s="70">
        <v>4</v>
      </c>
    </row>
    <row r="41" spans="1:3">
      <c r="A41" s="70"/>
      <c r="B41" s="71" t="s">
        <v>379</v>
      </c>
      <c r="C41" s="70">
        <v>7</v>
      </c>
    </row>
    <row r="42" spans="1:3">
      <c r="A42" s="70"/>
      <c r="B42" s="71" t="s">
        <v>391</v>
      </c>
      <c r="C42" s="70">
        <v>1</v>
      </c>
    </row>
    <row r="43" spans="1:3">
      <c r="A43" s="70"/>
      <c r="B43" s="70" t="s">
        <v>551</v>
      </c>
      <c r="C43" s="70">
        <v>1</v>
      </c>
    </row>
    <row r="44" spans="1:3">
      <c r="A44" s="70"/>
      <c r="B44" s="71" t="s">
        <v>404</v>
      </c>
      <c r="C44" s="70">
        <v>1</v>
      </c>
    </row>
    <row r="45" spans="1:3">
      <c r="A45" s="70"/>
      <c r="B45" s="71" t="s">
        <v>405</v>
      </c>
      <c r="C45" s="70">
        <v>1</v>
      </c>
    </row>
    <row r="46" spans="1:3">
      <c r="A46" s="70"/>
      <c r="B46" s="71" t="s">
        <v>411</v>
      </c>
      <c r="C46" s="70">
        <v>2</v>
      </c>
    </row>
    <row r="47" spans="1:3">
      <c r="A47" s="70"/>
      <c r="B47" s="71" t="s">
        <v>412</v>
      </c>
      <c r="C47" s="70">
        <v>2</v>
      </c>
    </row>
    <row r="48" spans="1:3">
      <c r="A48" s="70"/>
      <c r="B48" s="71" t="s">
        <v>413</v>
      </c>
      <c r="C48" s="70">
        <v>2</v>
      </c>
    </row>
    <row r="49" spans="1:3">
      <c r="A49" s="70"/>
      <c r="B49" s="71" t="s">
        <v>414</v>
      </c>
      <c r="C49" s="70">
        <v>2</v>
      </c>
    </row>
    <row r="50" spans="1:3">
      <c r="A50" s="70"/>
      <c r="B50" s="71" t="s">
        <v>417</v>
      </c>
      <c r="C50" s="70">
        <v>1</v>
      </c>
    </row>
    <row r="51" spans="1:3">
      <c r="A51" s="70"/>
      <c r="B51" s="71" t="s">
        <v>418</v>
      </c>
      <c r="C51" s="70">
        <v>1</v>
      </c>
    </row>
    <row r="52" spans="1:3">
      <c r="A52" s="70"/>
      <c r="B52" s="71" t="s">
        <v>419</v>
      </c>
      <c r="C52" s="70">
        <v>2</v>
      </c>
    </row>
    <row r="53" spans="1:3">
      <c r="A53" s="70"/>
      <c r="B53" s="71" t="s">
        <v>423</v>
      </c>
      <c r="C53" s="70">
        <v>1</v>
      </c>
    </row>
    <row r="54" spans="1:3">
      <c r="A54" s="70"/>
      <c r="B54" s="71" t="s">
        <v>406</v>
      </c>
      <c r="C54" s="70">
        <v>1</v>
      </c>
    </row>
    <row r="55" spans="1:3">
      <c r="A55" s="70"/>
      <c r="B55" s="71" t="s">
        <v>429</v>
      </c>
      <c r="C55" s="70">
        <v>1</v>
      </c>
    </row>
    <row r="56" spans="1:3">
      <c r="A56" s="70"/>
      <c r="B56" s="71" t="s">
        <v>432</v>
      </c>
      <c r="C56" s="70">
        <v>2</v>
      </c>
    </row>
    <row r="57" spans="1:3">
      <c r="A57" s="70"/>
      <c r="B57" s="71" t="s">
        <v>434</v>
      </c>
      <c r="C57" s="70">
        <v>2</v>
      </c>
    </row>
    <row r="58" spans="1:3">
      <c r="A58" s="70"/>
      <c r="B58" s="70" t="s">
        <v>555</v>
      </c>
      <c r="C58" s="70">
        <v>1</v>
      </c>
    </row>
    <row r="59" spans="1:3">
      <c r="A59" s="70"/>
      <c r="B59" s="71" t="s">
        <v>437</v>
      </c>
      <c r="C59" s="70">
        <v>1</v>
      </c>
    </row>
    <row r="60" spans="1:3">
      <c r="A60" s="70"/>
      <c r="B60" s="71" t="s">
        <v>441</v>
      </c>
      <c r="C60" s="70">
        <v>1</v>
      </c>
    </row>
    <row r="61" spans="1:3">
      <c r="A61" s="70"/>
      <c r="B61" s="71" t="s">
        <v>444</v>
      </c>
      <c r="C61" s="70">
        <v>2</v>
      </c>
    </row>
    <row r="62" spans="1:3">
      <c r="A62" s="70"/>
      <c r="B62" s="71" t="s">
        <v>448</v>
      </c>
      <c r="C62" s="70">
        <v>1</v>
      </c>
    </row>
    <row r="63" spans="1:3">
      <c r="A63" s="70"/>
      <c r="B63" s="71" t="s">
        <v>455</v>
      </c>
      <c r="C63" s="70">
        <v>1</v>
      </c>
    </row>
    <row r="64" spans="1:3">
      <c r="A64" s="70"/>
      <c r="B64" s="71" t="s">
        <v>463</v>
      </c>
      <c r="C64" s="70">
        <v>2</v>
      </c>
    </row>
    <row r="65" spans="1:3">
      <c r="A65" s="70"/>
      <c r="B65" s="71" t="s">
        <v>483</v>
      </c>
      <c r="C65" s="70">
        <v>2</v>
      </c>
    </row>
    <row r="66" spans="1:3">
      <c r="A66" s="70"/>
      <c r="B66" s="70" t="s">
        <v>548</v>
      </c>
      <c r="C66" s="70">
        <v>1</v>
      </c>
    </row>
    <row r="67" spans="1:3">
      <c r="A67" s="70"/>
      <c r="B67" s="71" t="s">
        <v>484</v>
      </c>
      <c r="C67" s="70">
        <v>1</v>
      </c>
    </row>
    <row r="68" spans="1:3">
      <c r="A68" s="70"/>
      <c r="B68" s="70" t="s">
        <v>547</v>
      </c>
      <c r="C68" s="70">
        <v>1</v>
      </c>
    </row>
    <row r="69" spans="1:3">
      <c r="A69" s="70"/>
      <c r="B69" s="71" t="s">
        <v>494</v>
      </c>
      <c r="C69" s="70">
        <v>8</v>
      </c>
    </row>
    <row r="70" spans="1:3">
      <c r="A70" s="70"/>
      <c r="B70" s="71" t="s">
        <v>496</v>
      </c>
      <c r="C70" s="70">
        <v>1</v>
      </c>
    </row>
    <row r="71" spans="1:3">
      <c r="A71" s="70"/>
      <c r="B71" s="71" t="s">
        <v>498</v>
      </c>
      <c r="C71" s="70">
        <v>7</v>
      </c>
    </row>
    <row r="72" spans="1:3">
      <c r="A72" s="70"/>
      <c r="B72" s="71" t="s">
        <v>501</v>
      </c>
      <c r="C72" s="70">
        <v>1</v>
      </c>
    </row>
    <row r="73" spans="1:3">
      <c r="A73" s="70"/>
      <c r="B73" s="71" t="s">
        <v>505</v>
      </c>
      <c r="C73" s="70">
        <v>1</v>
      </c>
    </row>
    <row r="74" spans="1:3">
      <c r="A74" s="70"/>
      <c r="B74" s="71" t="s">
        <v>514</v>
      </c>
      <c r="C74" s="70">
        <v>2</v>
      </c>
    </row>
    <row r="75" spans="1:3">
      <c r="A75" s="70"/>
      <c r="B75" s="71" t="s">
        <v>509</v>
      </c>
      <c r="C75" s="70">
        <v>5</v>
      </c>
    </row>
    <row r="76" spans="1:3">
      <c r="A76" s="70"/>
      <c r="B76" s="70" t="s">
        <v>521</v>
      </c>
      <c r="C76" s="70">
        <v>1</v>
      </c>
    </row>
    <row r="77" spans="1:3">
      <c r="A77" s="70"/>
      <c r="B77" s="71" t="s">
        <v>526</v>
      </c>
      <c r="C77" s="70">
        <v>4</v>
      </c>
    </row>
    <row r="78" spans="1:3">
      <c r="A78" s="70"/>
      <c r="B78" s="70" t="s">
        <v>552</v>
      </c>
      <c r="C78" s="70">
        <v>1</v>
      </c>
    </row>
    <row r="79" spans="1:3">
      <c r="A79" s="72" t="s">
        <v>615</v>
      </c>
      <c r="B79" s="72"/>
      <c r="C79" s="72">
        <v>146</v>
      </c>
    </row>
  </sheetData>
  <mergeCells count="1">
    <mergeCell ref="A1:C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C53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6640625" defaultRowHeight="15.75" customHeight="1"/>
  <cols>
    <col min="1" max="1" width="14.6640625" customWidth="1"/>
    <col min="2" max="2" width="14" customWidth="1"/>
  </cols>
  <sheetData>
    <row r="1" spans="1:3">
      <c r="A1" s="124" t="s">
        <v>630</v>
      </c>
      <c r="B1" s="125"/>
      <c r="C1" s="125"/>
    </row>
    <row r="2" spans="1:3">
      <c r="A2" s="68" t="s">
        <v>11</v>
      </c>
      <c r="B2" s="68" t="s">
        <v>12</v>
      </c>
      <c r="C2" s="68" t="s">
        <v>613</v>
      </c>
    </row>
    <row r="3" spans="1:3">
      <c r="A3" s="71" t="s">
        <v>106</v>
      </c>
      <c r="B3" s="71" t="s">
        <v>109</v>
      </c>
      <c r="C3" s="70">
        <v>1</v>
      </c>
    </row>
    <row r="4" spans="1:3">
      <c r="A4" s="72" t="s">
        <v>614</v>
      </c>
      <c r="B4" s="72"/>
      <c r="C4" s="72">
        <v>1</v>
      </c>
    </row>
    <row r="5" spans="1:3">
      <c r="A5" s="71" t="s">
        <v>138</v>
      </c>
      <c r="B5" s="71" t="s">
        <v>145</v>
      </c>
      <c r="C5" s="70">
        <v>1</v>
      </c>
    </row>
    <row r="6" spans="1:3">
      <c r="A6" s="70"/>
      <c r="B6" s="71" t="s">
        <v>166</v>
      </c>
      <c r="C6" s="70">
        <v>1</v>
      </c>
    </row>
    <row r="7" spans="1:3">
      <c r="A7" s="70"/>
      <c r="B7" s="71" t="s">
        <v>168</v>
      </c>
      <c r="C7" s="70">
        <v>2</v>
      </c>
    </row>
    <row r="8" spans="1:3">
      <c r="A8" s="70"/>
      <c r="B8" s="71" t="s">
        <v>173</v>
      </c>
      <c r="C8" s="70">
        <v>1</v>
      </c>
    </row>
    <row r="9" spans="1:3">
      <c r="A9" s="70"/>
      <c r="B9" s="71" t="s">
        <v>176</v>
      </c>
      <c r="C9" s="70">
        <v>2</v>
      </c>
    </row>
    <row r="10" spans="1:3">
      <c r="A10" s="70"/>
      <c r="B10" s="71" t="s">
        <v>178</v>
      </c>
      <c r="C10" s="70">
        <v>1</v>
      </c>
    </row>
    <row r="11" spans="1:3">
      <c r="A11" s="70"/>
      <c r="B11" s="71" t="s">
        <v>184</v>
      </c>
      <c r="C11" s="70">
        <v>1</v>
      </c>
    </row>
    <row r="12" spans="1:3">
      <c r="A12" s="70"/>
      <c r="B12" s="70" t="s">
        <v>196</v>
      </c>
      <c r="C12" s="70">
        <v>1</v>
      </c>
    </row>
    <row r="13" spans="1:3">
      <c r="A13" s="70"/>
      <c r="B13" s="71" t="s">
        <v>207</v>
      </c>
      <c r="C13" s="70">
        <v>1</v>
      </c>
    </row>
    <row r="14" spans="1:3">
      <c r="A14" s="70"/>
      <c r="B14" s="71" t="s">
        <v>209</v>
      </c>
      <c r="C14" s="70">
        <v>1</v>
      </c>
    </row>
    <row r="15" spans="1:3">
      <c r="A15" s="70"/>
      <c r="B15" s="71" t="s">
        <v>211</v>
      </c>
      <c r="C15" s="70">
        <v>1</v>
      </c>
    </row>
    <row r="16" spans="1:3">
      <c r="A16" s="70"/>
      <c r="B16" s="71" t="s">
        <v>213</v>
      </c>
      <c r="C16" s="70">
        <v>1</v>
      </c>
    </row>
    <row r="17" spans="1:3">
      <c r="A17" s="70"/>
      <c r="B17" s="71" t="s">
        <v>217</v>
      </c>
      <c r="C17" s="70">
        <v>1</v>
      </c>
    </row>
    <row r="18" spans="1:3">
      <c r="A18" s="70"/>
      <c r="B18" s="71" t="s">
        <v>223</v>
      </c>
      <c r="C18" s="70">
        <v>1</v>
      </c>
    </row>
    <row r="19" spans="1:3">
      <c r="A19" s="70"/>
      <c r="B19" s="71" t="s">
        <v>229</v>
      </c>
      <c r="C19" s="70">
        <v>1</v>
      </c>
    </row>
    <row r="20" spans="1:3">
      <c r="A20" s="70"/>
      <c r="B20" s="71" t="s">
        <v>232</v>
      </c>
      <c r="C20" s="70">
        <v>1</v>
      </c>
    </row>
    <row r="21" spans="1:3">
      <c r="A21" s="70"/>
      <c r="B21" s="71" t="s">
        <v>241</v>
      </c>
      <c r="C21" s="70">
        <v>3</v>
      </c>
    </row>
    <row r="22" spans="1:3">
      <c r="A22" s="70"/>
      <c r="B22" s="71" t="s">
        <v>251</v>
      </c>
      <c r="C22" s="70">
        <v>1</v>
      </c>
    </row>
    <row r="23" spans="1:3">
      <c r="A23" s="70"/>
      <c r="B23" s="71" t="s">
        <v>264</v>
      </c>
      <c r="C23" s="70">
        <v>2</v>
      </c>
    </row>
    <row r="24" spans="1:3">
      <c r="A24" s="70"/>
      <c r="B24" s="71" t="s">
        <v>304</v>
      </c>
      <c r="C24" s="70">
        <v>2</v>
      </c>
    </row>
    <row r="25" spans="1:3">
      <c r="A25" s="70"/>
      <c r="B25" s="71" t="s">
        <v>306</v>
      </c>
      <c r="C25" s="70">
        <v>1</v>
      </c>
    </row>
    <row r="26" spans="1:3">
      <c r="A26" s="70"/>
      <c r="B26" s="71" t="s">
        <v>311</v>
      </c>
      <c r="C26" s="70">
        <v>1</v>
      </c>
    </row>
    <row r="27" spans="1:3">
      <c r="A27" s="70"/>
      <c r="B27" s="71" t="s">
        <v>316</v>
      </c>
      <c r="C27" s="70">
        <v>1</v>
      </c>
    </row>
    <row r="28" spans="1:3">
      <c r="A28" s="70"/>
      <c r="B28" s="71" t="s">
        <v>324</v>
      </c>
      <c r="C28" s="70">
        <v>1</v>
      </c>
    </row>
    <row r="29" spans="1:3">
      <c r="A29" s="70"/>
      <c r="B29" s="71" t="s">
        <v>360</v>
      </c>
      <c r="C29" s="70">
        <v>1</v>
      </c>
    </row>
    <row r="30" spans="1:3">
      <c r="A30" s="70"/>
      <c r="B30" s="71" t="s">
        <v>383</v>
      </c>
      <c r="C30" s="70">
        <v>2</v>
      </c>
    </row>
    <row r="31" spans="1:3">
      <c r="A31" s="70"/>
      <c r="B31" s="71" t="s">
        <v>385</v>
      </c>
      <c r="C31" s="70">
        <v>4</v>
      </c>
    </row>
    <row r="32" spans="1:3">
      <c r="A32" s="70"/>
      <c r="B32" s="71" t="s">
        <v>387</v>
      </c>
      <c r="C32" s="70">
        <v>2</v>
      </c>
    </row>
    <row r="33" spans="1:3">
      <c r="A33" s="70"/>
      <c r="B33" s="71" t="s">
        <v>420</v>
      </c>
      <c r="C33" s="70">
        <v>3</v>
      </c>
    </row>
    <row r="34" spans="1:3">
      <c r="A34" s="70"/>
      <c r="B34" s="71" t="s">
        <v>406</v>
      </c>
      <c r="C34" s="70">
        <v>2</v>
      </c>
    </row>
    <row r="35" spans="1:3">
      <c r="A35" s="70"/>
      <c r="B35" s="71" t="s">
        <v>430</v>
      </c>
      <c r="C35" s="70">
        <v>3</v>
      </c>
    </row>
    <row r="36" spans="1:3">
      <c r="A36" s="70"/>
      <c r="B36" s="71" t="s">
        <v>432</v>
      </c>
      <c r="C36" s="70">
        <v>2</v>
      </c>
    </row>
    <row r="37" spans="1:3">
      <c r="A37" s="70"/>
      <c r="B37" s="70" t="s">
        <v>435</v>
      </c>
      <c r="C37" s="70">
        <v>1</v>
      </c>
    </row>
    <row r="38" spans="1:3">
      <c r="A38" s="70"/>
      <c r="B38" s="71" t="s">
        <v>437</v>
      </c>
      <c r="C38" s="70">
        <v>1</v>
      </c>
    </row>
    <row r="39" spans="1:3">
      <c r="A39" s="70"/>
      <c r="B39" s="71" t="s">
        <v>442</v>
      </c>
      <c r="C39" s="70">
        <v>1</v>
      </c>
    </row>
    <row r="40" spans="1:3">
      <c r="A40" s="70"/>
      <c r="B40" s="71" t="s">
        <v>445</v>
      </c>
      <c r="C40" s="70">
        <v>1</v>
      </c>
    </row>
    <row r="41" spans="1:3">
      <c r="A41" s="70"/>
      <c r="B41" s="71" t="s">
        <v>458</v>
      </c>
      <c r="C41" s="70">
        <v>1</v>
      </c>
    </row>
    <row r="42" spans="1:3">
      <c r="A42" s="70"/>
      <c r="B42" s="71" t="s">
        <v>464</v>
      </c>
      <c r="C42" s="70">
        <v>1</v>
      </c>
    </row>
    <row r="43" spans="1:3">
      <c r="A43" s="70"/>
      <c r="B43" s="71" t="s">
        <v>479</v>
      </c>
      <c r="C43" s="70">
        <v>2</v>
      </c>
    </row>
    <row r="44" spans="1:3">
      <c r="A44" s="70"/>
      <c r="B44" s="71" t="s">
        <v>484</v>
      </c>
      <c r="C44" s="70">
        <v>1</v>
      </c>
    </row>
    <row r="45" spans="1:3">
      <c r="A45" s="70"/>
      <c r="B45" s="71" t="s">
        <v>486</v>
      </c>
      <c r="C45" s="70">
        <v>1</v>
      </c>
    </row>
    <row r="46" spans="1:3">
      <c r="A46" s="70"/>
      <c r="B46" s="71" t="s">
        <v>496</v>
      </c>
      <c r="C46" s="70">
        <v>2</v>
      </c>
    </row>
    <row r="47" spans="1:3">
      <c r="A47" s="70"/>
      <c r="B47" s="71" t="s">
        <v>505</v>
      </c>
      <c r="C47" s="70">
        <v>5</v>
      </c>
    </row>
    <row r="48" spans="1:3">
      <c r="A48" s="70"/>
      <c r="B48" s="71" t="s">
        <v>507</v>
      </c>
      <c r="C48" s="70">
        <v>4</v>
      </c>
    </row>
    <row r="49" spans="1:3">
      <c r="A49" s="70"/>
      <c r="B49" s="71" t="s">
        <v>510</v>
      </c>
      <c r="C49" s="70">
        <v>2</v>
      </c>
    </row>
    <row r="50" spans="1:3">
      <c r="A50" s="70"/>
      <c r="B50" s="71" t="s">
        <v>512</v>
      </c>
      <c r="C50" s="70">
        <v>2</v>
      </c>
    </row>
    <row r="51" spans="1:3">
      <c r="A51" s="70"/>
      <c r="B51" s="71" t="s">
        <v>530</v>
      </c>
      <c r="C51" s="70">
        <v>1</v>
      </c>
    </row>
    <row r="52" spans="1:3">
      <c r="A52" s="70"/>
      <c r="B52" s="71" t="s">
        <v>532</v>
      </c>
      <c r="C52" s="70">
        <v>1</v>
      </c>
    </row>
    <row r="53" spans="1:3">
      <c r="A53" s="73" t="s">
        <v>615</v>
      </c>
      <c r="B53" s="73"/>
      <c r="C53" s="73">
        <v>76</v>
      </c>
    </row>
  </sheetData>
  <mergeCells count="1">
    <mergeCell ref="A1:C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E18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6640625" defaultRowHeight="15.75" customHeight="1"/>
  <cols>
    <col min="1" max="1" width="11.33203125" customWidth="1"/>
    <col min="2" max="2" width="11.83203125" customWidth="1"/>
    <col min="3" max="4" width="7.1640625" customWidth="1"/>
    <col min="5" max="5" width="9.33203125" customWidth="1"/>
  </cols>
  <sheetData>
    <row r="1" spans="1:5" ht="14">
      <c r="A1" s="124" t="s">
        <v>631</v>
      </c>
      <c r="B1" s="125"/>
      <c r="C1" s="125"/>
      <c r="D1" s="125"/>
      <c r="E1" s="125"/>
    </row>
    <row r="2" spans="1:5" ht="27" customHeight="1">
      <c r="A2" s="68" t="s">
        <v>11</v>
      </c>
      <c r="B2" s="68" t="s">
        <v>12</v>
      </c>
      <c r="C2" s="74" t="s">
        <v>632</v>
      </c>
      <c r="D2" s="74" t="s">
        <v>633</v>
      </c>
      <c r="E2" s="74" t="s">
        <v>634</v>
      </c>
    </row>
    <row r="3" spans="1:5" ht="15">
      <c r="A3" s="70" t="s">
        <v>123</v>
      </c>
      <c r="B3" s="70" t="s">
        <v>124</v>
      </c>
      <c r="C3" s="75">
        <v>1</v>
      </c>
      <c r="D3" s="75"/>
      <c r="E3" s="76">
        <v>45978</v>
      </c>
    </row>
    <row r="4" spans="1:5" ht="15">
      <c r="A4" s="70"/>
      <c r="B4" s="70" t="s">
        <v>125</v>
      </c>
      <c r="C4" s="75">
        <v>1</v>
      </c>
      <c r="D4" s="75"/>
      <c r="E4" s="76">
        <v>45978</v>
      </c>
    </row>
    <row r="5" spans="1:5" ht="15">
      <c r="A5" s="70"/>
      <c r="B5" s="70" t="s">
        <v>126</v>
      </c>
      <c r="C5" s="75">
        <v>1</v>
      </c>
      <c r="D5" s="75"/>
      <c r="E5" s="76">
        <v>45978</v>
      </c>
    </row>
    <row r="6" spans="1:5" ht="15">
      <c r="A6" s="70"/>
      <c r="B6" s="70" t="s">
        <v>127</v>
      </c>
      <c r="C6" s="75">
        <v>1</v>
      </c>
      <c r="D6" s="75"/>
      <c r="E6" s="76">
        <v>45978</v>
      </c>
    </row>
    <row r="7" spans="1:5" ht="15">
      <c r="A7" s="70"/>
      <c r="B7" s="70" t="s">
        <v>128</v>
      </c>
      <c r="C7" s="75">
        <v>1</v>
      </c>
      <c r="D7" s="75"/>
      <c r="E7" s="76">
        <v>45978</v>
      </c>
    </row>
    <row r="8" spans="1:5" ht="15">
      <c r="A8" s="72" t="s">
        <v>626</v>
      </c>
      <c r="B8" s="72"/>
      <c r="C8" s="77">
        <v>5</v>
      </c>
      <c r="D8" s="77">
        <f>SUM(D3:D7)</f>
        <v>0</v>
      </c>
      <c r="E8" s="78"/>
    </row>
    <row r="9" spans="1:5" ht="15">
      <c r="A9" s="70" t="s">
        <v>138</v>
      </c>
      <c r="B9" s="70" t="s">
        <v>635</v>
      </c>
      <c r="C9" s="75">
        <v>1</v>
      </c>
      <c r="D9" s="75">
        <v>1</v>
      </c>
      <c r="E9" s="76">
        <v>45978</v>
      </c>
    </row>
    <row r="10" spans="1:5" ht="15">
      <c r="A10" s="70"/>
      <c r="B10" s="70" t="s">
        <v>636</v>
      </c>
      <c r="C10" s="75">
        <v>3</v>
      </c>
      <c r="D10" s="75">
        <v>3</v>
      </c>
      <c r="E10" s="76">
        <v>45978</v>
      </c>
    </row>
    <row r="11" spans="1:5" ht="15">
      <c r="A11" s="70"/>
      <c r="B11" s="70" t="s">
        <v>254</v>
      </c>
      <c r="C11" s="75">
        <v>1</v>
      </c>
      <c r="D11" s="75">
        <v>1</v>
      </c>
      <c r="E11" s="76">
        <v>45978</v>
      </c>
    </row>
    <row r="12" spans="1:5" ht="15">
      <c r="A12" s="70"/>
      <c r="B12" s="70" t="s">
        <v>255</v>
      </c>
      <c r="C12" s="75">
        <v>1</v>
      </c>
      <c r="D12" s="75">
        <v>1</v>
      </c>
      <c r="E12" s="76">
        <v>45978</v>
      </c>
    </row>
    <row r="13" spans="1:5" ht="15">
      <c r="A13" s="70"/>
      <c r="B13" s="70" t="s">
        <v>256</v>
      </c>
      <c r="C13" s="75">
        <v>1</v>
      </c>
      <c r="D13" s="75">
        <v>1</v>
      </c>
      <c r="E13" s="76">
        <v>45978</v>
      </c>
    </row>
    <row r="14" spans="1:5" ht="15">
      <c r="A14" s="70"/>
      <c r="B14" s="70" t="s">
        <v>257</v>
      </c>
      <c r="C14" s="75">
        <v>1</v>
      </c>
      <c r="D14" s="75">
        <v>1</v>
      </c>
      <c r="E14" s="76">
        <v>45978</v>
      </c>
    </row>
    <row r="15" spans="1:5" ht="15">
      <c r="A15" s="70"/>
      <c r="B15" s="70" t="s">
        <v>258</v>
      </c>
      <c r="C15" s="75">
        <v>1</v>
      </c>
      <c r="D15" s="75">
        <v>1</v>
      </c>
      <c r="E15" s="76">
        <v>45978</v>
      </c>
    </row>
    <row r="16" spans="1:5" ht="15">
      <c r="A16" s="70"/>
      <c r="B16" s="70" t="s">
        <v>259</v>
      </c>
      <c r="C16" s="75">
        <v>1</v>
      </c>
      <c r="D16" s="75">
        <v>1</v>
      </c>
      <c r="E16" s="76">
        <v>45978</v>
      </c>
    </row>
    <row r="17" spans="1:5" ht="15">
      <c r="A17" s="70"/>
      <c r="B17" s="70" t="s">
        <v>475</v>
      </c>
      <c r="C17" s="75">
        <v>4</v>
      </c>
      <c r="D17" s="75">
        <v>4</v>
      </c>
      <c r="E17" s="76">
        <v>45978</v>
      </c>
    </row>
    <row r="18" spans="1:5" ht="15">
      <c r="A18" s="72" t="s">
        <v>615</v>
      </c>
      <c r="B18" s="72"/>
      <c r="C18" s="77">
        <v>14</v>
      </c>
      <c r="D18" s="77">
        <f>SUM(D9:D17)</f>
        <v>14</v>
      </c>
      <c r="E18" s="78"/>
    </row>
  </sheetData>
  <mergeCells count="1">
    <mergeCell ref="A1:E1"/>
  </mergeCells>
  <conditionalFormatting sqref="C3:D18">
    <cfRule type="expression" dxfId="0" priority="1">
      <formula>($D3-$C3)&gt;-1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B116"/>
  <sheetViews>
    <sheetView workbookViewId="0"/>
  </sheetViews>
  <sheetFormatPr baseColWidth="10" defaultColWidth="12.6640625" defaultRowHeight="15.75" customHeight="1"/>
  <cols>
    <col min="1" max="1" width="14.6640625" customWidth="1"/>
    <col min="2" max="2" width="14" customWidth="1"/>
  </cols>
  <sheetData>
    <row r="1" spans="1:2" ht="15.75" customHeight="1">
      <c r="A1" s="65" t="s">
        <v>158</v>
      </c>
      <c r="B1" s="40">
        <v>1</v>
      </c>
    </row>
    <row r="2" spans="1:2" ht="15.75" customHeight="1">
      <c r="A2" s="65" t="s">
        <v>160</v>
      </c>
      <c r="B2" s="40">
        <v>1</v>
      </c>
    </row>
    <row r="3" spans="1:2" ht="15.75" customHeight="1">
      <c r="A3" s="65" t="s">
        <v>163</v>
      </c>
      <c r="B3" s="40">
        <v>1</v>
      </c>
    </row>
    <row r="4" spans="1:2" ht="15.75" customHeight="1">
      <c r="A4" s="65" t="s">
        <v>170</v>
      </c>
      <c r="B4" s="40">
        <v>10</v>
      </c>
    </row>
    <row r="5" spans="1:2" ht="15.75" customHeight="1">
      <c r="A5" s="65" t="s">
        <v>172</v>
      </c>
      <c r="B5" s="40">
        <v>2</v>
      </c>
    </row>
    <row r="6" spans="1:2" ht="15.75" customHeight="1">
      <c r="A6" s="65" t="s">
        <v>182</v>
      </c>
      <c r="B6" s="40">
        <v>1</v>
      </c>
    </row>
    <row r="7" spans="1:2" ht="15.75" customHeight="1">
      <c r="A7" s="40" t="s">
        <v>550</v>
      </c>
      <c r="B7" s="40">
        <v>1</v>
      </c>
    </row>
    <row r="8" spans="1:2" ht="15.75" customHeight="1">
      <c r="A8" s="65" t="s">
        <v>195</v>
      </c>
      <c r="B8" s="40">
        <v>2</v>
      </c>
    </row>
    <row r="9" spans="1:2" ht="15.75" customHeight="1">
      <c r="A9" s="65" t="s">
        <v>226</v>
      </c>
      <c r="B9" s="40">
        <v>1</v>
      </c>
    </row>
    <row r="10" spans="1:2" ht="15.75" customHeight="1">
      <c r="A10" s="65" t="s">
        <v>231</v>
      </c>
      <c r="B10" s="40">
        <v>1</v>
      </c>
    </row>
    <row r="11" spans="1:2" ht="15.75" customHeight="1">
      <c r="A11" s="65" t="s">
        <v>234</v>
      </c>
      <c r="B11" s="40">
        <v>4</v>
      </c>
    </row>
    <row r="12" spans="1:2" ht="15.75" customHeight="1">
      <c r="A12" s="65" t="s">
        <v>237</v>
      </c>
      <c r="B12" s="40">
        <v>4</v>
      </c>
    </row>
    <row r="13" spans="1:2" ht="15.75" customHeight="1">
      <c r="A13" s="65" t="s">
        <v>240</v>
      </c>
      <c r="B13" s="40">
        <v>4</v>
      </c>
    </row>
    <row r="14" spans="1:2" ht="15.75" customHeight="1">
      <c r="A14" s="65" t="s">
        <v>241</v>
      </c>
      <c r="B14" s="40">
        <v>3</v>
      </c>
    </row>
    <row r="15" spans="1:2" ht="15.75" customHeight="1">
      <c r="A15" s="65" t="s">
        <v>249</v>
      </c>
      <c r="B15" s="40">
        <v>2</v>
      </c>
    </row>
    <row r="16" spans="1:2" ht="15.75" customHeight="1">
      <c r="A16" s="65" t="s">
        <v>250</v>
      </c>
      <c r="B16" s="40">
        <v>1</v>
      </c>
    </row>
    <row r="17" spans="1:2" ht="15.75" customHeight="1">
      <c r="A17" s="40" t="s">
        <v>546</v>
      </c>
      <c r="B17" s="40">
        <v>1</v>
      </c>
    </row>
    <row r="18" spans="1:2" ht="15.75" customHeight="1">
      <c r="A18" s="65" t="s">
        <v>263</v>
      </c>
      <c r="B18" s="40">
        <v>1</v>
      </c>
    </row>
    <row r="19" spans="1:2" ht="15.75" customHeight="1">
      <c r="A19" s="65" t="s">
        <v>280</v>
      </c>
      <c r="B19" s="40">
        <v>1</v>
      </c>
    </row>
    <row r="20" spans="1:2" ht="15.75" customHeight="1">
      <c r="A20" s="65" t="s">
        <v>295</v>
      </c>
      <c r="B20" s="40">
        <v>8</v>
      </c>
    </row>
    <row r="21" spans="1:2" ht="15.75" customHeight="1">
      <c r="A21" s="65" t="s">
        <v>297</v>
      </c>
      <c r="B21" s="40">
        <v>1</v>
      </c>
    </row>
    <row r="22" spans="1:2" ht="15.75" customHeight="1">
      <c r="A22" s="65" t="s">
        <v>298</v>
      </c>
      <c r="B22" s="40">
        <v>2</v>
      </c>
    </row>
    <row r="23" spans="1:2" ht="15.75" customHeight="1">
      <c r="A23" s="65" t="s">
        <v>301</v>
      </c>
      <c r="B23" s="40">
        <v>1</v>
      </c>
    </row>
    <row r="24" spans="1:2" ht="15.75" customHeight="1">
      <c r="A24" s="65" t="s">
        <v>302</v>
      </c>
      <c r="B24" s="40">
        <v>4</v>
      </c>
    </row>
    <row r="25" spans="1:2" ht="15.75" customHeight="1">
      <c r="A25" s="65" t="s">
        <v>303</v>
      </c>
      <c r="B25" s="40">
        <v>2</v>
      </c>
    </row>
    <row r="26" spans="1:2" ht="15.75" customHeight="1">
      <c r="A26" s="65" t="s">
        <v>320</v>
      </c>
      <c r="B26" s="40">
        <v>2</v>
      </c>
    </row>
    <row r="27" spans="1:2" ht="15.75" customHeight="1">
      <c r="A27" s="65" t="s">
        <v>321</v>
      </c>
      <c r="B27" s="40">
        <v>1</v>
      </c>
    </row>
    <row r="28" spans="1:2" ht="15.75" customHeight="1">
      <c r="A28" s="65" t="s">
        <v>328</v>
      </c>
      <c r="B28" s="40">
        <v>1</v>
      </c>
    </row>
    <row r="29" spans="1:2" ht="15.75" customHeight="1">
      <c r="A29" s="65" t="s">
        <v>329</v>
      </c>
      <c r="B29" s="40">
        <v>1</v>
      </c>
    </row>
    <row r="30" spans="1:2" ht="15.75" customHeight="1">
      <c r="A30" s="65" t="s">
        <v>335</v>
      </c>
      <c r="B30" s="40">
        <v>1</v>
      </c>
    </row>
    <row r="31" spans="1:2" ht="15.75" customHeight="1">
      <c r="A31" s="65" t="s">
        <v>342</v>
      </c>
      <c r="B31" s="40">
        <v>1</v>
      </c>
    </row>
    <row r="32" spans="1:2" ht="15.75" customHeight="1">
      <c r="A32" s="65" t="s">
        <v>343</v>
      </c>
      <c r="B32" s="40">
        <v>4</v>
      </c>
    </row>
    <row r="33" spans="1:2" ht="15.75" customHeight="1">
      <c r="A33" s="65" t="s">
        <v>379</v>
      </c>
      <c r="B33" s="40">
        <v>7</v>
      </c>
    </row>
    <row r="34" spans="1:2" ht="15.75" customHeight="1">
      <c r="A34" s="65" t="s">
        <v>391</v>
      </c>
      <c r="B34" s="40">
        <v>1</v>
      </c>
    </row>
    <row r="35" spans="1:2" ht="15.75" customHeight="1">
      <c r="A35" s="40" t="s">
        <v>551</v>
      </c>
      <c r="B35" s="40">
        <v>1</v>
      </c>
    </row>
    <row r="36" spans="1:2" ht="15.75" customHeight="1">
      <c r="A36" s="65" t="s">
        <v>404</v>
      </c>
      <c r="B36" s="40">
        <v>1</v>
      </c>
    </row>
    <row r="37" spans="1:2" ht="15.75" customHeight="1">
      <c r="A37" s="65" t="s">
        <v>405</v>
      </c>
      <c r="B37" s="40">
        <v>1</v>
      </c>
    </row>
    <row r="38" spans="1:2" ht="15.75" customHeight="1">
      <c r="A38" s="65" t="s">
        <v>411</v>
      </c>
      <c r="B38" s="40">
        <v>2</v>
      </c>
    </row>
    <row r="39" spans="1:2" ht="15.75" customHeight="1">
      <c r="A39" s="65" t="s">
        <v>412</v>
      </c>
      <c r="B39" s="40">
        <v>2</v>
      </c>
    </row>
    <row r="40" spans="1:2" ht="15.75" customHeight="1">
      <c r="A40" s="65" t="s">
        <v>413</v>
      </c>
      <c r="B40" s="40">
        <v>2</v>
      </c>
    </row>
    <row r="41" spans="1:2" ht="15.75" customHeight="1">
      <c r="A41" s="65" t="s">
        <v>414</v>
      </c>
      <c r="B41" s="40">
        <v>2</v>
      </c>
    </row>
    <row r="42" spans="1:2" ht="15.75" customHeight="1">
      <c r="A42" s="65" t="s">
        <v>417</v>
      </c>
      <c r="B42" s="40">
        <v>1</v>
      </c>
    </row>
    <row r="43" spans="1:2" ht="15.75" customHeight="1">
      <c r="A43" s="65" t="s">
        <v>418</v>
      </c>
      <c r="B43" s="40">
        <v>1</v>
      </c>
    </row>
    <row r="44" spans="1:2" ht="15.75" customHeight="1">
      <c r="A44" s="65" t="s">
        <v>419</v>
      </c>
      <c r="B44" s="40">
        <v>2</v>
      </c>
    </row>
    <row r="45" spans="1:2" ht="15.75" customHeight="1">
      <c r="A45" s="65" t="s">
        <v>423</v>
      </c>
      <c r="B45" s="40">
        <v>1</v>
      </c>
    </row>
    <row r="46" spans="1:2" ht="15.75" customHeight="1">
      <c r="A46" s="65" t="s">
        <v>406</v>
      </c>
      <c r="B46" s="40">
        <v>1</v>
      </c>
    </row>
    <row r="47" spans="1:2" ht="15.75" customHeight="1">
      <c r="A47" s="65" t="s">
        <v>429</v>
      </c>
      <c r="B47" s="40">
        <v>1</v>
      </c>
    </row>
    <row r="48" spans="1:2" ht="15.75" customHeight="1">
      <c r="A48" s="65" t="s">
        <v>432</v>
      </c>
      <c r="B48" s="40">
        <v>2</v>
      </c>
    </row>
    <row r="49" spans="1:2" ht="15.75" customHeight="1">
      <c r="A49" s="65" t="s">
        <v>434</v>
      </c>
      <c r="B49" s="40">
        <v>2</v>
      </c>
    </row>
    <row r="50" spans="1:2" ht="15.75" customHeight="1">
      <c r="A50" s="40" t="s">
        <v>555</v>
      </c>
      <c r="B50" s="40">
        <v>1</v>
      </c>
    </row>
    <row r="51" spans="1:2" ht="15.75" customHeight="1">
      <c r="A51" s="65" t="s">
        <v>437</v>
      </c>
      <c r="B51" s="40">
        <v>1</v>
      </c>
    </row>
    <row r="52" spans="1:2" ht="15.75" customHeight="1">
      <c r="A52" s="65" t="s">
        <v>441</v>
      </c>
      <c r="B52" s="40">
        <v>1</v>
      </c>
    </row>
    <row r="53" spans="1:2" ht="15.75" customHeight="1">
      <c r="A53" s="65" t="s">
        <v>444</v>
      </c>
      <c r="B53" s="40">
        <v>2</v>
      </c>
    </row>
    <row r="54" spans="1:2" ht="15.75" customHeight="1">
      <c r="A54" s="65" t="s">
        <v>448</v>
      </c>
      <c r="B54" s="40">
        <v>1</v>
      </c>
    </row>
    <row r="55" spans="1:2" ht="15.75" customHeight="1">
      <c r="A55" s="65" t="s">
        <v>455</v>
      </c>
      <c r="B55" s="40">
        <v>1</v>
      </c>
    </row>
    <row r="56" spans="1:2" ht="15.75" customHeight="1">
      <c r="A56" s="65" t="s">
        <v>463</v>
      </c>
      <c r="B56" s="40">
        <v>2</v>
      </c>
    </row>
    <row r="57" spans="1:2" ht="15.75" customHeight="1">
      <c r="A57" s="65" t="s">
        <v>483</v>
      </c>
      <c r="B57" s="40">
        <v>2</v>
      </c>
    </row>
    <row r="58" spans="1:2" ht="15.75" customHeight="1">
      <c r="A58" s="40" t="s">
        <v>548</v>
      </c>
      <c r="B58" s="40">
        <v>1</v>
      </c>
    </row>
    <row r="59" spans="1:2" ht="15.75" customHeight="1">
      <c r="A59" s="65" t="s">
        <v>484</v>
      </c>
      <c r="B59" s="40">
        <v>1</v>
      </c>
    </row>
    <row r="60" spans="1:2" ht="15.75" customHeight="1">
      <c r="A60" s="40" t="s">
        <v>547</v>
      </c>
      <c r="B60" s="40">
        <v>1</v>
      </c>
    </row>
    <row r="61" spans="1:2" ht="15.75" customHeight="1">
      <c r="A61" s="65" t="s">
        <v>494</v>
      </c>
      <c r="B61" s="40">
        <v>8</v>
      </c>
    </row>
    <row r="62" spans="1:2" ht="15.75" customHeight="1">
      <c r="A62" s="65" t="s">
        <v>496</v>
      </c>
      <c r="B62" s="40">
        <v>1</v>
      </c>
    </row>
    <row r="63" spans="1:2" ht="15.75" customHeight="1">
      <c r="A63" s="65" t="s">
        <v>498</v>
      </c>
      <c r="B63" s="40">
        <v>7</v>
      </c>
    </row>
    <row r="64" spans="1:2" ht="15.75" customHeight="1">
      <c r="A64" s="65" t="s">
        <v>501</v>
      </c>
      <c r="B64" s="40">
        <v>1</v>
      </c>
    </row>
    <row r="65" spans="1:2" ht="13">
      <c r="A65" s="65" t="s">
        <v>505</v>
      </c>
      <c r="B65" s="40">
        <v>1</v>
      </c>
    </row>
    <row r="66" spans="1:2" ht="13">
      <c r="A66" s="65" t="s">
        <v>514</v>
      </c>
      <c r="B66" s="40">
        <v>2</v>
      </c>
    </row>
    <row r="67" spans="1:2" ht="13">
      <c r="A67" s="65" t="s">
        <v>509</v>
      </c>
      <c r="B67" s="40">
        <v>5</v>
      </c>
    </row>
    <row r="68" spans="1:2" ht="13">
      <c r="A68" s="40" t="s">
        <v>521</v>
      </c>
      <c r="B68" s="40">
        <v>1</v>
      </c>
    </row>
    <row r="69" spans="1:2" ht="13">
      <c r="A69" s="65" t="s">
        <v>526</v>
      </c>
      <c r="B69" s="40">
        <v>4</v>
      </c>
    </row>
    <row r="70" spans="1:2" ht="13">
      <c r="A70" s="40" t="s">
        <v>552</v>
      </c>
      <c r="B70" s="40">
        <v>1</v>
      </c>
    </row>
    <row r="71" spans="1:2" ht="13">
      <c r="A71" s="65"/>
      <c r="B71" s="40"/>
    </row>
    <row r="72" spans="1:2" ht="13">
      <c r="B72" s="40"/>
    </row>
    <row r="73" spans="1:2" ht="15">
      <c r="A73" s="70"/>
      <c r="B73" s="70"/>
    </row>
    <row r="74" spans="1:2" ht="15">
      <c r="A74" s="71"/>
      <c r="B74" s="70"/>
    </row>
    <row r="75" spans="1:2" ht="15">
      <c r="A75" s="70"/>
      <c r="B75" s="70"/>
    </row>
    <row r="76" spans="1:2" ht="15">
      <c r="A76" s="71"/>
      <c r="B76" s="70"/>
    </row>
    <row r="77" spans="1:2" ht="15">
      <c r="A77" s="71"/>
      <c r="B77" s="70"/>
    </row>
    <row r="78" spans="1:2" ht="15">
      <c r="A78" s="71"/>
      <c r="B78" s="70"/>
    </row>
    <row r="79" spans="1:2" ht="15">
      <c r="A79" s="71"/>
      <c r="B79" s="70"/>
    </row>
    <row r="80" spans="1:2" ht="15">
      <c r="A80" s="71"/>
      <c r="B80" s="70"/>
    </row>
    <row r="81" spans="1:2" ht="15">
      <c r="A81" s="71"/>
      <c r="B81" s="70"/>
    </row>
    <row r="82" spans="1:2" ht="15">
      <c r="A82" s="71"/>
      <c r="B82" s="70"/>
    </row>
    <row r="83" spans="1:2" ht="15">
      <c r="A83" s="70"/>
      <c r="B83" s="70"/>
    </row>
    <row r="84" spans="1:2" ht="15">
      <c r="A84" s="71"/>
      <c r="B84" s="70"/>
    </row>
    <row r="85" spans="1:2" ht="15">
      <c r="A85" s="70"/>
      <c r="B85" s="70"/>
    </row>
    <row r="86" spans="1:2" ht="15">
      <c r="A86" s="70"/>
      <c r="B86" s="70"/>
    </row>
    <row r="87" spans="1:2" ht="15">
      <c r="A87" s="70"/>
      <c r="B87" s="70"/>
    </row>
    <row r="88" spans="1:2" ht="15">
      <c r="A88" s="70"/>
      <c r="B88" s="70"/>
    </row>
    <row r="89" spans="1:2" ht="15">
      <c r="A89" s="70"/>
      <c r="B89" s="70"/>
    </row>
    <row r="90" spans="1:2" ht="15">
      <c r="A90" s="70"/>
      <c r="B90" s="70"/>
    </row>
    <row r="91" spans="1:2" ht="15">
      <c r="A91" s="70"/>
      <c r="B91" s="70"/>
    </row>
    <row r="92" spans="1:2" ht="15">
      <c r="A92" s="70"/>
      <c r="B92" s="70"/>
    </row>
    <row r="93" spans="1:2" ht="15">
      <c r="A93" s="70"/>
      <c r="B93" s="70"/>
    </row>
    <row r="94" spans="1:2" ht="15">
      <c r="A94" s="70"/>
      <c r="B94" s="70"/>
    </row>
    <row r="95" spans="1:2" ht="15">
      <c r="A95" s="70"/>
      <c r="B95" s="70"/>
    </row>
    <row r="96" spans="1:2" ht="15">
      <c r="A96" s="70"/>
      <c r="B96" s="70"/>
    </row>
    <row r="97" spans="1:2" ht="15">
      <c r="A97" s="70"/>
      <c r="B97" s="70"/>
    </row>
    <row r="98" spans="1:2" ht="15">
      <c r="A98" s="70"/>
      <c r="B98" s="70"/>
    </row>
    <row r="99" spans="1:2" ht="15">
      <c r="A99" s="70"/>
      <c r="B99" s="70"/>
    </row>
    <row r="100" spans="1:2" ht="15">
      <c r="A100" s="70"/>
      <c r="B100" s="70"/>
    </row>
    <row r="101" spans="1:2" ht="15">
      <c r="A101" s="70"/>
      <c r="B101" s="70"/>
    </row>
    <row r="102" spans="1:2" ht="15">
      <c r="A102" s="70"/>
      <c r="B102" s="70"/>
    </row>
    <row r="103" spans="1:2" ht="15">
      <c r="A103" s="70"/>
      <c r="B103" s="70"/>
    </row>
    <row r="104" spans="1:2" ht="15">
      <c r="A104" s="70"/>
      <c r="B104" s="70"/>
    </row>
    <row r="105" spans="1:2" ht="15">
      <c r="A105" s="70"/>
      <c r="B105" s="70"/>
    </row>
    <row r="106" spans="1:2" ht="15">
      <c r="A106" s="70"/>
      <c r="B106" s="70"/>
    </row>
    <row r="107" spans="1:2" ht="15">
      <c r="A107" s="70"/>
      <c r="B107" s="70"/>
    </row>
    <row r="108" spans="1:2" ht="15">
      <c r="A108" s="70"/>
      <c r="B108" s="70"/>
    </row>
    <row r="109" spans="1:2" ht="15">
      <c r="A109" s="70"/>
      <c r="B109" s="70"/>
    </row>
    <row r="110" spans="1:2" ht="15">
      <c r="A110" s="70"/>
      <c r="B110" s="70"/>
    </row>
    <row r="111" spans="1:2" ht="15">
      <c r="A111" s="70"/>
      <c r="B111" s="70"/>
    </row>
    <row r="112" spans="1:2" ht="15">
      <c r="A112" s="70"/>
      <c r="B112" s="70"/>
    </row>
    <row r="113" spans="1:2" ht="15">
      <c r="A113" s="70"/>
      <c r="B113" s="70"/>
    </row>
    <row r="114" spans="1:2" ht="15">
      <c r="A114" s="70"/>
      <c r="B114" s="70"/>
    </row>
    <row r="115" spans="1:2" ht="15">
      <c r="A115" s="70"/>
      <c r="B115" s="70"/>
    </row>
    <row r="116" spans="1:2" ht="15">
      <c r="A116" s="70"/>
      <c r="B116" s="70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B1064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min="1" max="1" width="6.83203125" customWidth="1"/>
    <col min="2" max="2" width="19" customWidth="1"/>
    <col min="3" max="3" width="11" customWidth="1"/>
    <col min="4" max="4" width="6.5" customWidth="1"/>
    <col min="5" max="5" width="41.5" customWidth="1"/>
    <col min="6" max="6" width="64.33203125" customWidth="1"/>
    <col min="7" max="7" width="10" customWidth="1"/>
    <col min="11" max="11" width="31.33203125" customWidth="1"/>
    <col min="12" max="12" width="36.5" customWidth="1"/>
  </cols>
  <sheetData>
    <row r="1" spans="1:28" ht="15.75" customHeight="1">
      <c r="A1" s="79"/>
      <c r="B1" s="80" t="s">
        <v>637</v>
      </c>
      <c r="C1" s="81" t="s">
        <v>638</v>
      </c>
      <c r="D1" s="82" t="s">
        <v>639</v>
      </c>
      <c r="E1" s="80" t="s">
        <v>640</v>
      </c>
      <c r="F1" s="83" t="s">
        <v>19</v>
      </c>
      <c r="G1" s="84" t="s">
        <v>641</v>
      </c>
      <c r="H1" s="84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</row>
    <row r="2" spans="1:28" ht="15.75" customHeight="1">
      <c r="A2" s="128" t="s">
        <v>642</v>
      </c>
      <c r="B2" s="87" t="s">
        <v>643</v>
      </c>
      <c r="C2" s="88" t="s">
        <v>644</v>
      </c>
      <c r="D2" s="88"/>
      <c r="E2" s="88"/>
      <c r="F2" s="88"/>
      <c r="G2" s="89" t="b">
        <v>0</v>
      </c>
      <c r="H2" s="89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</row>
    <row r="3" spans="1:28" ht="15.75" customHeight="1">
      <c r="A3" s="125"/>
      <c r="B3" s="91" t="s">
        <v>645</v>
      </c>
      <c r="C3" s="126" t="s">
        <v>646</v>
      </c>
      <c r="D3" s="125"/>
      <c r="E3" s="125"/>
      <c r="F3" s="125"/>
      <c r="G3" s="93" t="b">
        <v>0</v>
      </c>
      <c r="H3" s="93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</row>
    <row r="4" spans="1:28" ht="15.75" customHeight="1">
      <c r="A4" s="125"/>
      <c r="B4" s="87" t="s">
        <v>647</v>
      </c>
      <c r="C4" s="127" t="s">
        <v>648</v>
      </c>
      <c r="D4" s="125"/>
      <c r="E4" s="125"/>
      <c r="F4" s="125"/>
      <c r="G4" s="89" t="b">
        <v>0</v>
      </c>
      <c r="H4" s="89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</row>
    <row r="5" spans="1:28" ht="15.75" customHeight="1">
      <c r="A5" s="125"/>
      <c r="B5" s="91" t="s">
        <v>649</v>
      </c>
      <c r="C5" s="126" t="s">
        <v>650</v>
      </c>
      <c r="D5" s="125"/>
      <c r="E5" s="125"/>
      <c r="F5" s="125"/>
      <c r="G5" s="93" t="b">
        <v>0</v>
      </c>
      <c r="H5" s="93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  <c r="AA5" s="90"/>
      <c r="AB5" s="90"/>
    </row>
    <row r="6" spans="1:28" ht="15.75" customHeight="1">
      <c r="A6" s="125"/>
      <c r="B6" s="87" t="s">
        <v>651</v>
      </c>
      <c r="C6" s="127" t="s">
        <v>652</v>
      </c>
      <c r="D6" s="125"/>
      <c r="E6" s="125"/>
      <c r="F6" s="125"/>
      <c r="G6" s="89" t="b">
        <v>0</v>
      </c>
      <c r="H6" s="89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</row>
    <row r="7" spans="1:28" ht="15.75" customHeight="1">
      <c r="A7" s="125"/>
      <c r="B7" s="91" t="s">
        <v>653</v>
      </c>
      <c r="C7" s="92" t="s">
        <v>654</v>
      </c>
      <c r="D7" s="92"/>
      <c r="E7" s="92"/>
      <c r="F7" s="92"/>
      <c r="G7" s="93" t="b">
        <v>0</v>
      </c>
      <c r="H7" s="93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</row>
    <row r="8" spans="1:28" ht="15.75" customHeight="1">
      <c r="A8" s="125"/>
      <c r="B8" s="87" t="s">
        <v>655</v>
      </c>
      <c r="C8" s="127" t="s">
        <v>656</v>
      </c>
      <c r="D8" s="125"/>
      <c r="E8" s="125"/>
      <c r="F8" s="125"/>
      <c r="G8" s="89" t="b">
        <v>0</v>
      </c>
      <c r="H8" s="89"/>
      <c r="I8" s="90"/>
      <c r="J8" s="90"/>
      <c r="K8" s="90"/>
      <c r="L8" s="90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  <c r="AA8" s="90"/>
      <c r="AB8" s="90"/>
    </row>
    <row r="9" spans="1:28" ht="15.75" customHeight="1">
      <c r="A9" s="125"/>
      <c r="B9" s="91" t="s">
        <v>657</v>
      </c>
      <c r="C9" s="126" t="s">
        <v>658</v>
      </c>
      <c r="D9" s="125"/>
      <c r="E9" s="125"/>
      <c r="F9" s="125"/>
      <c r="G9" s="93" t="b">
        <v>0</v>
      </c>
      <c r="H9" s="93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  <c r="AA9" s="90"/>
      <c r="AB9" s="90"/>
    </row>
    <row r="10" spans="1:28" ht="15.75" customHeight="1">
      <c r="A10" s="125"/>
      <c r="B10" s="87" t="s">
        <v>659</v>
      </c>
      <c r="C10" s="127" t="s">
        <v>660</v>
      </c>
      <c r="D10" s="125"/>
      <c r="E10" s="125"/>
      <c r="F10" s="125"/>
      <c r="G10" s="89" t="b">
        <v>0</v>
      </c>
      <c r="H10" s="89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  <c r="AA10" s="90"/>
      <c r="AB10" s="90"/>
    </row>
    <row r="11" spans="1:28" ht="15.75" customHeight="1">
      <c r="A11" s="125"/>
      <c r="B11" s="91" t="s">
        <v>661</v>
      </c>
      <c r="C11" s="92" t="s">
        <v>662</v>
      </c>
      <c r="D11" s="92"/>
      <c r="E11" s="92"/>
      <c r="F11" s="92"/>
      <c r="G11" s="93" t="b">
        <v>0</v>
      </c>
      <c r="H11" s="93"/>
      <c r="I11" s="90"/>
      <c r="J11" s="90"/>
      <c r="K11" s="90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  <c r="AA11" s="90"/>
      <c r="AB11" s="90"/>
    </row>
    <row r="12" spans="1:28" ht="15.75" customHeight="1">
      <c r="A12" s="125"/>
      <c r="B12" s="87" t="s">
        <v>663</v>
      </c>
      <c r="C12" s="127" t="s">
        <v>664</v>
      </c>
      <c r="D12" s="125"/>
      <c r="E12" s="125"/>
      <c r="F12" s="125"/>
      <c r="G12" s="89" t="b">
        <v>0</v>
      </c>
      <c r="H12" s="89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</row>
    <row r="13" spans="1:28" ht="15.75" customHeight="1">
      <c r="A13" s="125"/>
      <c r="B13" s="91" t="s">
        <v>665</v>
      </c>
      <c r="C13" s="126" t="s">
        <v>666</v>
      </c>
      <c r="D13" s="125"/>
      <c r="E13" s="125"/>
      <c r="F13" s="125"/>
      <c r="G13" s="93" t="b">
        <v>0</v>
      </c>
      <c r="H13" s="93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  <c r="AA13" s="90"/>
      <c r="AB13" s="90"/>
    </row>
    <row r="14" spans="1:28" ht="15.75" customHeight="1">
      <c r="A14" s="125"/>
      <c r="B14" s="87" t="s">
        <v>667</v>
      </c>
      <c r="C14" s="127" t="s">
        <v>668</v>
      </c>
      <c r="D14" s="125"/>
      <c r="E14" s="125"/>
      <c r="F14" s="125"/>
      <c r="G14" s="89" t="b">
        <v>0</v>
      </c>
      <c r="H14" s="89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  <c r="AA14" s="90"/>
      <c r="AB14" s="90"/>
    </row>
    <row r="15" spans="1:28" ht="15.75" customHeight="1">
      <c r="A15" s="125"/>
      <c r="B15" s="91" t="s">
        <v>669</v>
      </c>
      <c r="C15" s="126" t="s">
        <v>670</v>
      </c>
      <c r="D15" s="125"/>
      <c r="E15" s="125"/>
      <c r="F15" s="125"/>
      <c r="G15" s="93" t="b">
        <v>0</v>
      </c>
      <c r="H15" s="93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  <c r="AA15" s="90"/>
      <c r="AB15" s="90"/>
    </row>
    <row r="16" spans="1:28" ht="15.75" customHeight="1">
      <c r="A16" s="125"/>
      <c r="B16" s="87" t="s">
        <v>671</v>
      </c>
      <c r="C16" s="127" t="s">
        <v>672</v>
      </c>
      <c r="D16" s="125"/>
      <c r="E16" s="125"/>
      <c r="F16" s="125"/>
      <c r="G16" s="89" t="b">
        <v>0</v>
      </c>
      <c r="H16" s="89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</row>
    <row r="17" spans="1:28" ht="15.75" customHeight="1">
      <c r="A17" s="125"/>
      <c r="B17" s="91" t="s">
        <v>673</v>
      </c>
      <c r="C17" s="126" t="s">
        <v>674</v>
      </c>
      <c r="D17" s="125"/>
      <c r="E17" s="125"/>
      <c r="F17" s="125"/>
      <c r="G17" s="93" t="b">
        <v>0</v>
      </c>
      <c r="H17" s="93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</row>
    <row r="18" spans="1:28" ht="15.75" customHeight="1">
      <c r="A18" s="125"/>
      <c r="B18" s="87" t="s">
        <v>675</v>
      </c>
      <c r="C18" s="127" t="s">
        <v>676</v>
      </c>
      <c r="D18" s="125"/>
      <c r="E18" s="125"/>
      <c r="F18" s="125"/>
      <c r="G18" s="89" t="b">
        <v>0</v>
      </c>
      <c r="H18" s="89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  <c r="AA18" s="90"/>
      <c r="AB18" s="90"/>
    </row>
    <row r="19" spans="1:28" ht="15.75" customHeight="1">
      <c r="A19" s="125"/>
      <c r="B19" s="91" t="s">
        <v>677</v>
      </c>
      <c r="C19" s="126" t="s">
        <v>678</v>
      </c>
      <c r="D19" s="125"/>
      <c r="E19" s="125"/>
      <c r="F19" s="125"/>
      <c r="G19" s="93" t="b">
        <v>0</v>
      </c>
      <c r="H19" s="93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  <c r="AA19" s="90"/>
      <c r="AB19" s="90"/>
    </row>
    <row r="20" spans="1:28" ht="15.75" customHeight="1">
      <c r="A20" s="125"/>
      <c r="B20" s="87" t="s">
        <v>679</v>
      </c>
      <c r="C20" s="127" t="s">
        <v>680</v>
      </c>
      <c r="D20" s="125"/>
      <c r="E20" s="125"/>
      <c r="F20" s="125"/>
      <c r="G20" s="89" t="b">
        <v>0</v>
      </c>
      <c r="H20" s="89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</row>
    <row r="21" spans="1:28" ht="15.75" customHeight="1">
      <c r="A21" s="125"/>
      <c r="B21" s="91" t="s">
        <v>681</v>
      </c>
      <c r="C21" s="126" t="s">
        <v>682</v>
      </c>
      <c r="D21" s="125"/>
      <c r="E21" s="125"/>
      <c r="F21" s="125"/>
      <c r="G21" s="93" t="b">
        <v>0</v>
      </c>
      <c r="H21" s="93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90"/>
      <c r="AB21" s="90"/>
    </row>
    <row r="22" spans="1:28" ht="15.75" customHeight="1">
      <c r="A22" s="125"/>
      <c r="B22" s="87" t="s">
        <v>683</v>
      </c>
      <c r="C22" s="127" t="s">
        <v>684</v>
      </c>
      <c r="D22" s="125"/>
      <c r="E22" s="125"/>
      <c r="F22" s="125"/>
      <c r="G22" s="89" t="b">
        <v>0</v>
      </c>
      <c r="H22" s="89"/>
      <c r="I22" s="90"/>
      <c r="J22" s="90"/>
      <c r="K22" s="90"/>
      <c r="L22" s="90"/>
      <c r="M22" s="90"/>
      <c r="N22" s="90"/>
      <c r="O22" s="90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  <c r="AA22" s="90"/>
      <c r="AB22" s="90"/>
    </row>
    <row r="23" spans="1:28" ht="15.75" customHeight="1">
      <c r="A23" s="125"/>
      <c r="B23" s="91" t="s">
        <v>685</v>
      </c>
      <c r="C23" s="126" t="s">
        <v>686</v>
      </c>
      <c r="D23" s="125"/>
      <c r="E23" s="125"/>
      <c r="F23" s="125"/>
      <c r="G23" s="93" t="b">
        <v>0</v>
      </c>
      <c r="H23" s="93"/>
      <c r="I23" s="90"/>
      <c r="J23" s="90"/>
      <c r="K23" s="90"/>
      <c r="L23" s="90"/>
      <c r="M23" s="90"/>
      <c r="N23" s="90"/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  <c r="AA23" s="90"/>
      <c r="AB23" s="90"/>
    </row>
    <row r="24" spans="1:28" ht="15.75" customHeight="1">
      <c r="A24" s="125"/>
      <c r="B24" s="87" t="s">
        <v>687</v>
      </c>
      <c r="C24" s="127" t="s">
        <v>688</v>
      </c>
      <c r="D24" s="125"/>
      <c r="E24" s="125"/>
      <c r="F24" s="125"/>
      <c r="G24" s="89" t="b">
        <v>0</v>
      </c>
      <c r="H24" s="89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</row>
    <row r="25" spans="1:28" ht="15.75" customHeight="1">
      <c r="A25" s="125"/>
      <c r="B25" s="91" t="s">
        <v>689</v>
      </c>
      <c r="C25" s="126" t="s">
        <v>690</v>
      </c>
      <c r="D25" s="125"/>
      <c r="E25" s="125"/>
      <c r="F25" s="125"/>
      <c r="G25" s="93" t="b">
        <v>0</v>
      </c>
      <c r="H25" s="93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</row>
    <row r="26" spans="1:28" ht="15.75" customHeight="1">
      <c r="A26" s="125"/>
      <c r="B26" s="87" t="s">
        <v>691</v>
      </c>
      <c r="C26" s="127" t="s">
        <v>692</v>
      </c>
      <c r="D26" s="125"/>
      <c r="E26" s="125"/>
      <c r="F26" s="125"/>
      <c r="G26" s="89" t="b">
        <v>0</v>
      </c>
      <c r="H26" s="89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</row>
    <row r="27" spans="1:28" ht="15.75" customHeight="1">
      <c r="A27" s="125"/>
      <c r="B27" s="91" t="s">
        <v>693</v>
      </c>
      <c r="C27" s="126" t="s">
        <v>694</v>
      </c>
      <c r="D27" s="125"/>
      <c r="E27" s="125"/>
      <c r="F27" s="125"/>
      <c r="G27" s="93" t="b">
        <v>0</v>
      </c>
      <c r="H27" s="93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  <c r="AA27" s="90"/>
      <c r="AB27" s="90"/>
    </row>
    <row r="28" spans="1:28" ht="15.75" customHeight="1">
      <c r="A28" s="125"/>
      <c r="B28" s="87" t="s">
        <v>695</v>
      </c>
      <c r="C28" s="127" t="s">
        <v>696</v>
      </c>
      <c r="D28" s="125"/>
      <c r="E28" s="125"/>
      <c r="F28" s="125"/>
      <c r="G28" s="89" t="b">
        <v>0</v>
      </c>
      <c r="H28" s="89"/>
      <c r="I28" s="90"/>
      <c r="J28" s="90"/>
      <c r="K28" s="90"/>
      <c r="L28" s="90"/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  <c r="AA28" s="90"/>
      <c r="AB28" s="90"/>
    </row>
    <row r="29" spans="1:28" ht="15.75" customHeight="1">
      <c r="A29" s="125"/>
      <c r="B29" s="91" t="s">
        <v>697</v>
      </c>
      <c r="C29" s="126" t="s">
        <v>698</v>
      </c>
      <c r="D29" s="125"/>
      <c r="E29" s="125"/>
      <c r="F29" s="125"/>
      <c r="G29" s="93" t="b">
        <v>0</v>
      </c>
      <c r="H29" s="93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  <c r="AA29" s="90"/>
      <c r="AB29" s="90"/>
    </row>
    <row r="30" spans="1:28" ht="15.75" customHeight="1">
      <c r="A30" s="125"/>
      <c r="B30" s="87" t="s">
        <v>699</v>
      </c>
      <c r="C30" s="127" t="s">
        <v>700</v>
      </c>
      <c r="D30" s="125"/>
      <c r="E30" s="125"/>
      <c r="F30" s="125"/>
      <c r="G30" s="89" t="b">
        <v>0</v>
      </c>
      <c r="H30" s="89"/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  <c r="AA30" s="90"/>
      <c r="AB30" s="90"/>
    </row>
    <row r="31" spans="1:28" ht="15.75" customHeight="1">
      <c r="A31" s="125"/>
      <c r="B31" s="91" t="s">
        <v>701</v>
      </c>
      <c r="C31" s="126" t="s">
        <v>702</v>
      </c>
      <c r="D31" s="125"/>
      <c r="E31" s="125"/>
      <c r="F31" s="125"/>
      <c r="G31" s="93" t="b">
        <v>0</v>
      </c>
      <c r="H31" s="93"/>
      <c r="I31" s="90"/>
      <c r="J31" s="90"/>
      <c r="K31" s="90"/>
      <c r="L31" s="90"/>
      <c r="M31" s="90"/>
      <c r="N31" s="90"/>
      <c r="O31" s="90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  <c r="AA31" s="90"/>
      <c r="AB31" s="90"/>
    </row>
    <row r="32" spans="1:28" ht="15.75" customHeight="1">
      <c r="A32" s="125"/>
      <c r="B32" s="87" t="s">
        <v>703</v>
      </c>
      <c r="C32" s="127" t="s">
        <v>704</v>
      </c>
      <c r="D32" s="125"/>
      <c r="E32" s="125"/>
      <c r="F32" s="125"/>
      <c r="G32" s="89" t="b">
        <v>0</v>
      </c>
      <c r="H32" s="89"/>
      <c r="I32" s="90"/>
      <c r="J32" s="90"/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  <c r="AA32" s="90"/>
      <c r="AB32" s="90"/>
    </row>
    <row r="33" spans="1:28" ht="15.75" customHeight="1">
      <c r="A33" s="125"/>
      <c r="B33" s="91" t="s">
        <v>705</v>
      </c>
      <c r="C33" s="126" t="s">
        <v>706</v>
      </c>
      <c r="D33" s="125"/>
      <c r="E33" s="125"/>
      <c r="F33" s="125"/>
      <c r="G33" s="93" t="b">
        <v>0</v>
      </c>
      <c r="H33" s="93"/>
      <c r="I33" s="90"/>
      <c r="J33" s="90"/>
      <c r="K33" s="90"/>
      <c r="L33" s="90"/>
      <c r="M33" s="90"/>
      <c r="N33" s="90"/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  <c r="AA33" s="90"/>
      <c r="AB33" s="90"/>
    </row>
    <row r="34" spans="1:28" ht="15.75" customHeight="1">
      <c r="A34" s="125"/>
      <c r="B34" s="87" t="s">
        <v>707</v>
      </c>
      <c r="C34" s="127" t="s">
        <v>708</v>
      </c>
      <c r="D34" s="125"/>
      <c r="E34" s="125"/>
      <c r="F34" s="125"/>
      <c r="G34" s="89" t="b">
        <v>0</v>
      </c>
      <c r="H34" s="89"/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90"/>
      <c r="AB34" s="90"/>
    </row>
    <row r="35" spans="1:28" ht="15.75" customHeight="1">
      <c r="A35" s="125"/>
      <c r="B35" s="91" t="s">
        <v>354</v>
      </c>
      <c r="C35" s="126" t="s">
        <v>709</v>
      </c>
      <c r="D35" s="125"/>
      <c r="E35" s="125"/>
      <c r="F35" s="125"/>
      <c r="G35" s="93" t="b">
        <v>0</v>
      </c>
      <c r="H35" s="93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  <c r="AA35" s="90"/>
      <c r="AB35" s="90"/>
    </row>
    <row r="36" spans="1:28" ht="15.75" customHeight="1">
      <c r="A36" s="125"/>
      <c r="B36" s="87" t="s">
        <v>710</v>
      </c>
      <c r="C36" s="127" t="s">
        <v>711</v>
      </c>
      <c r="D36" s="125"/>
      <c r="E36" s="125"/>
      <c r="F36" s="125"/>
      <c r="G36" s="89" t="b">
        <v>0</v>
      </c>
      <c r="H36" s="89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  <c r="AA36" s="90"/>
      <c r="AB36" s="90"/>
    </row>
    <row r="37" spans="1:28" ht="15.75" customHeight="1">
      <c r="A37" s="125"/>
      <c r="B37" s="91" t="s">
        <v>357</v>
      </c>
      <c r="C37" s="126" t="s">
        <v>712</v>
      </c>
      <c r="D37" s="125"/>
      <c r="E37" s="125"/>
      <c r="F37" s="125"/>
      <c r="G37" s="93" t="b">
        <v>0</v>
      </c>
      <c r="H37" s="93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  <c r="AA37" s="90"/>
      <c r="AB37" s="90"/>
    </row>
    <row r="38" spans="1:28" ht="15.75" customHeight="1">
      <c r="A38" s="125"/>
      <c r="B38" s="87" t="s">
        <v>713</v>
      </c>
      <c r="C38" s="127" t="s">
        <v>714</v>
      </c>
      <c r="D38" s="125"/>
      <c r="E38" s="125"/>
      <c r="F38" s="125"/>
      <c r="G38" s="89" t="b">
        <v>0</v>
      </c>
      <c r="H38" s="89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</row>
    <row r="39" spans="1:28" ht="15.75" customHeight="1">
      <c r="A39" s="125"/>
      <c r="B39" s="91" t="s">
        <v>715</v>
      </c>
      <c r="C39" s="126" t="s">
        <v>716</v>
      </c>
      <c r="D39" s="125"/>
      <c r="E39" s="125"/>
      <c r="F39" s="125"/>
      <c r="G39" s="93" t="b">
        <v>0</v>
      </c>
      <c r="H39" s="93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  <c r="AA39" s="90"/>
      <c r="AB39" s="90"/>
    </row>
    <row r="40" spans="1:28" ht="15.75" customHeight="1">
      <c r="A40" s="125"/>
      <c r="B40" s="87" t="s">
        <v>717</v>
      </c>
      <c r="C40" s="127" t="s">
        <v>718</v>
      </c>
      <c r="D40" s="125"/>
      <c r="E40" s="125"/>
      <c r="F40" s="125"/>
      <c r="G40" s="89" t="b">
        <v>0</v>
      </c>
      <c r="H40" s="89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  <c r="AA40" s="90"/>
      <c r="AB40" s="90"/>
    </row>
    <row r="41" spans="1:28" ht="15.75" customHeight="1">
      <c r="A41" s="125"/>
      <c r="B41" s="91" t="s">
        <v>352</v>
      </c>
      <c r="C41" s="126" t="s">
        <v>719</v>
      </c>
      <c r="D41" s="125"/>
      <c r="E41" s="125"/>
      <c r="F41" s="125"/>
      <c r="G41" s="93" t="b">
        <v>0</v>
      </c>
      <c r="H41" s="93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  <c r="AA41" s="90"/>
      <c r="AB41" s="90"/>
    </row>
    <row r="42" spans="1:28" ht="15.75" customHeight="1">
      <c r="A42" s="128" t="s">
        <v>645</v>
      </c>
      <c r="B42" s="87" t="s">
        <v>720</v>
      </c>
      <c r="C42" s="94">
        <v>20</v>
      </c>
      <c r="D42" s="95"/>
      <c r="E42" s="96"/>
      <c r="F42" s="88" t="s">
        <v>721</v>
      </c>
      <c r="G42" s="89" t="b">
        <v>0</v>
      </c>
      <c r="H42" s="89"/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  <c r="AA42" s="90"/>
      <c r="AB42" s="90"/>
    </row>
    <row r="43" spans="1:28" ht="15.75" customHeight="1">
      <c r="A43" s="125"/>
      <c r="B43" s="91" t="s">
        <v>722</v>
      </c>
      <c r="C43" s="97">
        <v>1</v>
      </c>
      <c r="D43" s="98"/>
      <c r="E43" s="99"/>
      <c r="F43" s="92" t="s">
        <v>723</v>
      </c>
      <c r="G43" s="93" t="b">
        <v>0</v>
      </c>
      <c r="H43" s="93"/>
      <c r="I43" s="90"/>
      <c r="J43" s="90"/>
      <c r="K43" s="90"/>
      <c r="L43" s="90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90"/>
      <c r="Z43" s="90"/>
      <c r="AA43" s="90"/>
      <c r="AB43" s="90"/>
    </row>
    <row r="44" spans="1:28" ht="15.75" customHeight="1">
      <c r="A44" s="125"/>
      <c r="B44" s="87" t="s">
        <v>724</v>
      </c>
      <c r="C44" s="94">
        <v>1.33</v>
      </c>
      <c r="D44" s="95"/>
      <c r="E44" s="96"/>
      <c r="F44" s="88" t="s">
        <v>725</v>
      </c>
      <c r="G44" s="89" t="b">
        <v>0</v>
      </c>
      <c r="H44" s="89"/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  <c r="AA44" s="90"/>
      <c r="AB44" s="90"/>
    </row>
    <row r="45" spans="1:28" ht="15.75" customHeight="1">
      <c r="A45" s="125"/>
      <c r="B45" s="91" t="s">
        <v>726</v>
      </c>
      <c r="C45" s="97">
        <v>180</v>
      </c>
      <c r="D45" s="98" t="s">
        <v>727</v>
      </c>
      <c r="E45" s="99"/>
      <c r="F45" s="92" t="s">
        <v>728</v>
      </c>
      <c r="G45" s="93" t="b">
        <v>0</v>
      </c>
      <c r="H45" s="93"/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  <c r="AA45" s="90"/>
      <c r="AB45" s="90"/>
    </row>
    <row r="46" spans="1:28" ht="15.75" customHeight="1">
      <c r="A46" s="125"/>
      <c r="B46" s="87" t="s">
        <v>729</v>
      </c>
      <c r="C46" s="94">
        <v>2</v>
      </c>
      <c r="D46" s="95" t="s">
        <v>727</v>
      </c>
      <c r="E46" s="96"/>
      <c r="F46" s="88" t="s">
        <v>730</v>
      </c>
      <c r="G46" s="89" t="b">
        <v>0</v>
      </c>
      <c r="H46" s="89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  <c r="AA46" s="90"/>
      <c r="AB46" s="90"/>
    </row>
    <row r="47" spans="1:28" ht="15.75" customHeight="1">
      <c r="A47" s="125"/>
      <c r="B47" s="91" t="s">
        <v>731</v>
      </c>
      <c r="C47" s="97">
        <v>22</v>
      </c>
      <c r="D47" s="98" t="s">
        <v>727</v>
      </c>
      <c r="E47" s="99"/>
      <c r="F47" s="92" t="s">
        <v>732</v>
      </c>
      <c r="G47" s="93" t="b">
        <v>0</v>
      </c>
      <c r="H47" s="93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  <c r="Z47" s="90"/>
      <c r="AA47" s="90"/>
      <c r="AB47" s="90"/>
    </row>
    <row r="48" spans="1:28" ht="15.75" customHeight="1">
      <c r="A48" s="125"/>
      <c r="B48" s="87" t="s">
        <v>733</v>
      </c>
      <c r="C48" s="94">
        <v>75</v>
      </c>
      <c r="D48" s="95" t="s">
        <v>727</v>
      </c>
      <c r="E48" s="96"/>
      <c r="F48" s="88" t="s">
        <v>734</v>
      </c>
      <c r="G48" s="89" t="b">
        <v>0</v>
      </c>
      <c r="H48" s="89"/>
      <c r="I48" s="90"/>
      <c r="J48" s="90"/>
      <c r="K48" s="90"/>
      <c r="L48" s="90"/>
      <c r="M48" s="90"/>
      <c r="N48" s="90"/>
      <c r="O48" s="90"/>
      <c r="P48" s="90"/>
      <c r="Q48" s="90"/>
      <c r="R48" s="90"/>
      <c r="S48" s="90"/>
      <c r="T48" s="90"/>
      <c r="U48" s="90"/>
      <c r="V48" s="90"/>
      <c r="W48" s="90"/>
      <c r="X48" s="90"/>
      <c r="Y48" s="90"/>
      <c r="Z48" s="90"/>
      <c r="AA48" s="90"/>
      <c r="AB48" s="90"/>
    </row>
    <row r="49" spans="1:28" ht="15.75" customHeight="1">
      <c r="A49" s="125"/>
      <c r="B49" s="91" t="s">
        <v>735</v>
      </c>
      <c r="C49" s="97">
        <f>C45/C42</f>
        <v>9</v>
      </c>
      <c r="D49" s="98" t="s">
        <v>727</v>
      </c>
      <c r="E49" s="99" t="s">
        <v>736</v>
      </c>
      <c r="F49" s="92" t="s">
        <v>737</v>
      </c>
      <c r="G49" s="93" t="b">
        <v>1</v>
      </c>
      <c r="H49" s="93"/>
      <c r="I49" s="90"/>
      <c r="J49" s="90"/>
      <c r="K49" s="90"/>
      <c r="L49" s="90"/>
      <c r="M49" s="90"/>
      <c r="N49" s="90"/>
      <c r="O49" s="90"/>
      <c r="P49" s="90"/>
      <c r="Q49" s="90"/>
      <c r="R49" s="90"/>
      <c r="S49" s="90"/>
      <c r="T49" s="90"/>
      <c r="U49" s="90"/>
      <c r="V49" s="90"/>
      <c r="W49" s="90"/>
      <c r="X49" s="90"/>
      <c r="Y49" s="90"/>
      <c r="Z49" s="90"/>
      <c r="AA49" s="90"/>
      <c r="AB49" s="90"/>
    </row>
    <row r="50" spans="1:28" ht="15.75" customHeight="1">
      <c r="A50" s="125"/>
      <c r="B50" s="87" t="s">
        <v>738</v>
      </c>
      <c r="C50" s="94">
        <f>C49*C44</f>
        <v>11.97</v>
      </c>
      <c r="D50" s="95" t="s">
        <v>727</v>
      </c>
      <c r="E50" s="96" t="s">
        <v>739</v>
      </c>
      <c r="F50" s="88" t="s">
        <v>740</v>
      </c>
      <c r="G50" s="89" t="b">
        <v>1</v>
      </c>
      <c r="H50" s="89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90"/>
      <c r="T50" s="90"/>
      <c r="U50" s="90"/>
      <c r="V50" s="90"/>
      <c r="W50" s="90"/>
      <c r="X50" s="90"/>
      <c r="Y50" s="90"/>
      <c r="Z50" s="90"/>
      <c r="AA50" s="90"/>
      <c r="AB50" s="90"/>
    </row>
    <row r="51" spans="1:28" ht="15.75" customHeight="1">
      <c r="A51" s="125"/>
      <c r="B51" s="91" t="s">
        <v>741</v>
      </c>
      <c r="C51" s="97">
        <f>2*C43*C49</f>
        <v>18</v>
      </c>
      <c r="D51" s="98" t="s">
        <v>727</v>
      </c>
      <c r="E51" s="99" t="s">
        <v>742</v>
      </c>
      <c r="F51" s="92" t="s">
        <v>743</v>
      </c>
      <c r="G51" s="93" t="b">
        <v>1</v>
      </c>
      <c r="H51" s="93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90"/>
      <c r="T51" s="90"/>
      <c r="U51" s="90"/>
      <c r="V51" s="90"/>
      <c r="W51" s="90"/>
      <c r="X51" s="90"/>
      <c r="Y51" s="90"/>
      <c r="Z51" s="90"/>
      <c r="AA51" s="90"/>
      <c r="AB51" s="90"/>
    </row>
    <row r="52" spans="1:28" ht="15.75" customHeight="1">
      <c r="A52" s="125"/>
      <c r="B52" s="87" t="s">
        <v>744</v>
      </c>
      <c r="C52" s="94">
        <f>C47/C42</f>
        <v>1.1000000000000001</v>
      </c>
      <c r="D52" s="95" t="s">
        <v>727</v>
      </c>
      <c r="E52" s="96" t="s">
        <v>745</v>
      </c>
      <c r="F52" s="88" t="s">
        <v>746</v>
      </c>
      <c r="G52" s="89" t="b">
        <v>1</v>
      </c>
      <c r="H52" s="89"/>
      <c r="I52" s="90"/>
      <c r="J52" s="90"/>
      <c r="K52" s="90"/>
      <c r="L52" s="90"/>
      <c r="M52" s="90"/>
      <c r="N52" s="90"/>
      <c r="O52" s="90"/>
      <c r="P52" s="90"/>
      <c r="Q52" s="90"/>
      <c r="R52" s="90"/>
      <c r="S52" s="90"/>
      <c r="T52" s="90"/>
      <c r="U52" s="90"/>
      <c r="V52" s="90"/>
      <c r="W52" s="90"/>
      <c r="X52" s="90"/>
      <c r="Y52" s="90"/>
      <c r="Z52" s="90"/>
      <c r="AA52" s="90"/>
      <c r="AB52" s="90"/>
    </row>
    <row r="53" spans="1:28" ht="15.75" customHeight="1">
      <c r="A53" s="125"/>
      <c r="B53" s="91" t="s">
        <v>747</v>
      </c>
      <c r="C53" s="97">
        <f>(PI()*C43*C47/2/C42)^2</f>
        <v>2.9855553313295298</v>
      </c>
      <c r="D53" s="98" t="s">
        <v>748</v>
      </c>
      <c r="E53" s="99" t="s">
        <v>749</v>
      </c>
      <c r="F53" s="92" t="s">
        <v>750</v>
      </c>
      <c r="G53" s="93" t="b">
        <v>1</v>
      </c>
      <c r="H53" s="93"/>
      <c r="I53" s="90"/>
      <c r="J53" s="90"/>
      <c r="K53" s="90"/>
      <c r="L53" s="90"/>
      <c r="M53" s="90"/>
      <c r="N53" s="90"/>
      <c r="O53" s="90"/>
      <c r="P53" s="90"/>
      <c r="Q53" s="90"/>
      <c r="R53" s="90"/>
      <c r="S53" s="90"/>
      <c r="T53" s="90"/>
      <c r="U53" s="90"/>
      <c r="V53" s="90"/>
      <c r="W53" s="90"/>
      <c r="X53" s="90"/>
      <c r="Y53" s="90"/>
      <c r="Z53" s="90"/>
      <c r="AA53" s="90"/>
      <c r="AB53" s="90"/>
    </row>
    <row r="54" spans="1:28" ht="15.75" customHeight="1">
      <c r="A54" s="125"/>
      <c r="B54" s="87" t="s">
        <v>751</v>
      </c>
      <c r="C54" s="94">
        <f>DEGREES(ASIN(C47/2/C45))</f>
        <v>3.5035917935311445</v>
      </c>
      <c r="D54" s="95" t="s">
        <v>752</v>
      </c>
      <c r="E54" s="96" t="s">
        <v>753</v>
      </c>
      <c r="F54" s="88" t="s">
        <v>754</v>
      </c>
      <c r="G54" s="89" t="b">
        <v>1</v>
      </c>
      <c r="H54" s="89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90"/>
      <c r="T54" s="90"/>
      <c r="U54" s="90"/>
      <c r="V54" s="90"/>
      <c r="W54" s="90"/>
      <c r="X54" s="90"/>
      <c r="Y54" s="90"/>
      <c r="Z54" s="90"/>
      <c r="AA54" s="90"/>
      <c r="AB54" s="90"/>
    </row>
    <row r="55" spans="1:28" ht="15.75" customHeight="1">
      <c r="A55" s="129"/>
      <c r="B55" s="91" t="s">
        <v>755</v>
      </c>
      <c r="C55" s="97">
        <f>DEGREES(C52/2/C49)</f>
        <v>3.501408748021698</v>
      </c>
      <c r="D55" s="98" t="s">
        <v>752</v>
      </c>
      <c r="E55" s="99" t="s">
        <v>756</v>
      </c>
      <c r="F55" s="92" t="s">
        <v>757</v>
      </c>
      <c r="G55" s="93" t="b">
        <v>1</v>
      </c>
      <c r="H55" s="93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  <c r="AA55" s="90"/>
      <c r="AB55" s="90"/>
    </row>
    <row r="56" spans="1:28" ht="15.75" customHeight="1">
      <c r="A56" s="128" t="s">
        <v>651</v>
      </c>
      <c r="B56" s="87" t="s">
        <v>758</v>
      </c>
      <c r="C56" s="94">
        <v>20</v>
      </c>
      <c r="D56" s="95"/>
      <c r="E56" s="96"/>
      <c r="F56" s="88"/>
      <c r="G56" s="89" t="b">
        <v>0</v>
      </c>
      <c r="H56" s="89"/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  <c r="Y56" s="90"/>
      <c r="Z56" s="90"/>
      <c r="AA56" s="90"/>
      <c r="AB56" s="90"/>
    </row>
    <row r="57" spans="1:28" ht="15.75" customHeight="1">
      <c r="A57" s="125"/>
      <c r="B57" s="91" t="s">
        <v>759</v>
      </c>
      <c r="C57" s="97">
        <v>0.8</v>
      </c>
      <c r="D57" s="98"/>
      <c r="E57" s="99"/>
      <c r="F57" s="92"/>
      <c r="G57" s="93" t="b">
        <v>0</v>
      </c>
      <c r="H57" s="93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90"/>
      <c r="T57" s="90"/>
      <c r="U57" s="90"/>
      <c r="V57" s="90"/>
      <c r="W57" s="90"/>
      <c r="X57" s="90"/>
      <c r="Y57" s="90"/>
      <c r="Z57" s="90"/>
      <c r="AA57" s="90"/>
      <c r="AB57" s="90"/>
    </row>
    <row r="58" spans="1:28" ht="15.75" customHeight="1">
      <c r="A58" s="125"/>
      <c r="B58" s="87" t="s">
        <v>760</v>
      </c>
      <c r="C58" s="94">
        <v>1</v>
      </c>
      <c r="D58" s="95"/>
      <c r="E58" s="96"/>
      <c r="F58" s="88"/>
      <c r="G58" s="89" t="b">
        <v>0</v>
      </c>
      <c r="H58" s="89"/>
      <c r="I58" s="90"/>
      <c r="J58" s="90"/>
      <c r="K58" s="90"/>
      <c r="L58" s="90"/>
      <c r="M58" s="90"/>
      <c r="N58" s="90"/>
      <c r="O58" s="90"/>
      <c r="P58" s="90"/>
      <c r="Q58" s="90"/>
      <c r="R58" s="90"/>
      <c r="S58" s="90"/>
      <c r="T58" s="90"/>
      <c r="U58" s="90"/>
      <c r="V58" s="90"/>
      <c r="W58" s="90"/>
      <c r="X58" s="90"/>
      <c r="Y58" s="90"/>
      <c r="Z58" s="90"/>
      <c r="AA58" s="90"/>
      <c r="AB58" s="90"/>
    </row>
    <row r="59" spans="1:28" ht="15.75" customHeight="1">
      <c r="A59" s="125"/>
      <c r="B59" s="91" t="s">
        <v>761</v>
      </c>
      <c r="C59" s="97">
        <v>180</v>
      </c>
      <c r="D59" s="98" t="s">
        <v>727</v>
      </c>
      <c r="E59" s="99"/>
      <c r="F59" s="92"/>
      <c r="G59" s="93" t="b">
        <v>0</v>
      </c>
      <c r="H59" s="93"/>
      <c r="I59" s="90"/>
      <c r="J59" s="90"/>
      <c r="K59" s="90"/>
      <c r="L59" s="90"/>
      <c r="M59" s="90"/>
      <c r="N59" s="90"/>
      <c r="O59" s="90"/>
      <c r="P59" s="90"/>
      <c r="Q59" s="90"/>
      <c r="R59" s="90"/>
      <c r="S59" s="90"/>
      <c r="T59" s="90"/>
      <c r="U59" s="90"/>
      <c r="V59" s="90"/>
      <c r="W59" s="90"/>
      <c r="X59" s="90"/>
      <c r="Y59" s="90"/>
      <c r="Z59" s="90"/>
      <c r="AA59" s="90"/>
      <c r="AB59" s="90"/>
    </row>
    <row r="60" spans="1:28" ht="15.75" customHeight="1">
      <c r="A60" s="125"/>
      <c r="B60" s="87" t="s">
        <v>762</v>
      </c>
      <c r="C60" s="94">
        <v>0.61</v>
      </c>
      <c r="D60" s="95" t="s">
        <v>727</v>
      </c>
      <c r="E60" s="96"/>
      <c r="F60" s="88"/>
      <c r="G60" s="89" t="b">
        <v>0</v>
      </c>
      <c r="H60" s="89"/>
      <c r="I60" s="90"/>
      <c r="J60" s="90"/>
      <c r="K60" s="90"/>
      <c r="L60" s="90"/>
      <c r="M60" s="90"/>
      <c r="N60" s="90"/>
      <c r="O60" s="90"/>
      <c r="P60" s="90"/>
      <c r="Q60" s="90"/>
      <c r="R60" s="90"/>
      <c r="S60" s="90"/>
      <c r="T60" s="90"/>
      <c r="U60" s="90"/>
      <c r="V60" s="90"/>
      <c r="W60" s="90"/>
      <c r="X60" s="90"/>
      <c r="Y60" s="90"/>
      <c r="Z60" s="90"/>
      <c r="AA60" s="90"/>
      <c r="AB60" s="90"/>
    </row>
    <row r="61" spans="1:28" ht="15.75" customHeight="1">
      <c r="A61" s="125"/>
      <c r="B61" s="91" t="s">
        <v>763</v>
      </c>
      <c r="C61" s="97">
        <v>26.5</v>
      </c>
      <c r="D61" s="98" t="s">
        <v>727</v>
      </c>
      <c r="E61" s="99"/>
      <c r="F61" s="92"/>
      <c r="G61" s="93" t="b">
        <v>0</v>
      </c>
      <c r="H61" s="93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</row>
    <row r="62" spans="1:28" ht="15.75" customHeight="1">
      <c r="A62" s="125"/>
      <c r="B62" s="87" t="s">
        <v>764</v>
      </c>
      <c r="C62" s="94">
        <v>45.06</v>
      </c>
      <c r="D62" s="95" t="s">
        <v>727</v>
      </c>
      <c r="E62" s="96"/>
      <c r="F62" s="88"/>
      <c r="G62" s="89" t="b">
        <v>0</v>
      </c>
      <c r="H62" s="89"/>
      <c r="I62" s="90"/>
      <c r="J62" s="90"/>
      <c r="K62" s="90"/>
      <c r="L62" s="90"/>
      <c r="M62" s="90"/>
      <c r="N62" s="90"/>
      <c r="O62" s="90"/>
      <c r="P62" s="90"/>
      <c r="Q62" s="90"/>
      <c r="R62" s="90"/>
      <c r="S62" s="90"/>
      <c r="T62" s="90"/>
      <c r="U62" s="90"/>
      <c r="V62" s="90"/>
      <c r="W62" s="90"/>
      <c r="X62" s="90"/>
      <c r="Y62" s="90"/>
      <c r="Z62" s="90"/>
      <c r="AA62" s="90"/>
      <c r="AB62" s="90"/>
    </row>
    <row r="63" spans="1:28" ht="15.75" customHeight="1">
      <c r="A63" s="125"/>
      <c r="B63" s="91" t="s">
        <v>765</v>
      </c>
      <c r="C63" s="97">
        <f>C59/C56</f>
        <v>9</v>
      </c>
      <c r="D63" s="98" t="s">
        <v>727</v>
      </c>
      <c r="E63" s="99"/>
      <c r="F63" s="92" t="s">
        <v>766</v>
      </c>
      <c r="G63" s="93" t="b">
        <v>1</v>
      </c>
      <c r="H63" s="93"/>
      <c r="I63" s="90"/>
      <c r="J63" s="90"/>
      <c r="K63" s="90"/>
      <c r="L63" s="90"/>
      <c r="M63" s="90"/>
      <c r="N63" s="90"/>
      <c r="O63" s="90"/>
      <c r="P63" s="90"/>
      <c r="Q63" s="90"/>
      <c r="R63" s="90"/>
      <c r="S63" s="90"/>
      <c r="T63" s="90"/>
      <c r="U63" s="90"/>
      <c r="V63" s="90"/>
      <c r="W63" s="90"/>
      <c r="X63" s="90"/>
      <c r="Y63" s="90"/>
      <c r="Z63" s="90"/>
      <c r="AA63" s="90"/>
      <c r="AB63" s="90"/>
    </row>
    <row r="64" spans="1:28" ht="15.75" customHeight="1">
      <c r="A64" s="125"/>
      <c r="B64" s="87" t="s">
        <v>767</v>
      </c>
      <c r="C64" s="94">
        <f>C63*C58</f>
        <v>9</v>
      </c>
      <c r="D64" s="95" t="s">
        <v>727</v>
      </c>
      <c r="E64" s="96"/>
      <c r="F64" s="88" t="s">
        <v>768</v>
      </c>
      <c r="G64" s="89" t="b">
        <v>1</v>
      </c>
      <c r="H64" s="89"/>
      <c r="I64" s="90"/>
      <c r="J64" s="90"/>
      <c r="K64" s="90"/>
      <c r="L64" s="90"/>
      <c r="M64" s="90"/>
      <c r="N64" s="90"/>
      <c r="O64" s="90"/>
      <c r="P64" s="90"/>
      <c r="Q64" s="90"/>
      <c r="R64" s="90"/>
      <c r="S64" s="90"/>
      <c r="T64" s="90"/>
      <c r="U64" s="90"/>
      <c r="V64" s="90"/>
      <c r="W64" s="90"/>
      <c r="X64" s="90"/>
      <c r="Y64" s="90"/>
      <c r="Z64" s="90"/>
      <c r="AA64" s="90"/>
      <c r="AB64" s="90"/>
    </row>
    <row r="65" spans="1:28" ht="15.75" customHeight="1">
      <c r="A65" s="125"/>
      <c r="B65" s="91" t="s">
        <v>769</v>
      </c>
      <c r="C65" s="97">
        <f>2*C57*C63</f>
        <v>14.4</v>
      </c>
      <c r="D65" s="98" t="s">
        <v>727</v>
      </c>
      <c r="E65" s="99"/>
      <c r="F65" s="92" t="s">
        <v>770</v>
      </c>
      <c r="G65" s="93" t="b">
        <v>1</v>
      </c>
      <c r="H65" s="93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</row>
    <row r="66" spans="1:28" ht="15.75" customHeight="1">
      <c r="A66" s="125"/>
      <c r="B66" s="87" t="s">
        <v>771</v>
      </c>
      <c r="C66" s="94">
        <f>C61/C56</f>
        <v>1.325</v>
      </c>
      <c r="D66" s="95" t="s">
        <v>727</v>
      </c>
      <c r="E66" s="96"/>
      <c r="F66" s="88"/>
      <c r="G66" s="89" t="b">
        <v>1</v>
      </c>
      <c r="H66" s="89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90"/>
      <c r="T66" s="90"/>
      <c r="U66" s="90"/>
      <c r="V66" s="90"/>
      <c r="W66" s="90"/>
      <c r="X66" s="90"/>
      <c r="Y66" s="90"/>
      <c r="Z66" s="90"/>
      <c r="AA66" s="90"/>
      <c r="AB66" s="90"/>
    </row>
    <row r="67" spans="1:28" ht="16">
      <c r="A67" s="125"/>
      <c r="B67" s="91" t="s">
        <v>772</v>
      </c>
      <c r="C67" s="97">
        <f>(PI()*C57*C61/2/C56)^2</f>
        <v>2.7723718762660012</v>
      </c>
      <c r="D67" s="98" t="s">
        <v>748</v>
      </c>
      <c r="E67" s="99"/>
      <c r="F67" s="92" t="s">
        <v>773</v>
      </c>
      <c r="G67" s="93" t="b">
        <v>1</v>
      </c>
      <c r="H67" s="93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90"/>
      <c r="T67" s="90"/>
      <c r="U67" s="90"/>
      <c r="V67" s="90"/>
      <c r="W67" s="90"/>
      <c r="X67" s="90"/>
      <c r="Y67" s="90"/>
      <c r="Z67" s="90"/>
      <c r="AA67" s="90"/>
      <c r="AB67" s="90"/>
    </row>
    <row r="68" spans="1:28" ht="16">
      <c r="A68" s="130"/>
      <c r="B68" s="87" t="s">
        <v>774</v>
      </c>
      <c r="C68" s="94">
        <f>DEGREES(ASIN(C61/2/C59))</f>
        <v>4.2214242264770734</v>
      </c>
      <c r="D68" s="95" t="s">
        <v>752</v>
      </c>
      <c r="E68" s="96"/>
      <c r="F68" s="88" t="s">
        <v>775</v>
      </c>
      <c r="G68" s="89" t="b">
        <v>1</v>
      </c>
      <c r="H68" s="89"/>
      <c r="I68" s="90"/>
      <c r="J68" s="90"/>
      <c r="K68" s="90"/>
      <c r="L68" s="90"/>
      <c r="M68" s="90"/>
      <c r="N68" s="90"/>
      <c r="O68" s="90"/>
      <c r="P68" s="90"/>
      <c r="Q68" s="90"/>
      <c r="R68" s="90"/>
      <c r="S68" s="90"/>
      <c r="T68" s="90"/>
      <c r="U68" s="90"/>
      <c r="V68" s="90"/>
      <c r="W68" s="90"/>
      <c r="X68" s="90"/>
      <c r="Y68" s="90"/>
      <c r="Z68" s="90"/>
      <c r="AA68" s="90"/>
      <c r="AB68" s="90"/>
    </row>
    <row r="69" spans="1:28" ht="16">
      <c r="A69" s="128" t="s">
        <v>659</v>
      </c>
      <c r="B69" s="91" t="s">
        <v>776</v>
      </c>
      <c r="C69" s="97">
        <v>4</v>
      </c>
      <c r="D69" s="98"/>
      <c r="E69" s="99"/>
      <c r="F69" s="92"/>
      <c r="G69" s="93" t="b">
        <v>0</v>
      </c>
      <c r="H69" s="93"/>
      <c r="I69" s="90"/>
      <c r="J69" s="90"/>
      <c r="K69" s="90"/>
      <c r="L69" s="90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  <c r="Y69" s="90"/>
      <c r="Z69" s="90"/>
      <c r="AA69" s="90"/>
      <c r="AB69" s="90"/>
    </row>
    <row r="70" spans="1:28" ht="16">
      <c r="A70" s="125"/>
      <c r="B70" s="87" t="s">
        <v>777</v>
      </c>
      <c r="C70" s="94">
        <v>0.2</v>
      </c>
      <c r="D70" s="95"/>
      <c r="E70" s="96"/>
      <c r="F70" s="88"/>
      <c r="G70" s="89" t="b">
        <v>0</v>
      </c>
      <c r="H70" s="89"/>
      <c r="I70" s="90"/>
      <c r="J70" s="90"/>
      <c r="K70" s="90"/>
      <c r="L70" s="90"/>
      <c r="M70" s="90"/>
      <c r="N70" s="90"/>
      <c r="O70" s="90"/>
      <c r="P70" s="90"/>
      <c r="Q70" s="90"/>
      <c r="R70" s="90"/>
      <c r="S70" s="90"/>
      <c r="T70" s="90"/>
      <c r="U70" s="90"/>
      <c r="V70" s="90"/>
      <c r="W70" s="90"/>
      <c r="X70" s="90"/>
      <c r="Y70" s="90"/>
      <c r="Z70" s="90"/>
      <c r="AA70" s="90"/>
      <c r="AB70" s="90"/>
    </row>
    <row r="71" spans="1:28" ht="16">
      <c r="A71" s="125"/>
      <c r="B71" s="91" t="s">
        <v>778</v>
      </c>
      <c r="C71" s="97">
        <v>1</v>
      </c>
      <c r="D71" s="98"/>
      <c r="E71" s="99"/>
      <c r="F71" s="92"/>
      <c r="G71" s="93" t="b">
        <v>0</v>
      </c>
      <c r="H71" s="93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90"/>
      <c r="T71" s="90"/>
      <c r="U71" s="90"/>
      <c r="V71" s="90"/>
      <c r="W71" s="90"/>
      <c r="X71" s="90"/>
      <c r="Y71" s="90"/>
      <c r="Z71" s="90"/>
      <c r="AA71" s="90"/>
      <c r="AB71" s="90"/>
    </row>
    <row r="72" spans="1:28" ht="16">
      <c r="A72" s="125"/>
      <c r="B72" s="87" t="s">
        <v>779</v>
      </c>
      <c r="C72" s="94">
        <v>200</v>
      </c>
      <c r="D72" s="95" t="s">
        <v>727</v>
      </c>
      <c r="E72" s="96"/>
      <c r="F72" s="88"/>
      <c r="G72" s="89" t="b">
        <v>0</v>
      </c>
      <c r="H72" s="89"/>
      <c r="I72" s="90"/>
      <c r="J72" s="90"/>
      <c r="K72" s="90"/>
      <c r="L72" s="90"/>
      <c r="M72" s="90"/>
      <c r="N72" s="90"/>
      <c r="O72" s="90"/>
      <c r="P72" s="90"/>
      <c r="Q72" s="90"/>
      <c r="R72" s="90"/>
      <c r="S72" s="90"/>
      <c r="T72" s="90"/>
      <c r="U72" s="90"/>
      <c r="V72" s="90"/>
      <c r="W72" s="90"/>
      <c r="X72" s="90"/>
      <c r="Y72" s="90"/>
      <c r="Z72" s="90"/>
      <c r="AA72" s="90"/>
      <c r="AB72" s="90"/>
    </row>
    <row r="73" spans="1:28" ht="16">
      <c r="A73" s="125"/>
      <c r="B73" s="91" t="s">
        <v>780</v>
      </c>
      <c r="C73" s="97">
        <v>20</v>
      </c>
      <c r="D73" s="98" t="s">
        <v>727</v>
      </c>
      <c r="E73" s="99"/>
      <c r="F73" s="92"/>
      <c r="G73" s="93" t="b">
        <v>0</v>
      </c>
      <c r="H73" s="93"/>
      <c r="I73" s="90"/>
      <c r="J73" s="90"/>
      <c r="K73" s="90"/>
      <c r="L73" s="90"/>
      <c r="M73" s="90"/>
      <c r="N73" s="90"/>
      <c r="O73" s="90"/>
      <c r="P73" s="90"/>
      <c r="Q73" s="90"/>
      <c r="R73" s="90"/>
      <c r="S73" s="90"/>
      <c r="T73" s="90"/>
      <c r="U73" s="90"/>
      <c r="V73" s="90"/>
      <c r="W73" s="90"/>
      <c r="X73" s="90"/>
      <c r="Y73" s="90"/>
      <c r="Z73" s="90"/>
      <c r="AA73" s="90"/>
      <c r="AB73" s="90"/>
    </row>
    <row r="74" spans="1:28" ht="16">
      <c r="A74" s="125"/>
      <c r="B74" s="87" t="s">
        <v>781</v>
      </c>
      <c r="C74" s="94">
        <v>25</v>
      </c>
      <c r="D74" s="95" t="s">
        <v>727</v>
      </c>
      <c r="E74" s="96"/>
      <c r="F74" s="88"/>
      <c r="G74" s="89" t="b">
        <v>0</v>
      </c>
      <c r="H74" s="89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  <c r="T74" s="90"/>
      <c r="U74" s="90"/>
      <c r="V74" s="90"/>
      <c r="W74" s="90"/>
      <c r="X74" s="90"/>
      <c r="Y74" s="90"/>
      <c r="Z74" s="90"/>
      <c r="AA74" s="90"/>
      <c r="AB74" s="90"/>
    </row>
    <row r="75" spans="1:28" ht="16">
      <c r="A75" s="125"/>
      <c r="B75" s="91" t="s">
        <v>782</v>
      </c>
      <c r="C75" s="97">
        <v>60.06</v>
      </c>
      <c r="D75" s="98" t="s">
        <v>727</v>
      </c>
      <c r="E75" s="99"/>
      <c r="F75" s="92"/>
      <c r="G75" s="93" t="b">
        <v>0</v>
      </c>
      <c r="H75" s="93"/>
      <c r="I75" s="90"/>
      <c r="J75" s="90"/>
      <c r="K75" s="90"/>
      <c r="L75" s="90"/>
      <c r="M75" s="90"/>
      <c r="N75" s="90"/>
      <c r="O75" s="90"/>
      <c r="P75" s="90"/>
      <c r="Q75" s="90"/>
      <c r="R75" s="90"/>
      <c r="S75" s="90"/>
      <c r="T75" s="90"/>
      <c r="U75" s="90"/>
      <c r="V75" s="90"/>
      <c r="W75" s="90"/>
      <c r="X75" s="90"/>
      <c r="Y75" s="90"/>
      <c r="Z75" s="90"/>
      <c r="AA75" s="90"/>
      <c r="AB75" s="90"/>
    </row>
    <row r="76" spans="1:28" ht="16">
      <c r="A76" s="125"/>
      <c r="B76" s="87" t="s">
        <v>783</v>
      </c>
      <c r="C76" s="94">
        <f>C72/C69</f>
        <v>50</v>
      </c>
      <c r="D76" s="95" t="s">
        <v>727</v>
      </c>
      <c r="E76" s="96"/>
      <c r="F76" s="88" t="s">
        <v>784</v>
      </c>
      <c r="G76" s="89" t="b">
        <v>1</v>
      </c>
      <c r="H76" s="89"/>
      <c r="I76" s="90"/>
      <c r="J76" s="90"/>
      <c r="K76" s="90"/>
      <c r="L76" s="90"/>
      <c r="M76" s="90"/>
      <c r="N76" s="90"/>
      <c r="O76" s="90"/>
      <c r="P76" s="90"/>
      <c r="Q76" s="90"/>
      <c r="R76" s="90"/>
      <c r="S76" s="90"/>
      <c r="T76" s="90"/>
      <c r="U76" s="90"/>
      <c r="V76" s="90"/>
      <c r="W76" s="90"/>
      <c r="X76" s="90"/>
      <c r="Y76" s="90"/>
      <c r="Z76" s="90"/>
      <c r="AA76" s="90"/>
      <c r="AB76" s="90"/>
    </row>
    <row r="77" spans="1:28" ht="16">
      <c r="A77" s="125"/>
      <c r="B77" s="91" t="s">
        <v>785</v>
      </c>
      <c r="C77" s="97">
        <f>C76*C71</f>
        <v>50</v>
      </c>
      <c r="D77" s="98" t="s">
        <v>727</v>
      </c>
      <c r="E77" s="99"/>
      <c r="F77" s="92" t="s">
        <v>786</v>
      </c>
      <c r="G77" s="93" t="b">
        <v>1</v>
      </c>
      <c r="H77" s="93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90"/>
      <c r="T77" s="90"/>
      <c r="U77" s="90"/>
      <c r="V77" s="90"/>
      <c r="W77" s="90"/>
      <c r="X77" s="90"/>
      <c r="Y77" s="90"/>
      <c r="Z77" s="90"/>
      <c r="AA77" s="90"/>
      <c r="AB77" s="90"/>
    </row>
    <row r="78" spans="1:28" ht="16">
      <c r="A78" s="125"/>
      <c r="B78" s="87" t="s">
        <v>787</v>
      </c>
      <c r="C78" s="94">
        <f>2*C70*C76</f>
        <v>20</v>
      </c>
      <c r="D78" s="95" t="s">
        <v>727</v>
      </c>
      <c r="E78" s="96"/>
      <c r="F78" s="88" t="s">
        <v>788</v>
      </c>
      <c r="G78" s="89" t="b">
        <v>1</v>
      </c>
      <c r="H78" s="89"/>
      <c r="I78" s="90"/>
      <c r="J78" s="90"/>
      <c r="K78" s="90"/>
      <c r="L78" s="90"/>
      <c r="M78" s="90"/>
      <c r="N78" s="90"/>
      <c r="O78" s="90"/>
      <c r="P78" s="90"/>
      <c r="Q78" s="90"/>
      <c r="R78" s="90"/>
      <c r="S78" s="90"/>
      <c r="T78" s="90"/>
      <c r="U78" s="90"/>
      <c r="V78" s="90"/>
      <c r="W78" s="90"/>
      <c r="X78" s="90"/>
      <c r="Y78" s="90"/>
      <c r="Z78" s="90"/>
      <c r="AA78" s="90"/>
      <c r="AB78" s="90"/>
    </row>
    <row r="79" spans="1:28" ht="16">
      <c r="A79" s="125"/>
      <c r="B79" s="91" t="s">
        <v>789</v>
      </c>
      <c r="C79" s="97">
        <f>C74/C69</f>
        <v>6.25</v>
      </c>
      <c r="D79" s="98" t="s">
        <v>727</v>
      </c>
      <c r="E79" s="99"/>
      <c r="F79" s="92"/>
      <c r="G79" s="93" t="b">
        <v>1</v>
      </c>
      <c r="H79" s="93"/>
      <c r="I79" s="90"/>
      <c r="J79" s="90"/>
      <c r="K79" s="90"/>
      <c r="L79" s="90"/>
      <c r="M79" s="90"/>
      <c r="N79" s="90"/>
      <c r="O79" s="90"/>
      <c r="P79" s="90"/>
      <c r="Q79" s="90"/>
      <c r="R79" s="90"/>
      <c r="S79" s="90"/>
      <c r="T79" s="90"/>
      <c r="U79" s="90"/>
      <c r="V79" s="90"/>
      <c r="W79" s="90"/>
      <c r="X79" s="90"/>
      <c r="Y79" s="90"/>
      <c r="Z79" s="90"/>
      <c r="AA79" s="90"/>
      <c r="AB79" s="90"/>
    </row>
    <row r="80" spans="1:28" ht="16">
      <c r="A80" s="125"/>
      <c r="B80" s="87" t="s">
        <v>790</v>
      </c>
      <c r="C80" s="94">
        <f>(PI()*C70*C74/2/C69)^2</f>
        <v>3.8553142191755305</v>
      </c>
      <c r="D80" s="95" t="s">
        <v>748</v>
      </c>
      <c r="E80" s="96"/>
      <c r="F80" s="88" t="s">
        <v>791</v>
      </c>
      <c r="G80" s="89" t="b">
        <v>1</v>
      </c>
      <c r="H80" s="89"/>
      <c r="I80" s="90"/>
      <c r="J80" s="90"/>
      <c r="K80" s="90"/>
      <c r="L80" s="90"/>
      <c r="M80" s="90"/>
      <c r="N80" s="90"/>
      <c r="O80" s="90"/>
      <c r="P80" s="90"/>
      <c r="Q80" s="90"/>
      <c r="R80" s="90"/>
      <c r="S80" s="90"/>
      <c r="T80" s="90"/>
      <c r="U80" s="90"/>
      <c r="V80" s="90"/>
      <c r="W80" s="90"/>
      <c r="X80" s="90"/>
      <c r="Y80" s="90"/>
      <c r="Z80" s="90"/>
      <c r="AA80" s="90"/>
      <c r="AB80" s="90"/>
    </row>
    <row r="81" spans="1:28" ht="16">
      <c r="A81" s="129"/>
      <c r="B81" s="91" t="s">
        <v>792</v>
      </c>
      <c r="C81" s="97">
        <f>DEGREES(ASIN(C74/2/C243))</f>
        <v>3.9820785775816057</v>
      </c>
      <c r="D81" s="98" t="s">
        <v>752</v>
      </c>
      <c r="E81" s="99"/>
      <c r="F81" s="92" t="s">
        <v>793</v>
      </c>
      <c r="G81" s="93" t="b">
        <v>1</v>
      </c>
      <c r="H81" s="93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90"/>
      <c r="T81" s="90"/>
      <c r="U81" s="90"/>
      <c r="V81" s="90"/>
      <c r="W81" s="90"/>
      <c r="X81" s="90"/>
      <c r="Y81" s="90"/>
      <c r="Z81" s="90"/>
      <c r="AA81" s="90"/>
      <c r="AB81" s="90"/>
    </row>
    <row r="82" spans="1:28" ht="16">
      <c r="A82" s="100"/>
      <c r="B82" s="87" t="s">
        <v>794</v>
      </c>
      <c r="C82" s="94">
        <f>TAN(ASIN(C70/C71))*C73</f>
        <v>4.0824829046386313</v>
      </c>
      <c r="D82" s="95" t="s">
        <v>727</v>
      </c>
      <c r="E82" s="96"/>
      <c r="F82" s="88"/>
      <c r="G82" s="89" t="b">
        <v>0</v>
      </c>
      <c r="H82" s="89"/>
      <c r="I82" s="90"/>
      <c r="J82" s="90"/>
      <c r="K82" s="90"/>
      <c r="L82" s="90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  <c r="Y82" s="90"/>
      <c r="Z82" s="90"/>
      <c r="AA82" s="90"/>
      <c r="AB82" s="90"/>
    </row>
    <row r="83" spans="1:28" ht="16">
      <c r="A83" s="100"/>
      <c r="B83" s="91" t="s">
        <v>795</v>
      </c>
      <c r="C83" s="97">
        <f>C82*2+C79</f>
        <v>14.414965809277263</v>
      </c>
      <c r="D83" s="98" t="s">
        <v>727</v>
      </c>
      <c r="E83" s="99"/>
      <c r="F83" s="92"/>
      <c r="G83" s="93" t="b">
        <v>0</v>
      </c>
      <c r="H83" s="93"/>
      <c r="I83" s="90"/>
      <c r="J83" s="90"/>
      <c r="K83" s="90"/>
      <c r="L83" s="90"/>
      <c r="M83" s="90"/>
      <c r="N83" s="90"/>
      <c r="O83" s="90"/>
      <c r="P83" s="90"/>
      <c r="Q83" s="90"/>
      <c r="R83" s="90"/>
      <c r="S83" s="90"/>
      <c r="T83" s="90"/>
      <c r="U83" s="90"/>
      <c r="V83" s="90"/>
      <c r="W83" s="90"/>
      <c r="X83" s="90"/>
      <c r="Y83" s="90"/>
      <c r="Z83" s="90"/>
      <c r="AA83" s="90"/>
      <c r="AB83" s="90"/>
    </row>
    <row r="84" spans="1:28" ht="16">
      <c r="A84" s="128" t="s">
        <v>647</v>
      </c>
      <c r="B84" s="87" t="s">
        <v>796</v>
      </c>
      <c r="C84" s="94">
        <v>200</v>
      </c>
      <c r="D84" s="95" t="s">
        <v>727</v>
      </c>
      <c r="E84" s="96"/>
      <c r="F84" s="88" t="s">
        <v>797</v>
      </c>
      <c r="G84" s="89" t="b">
        <v>0</v>
      </c>
      <c r="H84" s="89"/>
      <c r="I84" s="90"/>
      <c r="J84" s="90"/>
      <c r="K84" s="90"/>
      <c r="L84" s="90"/>
      <c r="M84" s="90"/>
      <c r="N84" s="90"/>
      <c r="O84" s="90"/>
      <c r="P84" s="90"/>
      <c r="Q84" s="90"/>
      <c r="R84" s="90"/>
      <c r="S84" s="90"/>
      <c r="T84" s="90"/>
      <c r="U84" s="90"/>
      <c r="V84" s="90"/>
      <c r="W84" s="90"/>
      <c r="X84" s="90"/>
      <c r="Y84" s="90"/>
      <c r="Z84" s="90"/>
      <c r="AA84" s="90"/>
      <c r="AB84" s="90"/>
    </row>
    <row r="85" spans="1:28" ht="16">
      <c r="A85" s="125"/>
      <c r="B85" s="91" t="s">
        <v>798</v>
      </c>
      <c r="C85" s="97">
        <v>151.4</v>
      </c>
      <c r="D85" s="98" t="s">
        <v>727</v>
      </c>
      <c r="E85" s="99"/>
      <c r="F85" s="92" t="s">
        <v>799</v>
      </c>
      <c r="G85" s="93" t="b">
        <v>0</v>
      </c>
      <c r="H85" s="93"/>
      <c r="I85" s="90"/>
      <c r="M85" s="90"/>
      <c r="O85" s="90"/>
      <c r="P85" s="90"/>
      <c r="Q85" s="90"/>
      <c r="R85" s="90"/>
      <c r="S85" s="90"/>
      <c r="T85" s="90"/>
      <c r="U85" s="90"/>
      <c r="V85" s="90"/>
      <c r="W85" s="90"/>
      <c r="X85" s="90"/>
      <c r="Y85" s="90"/>
      <c r="Z85" s="90"/>
      <c r="AA85" s="90"/>
      <c r="AB85" s="90"/>
    </row>
    <row r="86" spans="1:28" ht="16">
      <c r="A86" s="125"/>
      <c r="B86" s="87" t="s">
        <v>800</v>
      </c>
      <c r="C86" s="94">
        <v>228</v>
      </c>
      <c r="D86" s="95" t="s">
        <v>727</v>
      </c>
      <c r="E86" s="96"/>
      <c r="F86" s="88" t="s">
        <v>801</v>
      </c>
      <c r="G86" s="89" t="b">
        <v>0</v>
      </c>
      <c r="H86" s="89"/>
      <c r="I86" s="90"/>
      <c r="M86" s="90"/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0"/>
      <c r="Z86" s="90"/>
      <c r="AA86" s="90"/>
      <c r="AB86" s="90"/>
    </row>
    <row r="87" spans="1:28" ht="16">
      <c r="A87" s="125"/>
      <c r="B87" s="91" t="s">
        <v>802</v>
      </c>
      <c r="C87" s="97">
        <v>37.700000000000003</v>
      </c>
      <c r="D87" s="98" t="s">
        <v>727</v>
      </c>
      <c r="E87" s="99"/>
      <c r="F87" s="92" t="s">
        <v>803</v>
      </c>
      <c r="G87" s="93" t="b">
        <v>0</v>
      </c>
      <c r="H87" s="93"/>
      <c r="I87" s="90"/>
      <c r="M87" s="90"/>
      <c r="O87" s="90"/>
      <c r="P87" s="90"/>
      <c r="Q87" s="90"/>
      <c r="R87" s="90"/>
      <c r="S87" s="90"/>
      <c r="T87" s="90"/>
      <c r="U87" s="90"/>
      <c r="V87" s="90"/>
      <c r="W87" s="90"/>
      <c r="X87" s="90"/>
      <c r="Y87" s="90"/>
      <c r="Z87" s="90"/>
      <c r="AA87" s="90"/>
      <c r="AB87" s="90"/>
    </row>
    <row r="88" spans="1:28" ht="16">
      <c r="A88" s="130"/>
      <c r="B88" s="87" t="s">
        <v>804</v>
      </c>
      <c r="C88" s="94">
        <v>20</v>
      </c>
      <c r="D88" s="95" t="s">
        <v>727</v>
      </c>
      <c r="E88" s="96"/>
      <c r="F88" s="88" t="s">
        <v>805</v>
      </c>
      <c r="G88" s="89" t="b">
        <v>0</v>
      </c>
      <c r="H88" s="89"/>
      <c r="I88" s="90"/>
      <c r="M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/>
      <c r="AA88" s="90"/>
      <c r="AB88" s="90"/>
    </row>
    <row r="89" spans="1:28" ht="16">
      <c r="A89" s="128" t="s">
        <v>649</v>
      </c>
      <c r="B89" s="91" t="s">
        <v>806</v>
      </c>
      <c r="C89" s="97">
        <v>150</v>
      </c>
      <c r="D89" s="98" t="s">
        <v>727</v>
      </c>
      <c r="E89" s="99"/>
      <c r="F89" s="92" t="s">
        <v>807</v>
      </c>
      <c r="G89" s="93" t="b">
        <v>0</v>
      </c>
      <c r="H89" s="93"/>
      <c r="I89" s="90"/>
      <c r="M89" s="90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0"/>
      <c r="AA89" s="90"/>
      <c r="AB89" s="90"/>
    </row>
    <row r="90" spans="1:28" ht="16">
      <c r="A90" s="125"/>
      <c r="B90" s="87" t="s">
        <v>808</v>
      </c>
      <c r="C90" s="94">
        <v>76.325999999999993</v>
      </c>
      <c r="D90" s="95" t="s">
        <v>727</v>
      </c>
      <c r="E90" s="96"/>
      <c r="F90" s="88" t="s">
        <v>809</v>
      </c>
      <c r="G90" s="89" t="b">
        <v>0</v>
      </c>
      <c r="H90" s="89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  <c r="AA90" s="90"/>
      <c r="AB90" s="90"/>
    </row>
    <row r="91" spans="1:28" ht="16">
      <c r="A91" s="125"/>
      <c r="B91" s="91" t="s">
        <v>810</v>
      </c>
      <c r="C91" s="97">
        <v>70</v>
      </c>
      <c r="D91" s="98" t="s">
        <v>727</v>
      </c>
      <c r="E91" s="99"/>
      <c r="F91" s="92" t="s">
        <v>811</v>
      </c>
      <c r="G91" s="93" t="b">
        <v>0</v>
      </c>
      <c r="H91" s="93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  <c r="AA91" s="90"/>
      <c r="AB91" s="90"/>
    </row>
    <row r="92" spans="1:28" ht="16">
      <c r="A92" s="125"/>
      <c r="B92" s="87" t="s">
        <v>812</v>
      </c>
      <c r="C92" s="94">
        <v>170</v>
      </c>
      <c r="D92" s="95" t="s">
        <v>727</v>
      </c>
      <c r="E92" s="96"/>
      <c r="F92" s="88" t="s">
        <v>813</v>
      </c>
      <c r="G92" s="89" t="b">
        <v>0</v>
      </c>
      <c r="H92" s="89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  <c r="AA92" s="90"/>
      <c r="AB92" s="90"/>
    </row>
    <row r="93" spans="1:28" ht="16">
      <c r="A93" s="125"/>
      <c r="B93" s="91" t="s">
        <v>814</v>
      </c>
      <c r="C93" s="97">
        <v>166</v>
      </c>
      <c r="D93" s="98" t="s">
        <v>727</v>
      </c>
      <c r="E93" s="99"/>
      <c r="F93" s="92"/>
      <c r="G93" s="93" t="b">
        <v>0</v>
      </c>
      <c r="H93" s="93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  <c r="AA93" s="90"/>
      <c r="AB93" s="90"/>
    </row>
    <row r="94" spans="1:28" ht="16">
      <c r="A94" s="125"/>
      <c r="B94" s="87" t="s">
        <v>815</v>
      </c>
      <c r="C94" s="94">
        <v>73.97</v>
      </c>
      <c r="D94" s="95" t="s">
        <v>727</v>
      </c>
      <c r="E94" s="96"/>
      <c r="F94" s="88" t="s">
        <v>816</v>
      </c>
      <c r="G94" s="89" t="b">
        <v>0</v>
      </c>
      <c r="H94" s="89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  <c r="Z94" s="90"/>
      <c r="AA94" s="90"/>
      <c r="AB94" s="90"/>
    </row>
    <row r="95" spans="1:28" ht="16">
      <c r="A95" s="129"/>
      <c r="B95" s="91" t="s">
        <v>817</v>
      </c>
      <c r="C95" s="97">
        <v>20</v>
      </c>
      <c r="D95" s="98" t="s">
        <v>727</v>
      </c>
      <c r="E95" s="99"/>
      <c r="F95" s="92"/>
      <c r="G95" s="93" t="b">
        <v>0</v>
      </c>
      <c r="H95" s="93"/>
      <c r="I95" s="90"/>
      <c r="J95" s="90"/>
      <c r="K95" s="90"/>
      <c r="L95" s="90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  <c r="Y95" s="90"/>
      <c r="Z95" s="90"/>
      <c r="AA95" s="90"/>
      <c r="AB95" s="90"/>
    </row>
    <row r="96" spans="1:28" ht="16">
      <c r="A96" s="128" t="s">
        <v>655</v>
      </c>
      <c r="B96" s="87" t="s">
        <v>818</v>
      </c>
      <c r="C96" s="94">
        <v>176</v>
      </c>
      <c r="D96" s="95" t="s">
        <v>727</v>
      </c>
      <c r="E96" s="96"/>
      <c r="F96" s="88"/>
      <c r="G96" s="89" t="b">
        <v>0</v>
      </c>
      <c r="H96" s="89"/>
      <c r="I96" s="90"/>
      <c r="J96" s="90"/>
      <c r="K96" s="90"/>
      <c r="L96" s="90"/>
      <c r="M96" s="90"/>
      <c r="N96" s="90"/>
      <c r="O96" s="90"/>
      <c r="P96" s="90"/>
      <c r="Q96" s="90"/>
      <c r="R96" s="90"/>
      <c r="S96" s="90"/>
      <c r="T96" s="90"/>
      <c r="U96" s="90"/>
      <c r="V96" s="90"/>
      <c r="W96" s="90"/>
      <c r="X96" s="90"/>
      <c r="Y96" s="90"/>
      <c r="Z96" s="90"/>
      <c r="AA96" s="90"/>
      <c r="AB96" s="90"/>
    </row>
    <row r="97" spans="1:28" ht="16">
      <c r="A97" s="125"/>
      <c r="B97" s="91" t="s">
        <v>819</v>
      </c>
      <c r="C97" s="97">
        <v>113.19</v>
      </c>
      <c r="D97" s="98" t="s">
        <v>727</v>
      </c>
      <c r="E97" s="99"/>
      <c r="F97" s="92"/>
      <c r="G97" s="93" t="b">
        <v>0</v>
      </c>
      <c r="H97" s="93"/>
      <c r="I97" s="90"/>
      <c r="J97" s="90"/>
      <c r="K97" s="90"/>
      <c r="L97" s="90"/>
      <c r="M97" s="90"/>
      <c r="N97" s="90"/>
      <c r="O97" s="90"/>
      <c r="P97" s="90"/>
      <c r="Q97" s="90"/>
      <c r="R97" s="90"/>
      <c r="S97" s="90"/>
      <c r="T97" s="90"/>
      <c r="U97" s="90"/>
      <c r="V97" s="90"/>
      <c r="W97" s="90"/>
      <c r="X97" s="90"/>
      <c r="Y97" s="90"/>
      <c r="Z97" s="90"/>
      <c r="AA97" s="90"/>
      <c r="AB97" s="90"/>
    </row>
    <row r="98" spans="1:28" ht="16">
      <c r="A98" s="125"/>
      <c r="B98" s="87" t="s">
        <v>820</v>
      </c>
      <c r="C98" s="94">
        <v>199</v>
      </c>
      <c r="D98" s="95" t="s">
        <v>727</v>
      </c>
      <c r="E98" s="96"/>
      <c r="F98" s="88"/>
      <c r="G98" s="89" t="b">
        <v>0</v>
      </c>
      <c r="H98" s="89"/>
      <c r="I98" s="90"/>
      <c r="J98" s="90"/>
      <c r="K98" s="90"/>
      <c r="L98" s="90"/>
      <c r="M98" s="90"/>
      <c r="N98" s="90"/>
      <c r="O98" s="90"/>
      <c r="P98" s="90"/>
      <c r="Q98" s="90"/>
      <c r="R98" s="90"/>
      <c r="S98" s="90"/>
      <c r="T98" s="90"/>
      <c r="U98" s="90"/>
      <c r="V98" s="90"/>
      <c r="W98" s="90"/>
      <c r="X98" s="90"/>
      <c r="Y98" s="90"/>
      <c r="Z98" s="90"/>
      <c r="AA98" s="90"/>
      <c r="AB98" s="90"/>
    </row>
    <row r="99" spans="1:28" ht="16">
      <c r="A99" s="125"/>
      <c r="B99" s="91" t="s">
        <v>821</v>
      </c>
      <c r="C99" s="97">
        <v>63.88</v>
      </c>
      <c r="D99" s="98" t="s">
        <v>727</v>
      </c>
      <c r="E99" s="99"/>
      <c r="F99" s="92"/>
      <c r="G99" s="93" t="b">
        <v>0</v>
      </c>
      <c r="H99" s="93"/>
      <c r="I99" s="90"/>
      <c r="J99" s="90"/>
      <c r="K99" s="90"/>
      <c r="L99" s="90"/>
      <c r="M99" s="90"/>
      <c r="N99" s="90"/>
      <c r="O99" s="90"/>
      <c r="P99" s="90"/>
      <c r="Q99" s="90"/>
      <c r="R99" s="90"/>
      <c r="S99" s="90"/>
      <c r="T99" s="90"/>
      <c r="U99" s="90"/>
      <c r="V99" s="90"/>
      <c r="W99" s="90"/>
      <c r="X99" s="90"/>
      <c r="Y99" s="90"/>
      <c r="Z99" s="90"/>
      <c r="AA99" s="90"/>
      <c r="AB99" s="90"/>
    </row>
    <row r="100" spans="1:28" ht="16">
      <c r="A100" s="130"/>
      <c r="B100" s="87" t="s">
        <v>822</v>
      </c>
      <c r="C100" s="94">
        <v>20</v>
      </c>
      <c r="D100" s="95" t="s">
        <v>727</v>
      </c>
      <c r="E100" s="96"/>
      <c r="F100" s="88"/>
      <c r="G100" s="89" t="b">
        <v>0</v>
      </c>
      <c r="H100" s="89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  <c r="T100" s="90"/>
      <c r="U100" s="90"/>
      <c r="V100" s="90"/>
      <c r="W100" s="90"/>
      <c r="X100" s="90"/>
      <c r="Y100" s="90"/>
      <c r="Z100" s="90"/>
      <c r="AA100" s="90"/>
      <c r="AB100" s="90"/>
    </row>
    <row r="101" spans="1:28" ht="16">
      <c r="A101" s="128" t="s">
        <v>657</v>
      </c>
      <c r="B101" s="91" t="s">
        <v>823</v>
      </c>
      <c r="C101" s="97">
        <v>211</v>
      </c>
      <c r="D101" s="98" t="s">
        <v>727</v>
      </c>
      <c r="E101" s="99"/>
      <c r="F101" s="92"/>
      <c r="G101" s="93" t="b">
        <v>0</v>
      </c>
      <c r="H101" s="93"/>
      <c r="I101" s="90"/>
      <c r="J101" s="90"/>
      <c r="K101" s="90"/>
      <c r="L101" s="90"/>
      <c r="M101" s="90"/>
      <c r="N101" s="90"/>
      <c r="O101" s="90"/>
      <c r="P101" s="90"/>
      <c r="Q101" s="90"/>
      <c r="R101" s="90"/>
      <c r="S101" s="90"/>
      <c r="T101" s="90"/>
      <c r="U101" s="90"/>
      <c r="V101" s="90"/>
      <c r="W101" s="90"/>
      <c r="X101" s="90"/>
      <c r="Y101" s="90"/>
      <c r="Z101" s="90"/>
      <c r="AA101" s="90"/>
      <c r="AB101" s="90"/>
    </row>
    <row r="102" spans="1:28" ht="16">
      <c r="A102" s="125"/>
      <c r="B102" s="87" t="s">
        <v>824</v>
      </c>
      <c r="C102" s="94">
        <v>171.93</v>
      </c>
      <c r="D102" s="95" t="s">
        <v>727</v>
      </c>
      <c r="E102" s="96"/>
      <c r="F102" s="88"/>
      <c r="G102" s="89" t="b">
        <v>0</v>
      </c>
      <c r="H102" s="89"/>
      <c r="I102" s="90"/>
      <c r="J102" s="90"/>
      <c r="K102" s="90"/>
      <c r="L102" s="90"/>
      <c r="M102" s="90"/>
      <c r="N102" s="90"/>
      <c r="O102" s="90"/>
      <c r="P102" s="90"/>
      <c r="Q102" s="90"/>
      <c r="R102" s="90"/>
      <c r="S102" s="90"/>
      <c r="T102" s="90"/>
      <c r="U102" s="90"/>
      <c r="V102" s="90"/>
      <c r="W102" s="90"/>
      <c r="X102" s="90"/>
      <c r="Y102" s="90"/>
      <c r="Z102" s="90"/>
      <c r="AA102" s="90"/>
      <c r="AB102" s="90"/>
    </row>
    <row r="103" spans="1:28" ht="16">
      <c r="A103" s="125"/>
      <c r="B103" s="91" t="s">
        <v>825</v>
      </c>
      <c r="C103" s="97">
        <v>77.72</v>
      </c>
      <c r="D103" s="98" t="s">
        <v>727</v>
      </c>
      <c r="E103" s="99"/>
      <c r="F103" s="92"/>
      <c r="G103" s="93" t="b">
        <v>0</v>
      </c>
      <c r="H103" s="93"/>
      <c r="I103" s="90"/>
      <c r="J103" s="90"/>
      <c r="K103" s="90"/>
      <c r="L103" s="90"/>
      <c r="M103" s="90"/>
      <c r="N103" s="90"/>
      <c r="O103" s="90"/>
      <c r="P103" s="90"/>
      <c r="Q103" s="90"/>
      <c r="R103" s="90"/>
      <c r="S103" s="90"/>
      <c r="T103" s="90"/>
      <c r="U103" s="90"/>
      <c r="V103" s="90"/>
      <c r="W103" s="90"/>
      <c r="X103" s="90"/>
      <c r="Y103" s="90"/>
      <c r="Z103" s="90"/>
      <c r="AA103" s="90"/>
      <c r="AB103" s="90"/>
    </row>
    <row r="104" spans="1:28" ht="16">
      <c r="A104" s="130"/>
      <c r="B104" s="87" t="s">
        <v>820</v>
      </c>
      <c r="C104" s="94">
        <v>187.15</v>
      </c>
      <c r="D104" s="95" t="s">
        <v>727</v>
      </c>
      <c r="E104" s="96"/>
      <c r="F104" s="88"/>
      <c r="G104" s="89" t="b">
        <v>0</v>
      </c>
      <c r="H104" s="89"/>
      <c r="I104" s="90"/>
      <c r="J104" s="90"/>
      <c r="K104" s="90"/>
      <c r="L104" s="90"/>
      <c r="M104" s="90"/>
      <c r="N104" s="90"/>
      <c r="O104" s="90"/>
      <c r="P104" s="90"/>
      <c r="Q104" s="90"/>
      <c r="R104" s="90"/>
      <c r="S104" s="90"/>
      <c r="T104" s="90"/>
      <c r="U104" s="90"/>
      <c r="V104" s="90"/>
      <c r="W104" s="90"/>
      <c r="X104" s="90"/>
      <c r="Y104" s="90"/>
      <c r="Z104" s="90"/>
      <c r="AA104" s="90"/>
      <c r="AB104" s="90"/>
    </row>
    <row r="105" spans="1:28" ht="16">
      <c r="A105" s="128" t="s">
        <v>826</v>
      </c>
      <c r="B105" s="91" t="s">
        <v>827</v>
      </c>
      <c r="C105" s="97">
        <v>4.5</v>
      </c>
      <c r="D105" s="101" t="s">
        <v>828</v>
      </c>
      <c r="E105" s="99"/>
      <c r="F105" s="92" t="s">
        <v>829</v>
      </c>
      <c r="G105" s="93" t="b">
        <v>0</v>
      </c>
      <c r="H105" s="93"/>
      <c r="I105" s="90"/>
      <c r="J105" s="90"/>
      <c r="K105" s="90"/>
      <c r="L105" s="90"/>
      <c r="M105" s="90"/>
      <c r="N105" s="90"/>
      <c r="O105" s="90"/>
      <c r="P105" s="90"/>
      <c r="Q105" s="90"/>
      <c r="R105" s="90"/>
      <c r="S105" s="90"/>
      <c r="T105" s="90"/>
      <c r="U105" s="90"/>
      <c r="V105" s="90"/>
      <c r="W105" s="90"/>
      <c r="X105" s="90"/>
      <c r="Y105" s="90"/>
      <c r="Z105" s="90"/>
      <c r="AA105" s="90"/>
      <c r="AB105" s="90"/>
    </row>
    <row r="106" spans="1:28" ht="16">
      <c r="A106" s="125"/>
      <c r="B106" s="87" t="s">
        <v>830</v>
      </c>
      <c r="C106" s="94">
        <v>9.1999999999999993</v>
      </c>
      <c r="D106" s="95" t="s">
        <v>727</v>
      </c>
      <c r="E106" s="96"/>
      <c r="F106" s="88"/>
      <c r="G106" s="89" t="b">
        <v>0</v>
      </c>
      <c r="H106" s="89"/>
      <c r="I106" s="90"/>
      <c r="J106" s="90"/>
      <c r="K106" s="90"/>
      <c r="L106" s="90"/>
      <c r="M106" s="90"/>
      <c r="N106" s="90"/>
      <c r="O106" s="90"/>
      <c r="P106" s="90"/>
      <c r="Q106" s="90"/>
      <c r="R106" s="90"/>
      <c r="S106" s="90"/>
      <c r="T106" s="90"/>
      <c r="U106" s="90"/>
      <c r="V106" s="90"/>
      <c r="W106" s="90"/>
      <c r="X106" s="90"/>
      <c r="Y106" s="90"/>
      <c r="Z106" s="90"/>
      <c r="AA106" s="90"/>
      <c r="AB106" s="90"/>
    </row>
    <row r="107" spans="1:28" ht="16">
      <c r="A107" s="125"/>
      <c r="B107" s="91" t="s">
        <v>831</v>
      </c>
      <c r="C107" s="97">
        <v>5.5</v>
      </c>
      <c r="D107" s="98" t="s">
        <v>727</v>
      </c>
      <c r="E107" s="99"/>
      <c r="F107" s="92"/>
      <c r="G107" s="93" t="b">
        <v>0</v>
      </c>
      <c r="H107" s="93"/>
      <c r="I107" s="90"/>
      <c r="J107" s="90"/>
      <c r="K107" s="90"/>
      <c r="L107" s="90"/>
      <c r="M107" s="90"/>
      <c r="N107" s="90"/>
      <c r="O107" s="90"/>
      <c r="P107" s="90"/>
      <c r="Q107" s="90"/>
      <c r="R107" s="90"/>
      <c r="S107" s="90"/>
      <c r="T107" s="90"/>
      <c r="U107" s="90"/>
      <c r="V107" s="90"/>
      <c r="W107" s="90"/>
      <c r="X107" s="90"/>
      <c r="Y107" s="90"/>
      <c r="Z107" s="90"/>
      <c r="AA107" s="90"/>
      <c r="AB107" s="90"/>
    </row>
    <row r="108" spans="1:28" ht="16">
      <c r="A108" s="125"/>
      <c r="B108" s="87" t="s">
        <v>832</v>
      </c>
      <c r="C108" s="102">
        <v>2048</v>
      </c>
      <c r="D108" s="95"/>
      <c r="E108" s="96"/>
      <c r="F108" s="88"/>
      <c r="G108" s="89" t="b">
        <v>0</v>
      </c>
      <c r="H108" s="89"/>
      <c r="I108" s="90"/>
      <c r="J108" s="90"/>
      <c r="K108" s="90"/>
      <c r="L108" s="90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  <c r="Y108" s="90"/>
      <c r="Z108" s="90"/>
      <c r="AA108" s="90"/>
      <c r="AB108" s="90"/>
    </row>
    <row r="109" spans="1:28" ht="16">
      <c r="A109" s="129"/>
      <c r="B109" s="91" t="s">
        <v>833</v>
      </c>
      <c r="C109" s="103">
        <v>1216</v>
      </c>
      <c r="D109" s="98"/>
      <c r="E109" s="99"/>
      <c r="F109" s="92"/>
      <c r="G109" s="93" t="b">
        <v>0</v>
      </c>
      <c r="H109" s="93"/>
      <c r="I109" s="90"/>
      <c r="J109" s="90"/>
      <c r="K109" s="90"/>
      <c r="L109" s="90"/>
      <c r="M109" s="90"/>
      <c r="N109" s="90"/>
      <c r="O109" s="90"/>
      <c r="P109" s="90"/>
      <c r="Q109" s="90"/>
      <c r="R109" s="90"/>
      <c r="S109" s="90"/>
      <c r="T109" s="90"/>
      <c r="U109" s="90"/>
      <c r="V109" s="90"/>
      <c r="W109" s="90"/>
      <c r="X109" s="90"/>
      <c r="Y109" s="90"/>
      <c r="Z109" s="90"/>
      <c r="AA109" s="90"/>
      <c r="AB109" s="90"/>
    </row>
    <row r="110" spans="1:28" ht="16">
      <c r="A110" s="128" t="s">
        <v>834</v>
      </c>
      <c r="B110" s="87" t="s">
        <v>835</v>
      </c>
      <c r="C110" s="94">
        <f>C84/C49</f>
        <v>22.222222222222221</v>
      </c>
      <c r="D110" s="95"/>
      <c r="E110" s="96" t="s">
        <v>836</v>
      </c>
      <c r="F110" s="88" t="s">
        <v>837</v>
      </c>
      <c r="G110" s="89" t="b">
        <v>1</v>
      </c>
      <c r="H110" s="89"/>
      <c r="I110" s="90"/>
      <c r="J110" s="90"/>
      <c r="K110" s="90"/>
      <c r="L110" s="90"/>
      <c r="M110" s="90"/>
      <c r="N110" s="90"/>
      <c r="O110" s="90"/>
      <c r="P110" s="90"/>
      <c r="Q110" s="90"/>
      <c r="R110" s="90"/>
      <c r="S110" s="90"/>
      <c r="T110" s="90"/>
      <c r="U110" s="90"/>
      <c r="V110" s="90"/>
      <c r="W110" s="90"/>
      <c r="X110" s="90"/>
      <c r="Y110" s="90"/>
      <c r="Z110" s="90"/>
      <c r="AA110" s="90"/>
      <c r="AB110" s="90"/>
    </row>
    <row r="111" spans="1:28" ht="16">
      <c r="A111" s="125"/>
      <c r="B111" s="91" t="s">
        <v>838</v>
      </c>
      <c r="C111" s="97">
        <f>C89/C63</f>
        <v>16.666666666666668</v>
      </c>
      <c r="D111" s="98"/>
      <c r="E111" s="99"/>
      <c r="F111" s="92" t="s">
        <v>839</v>
      </c>
      <c r="G111" s="93" t="b">
        <v>1</v>
      </c>
      <c r="H111" s="93"/>
      <c r="I111" s="90"/>
      <c r="J111" s="90"/>
      <c r="K111" s="90"/>
      <c r="L111" s="90"/>
      <c r="M111" s="90"/>
      <c r="N111" s="90"/>
      <c r="O111" s="90"/>
      <c r="P111" s="90"/>
      <c r="Q111" s="90"/>
      <c r="R111" s="90"/>
      <c r="S111" s="90"/>
      <c r="T111" s="90"/>
      <c r="U111" s="90"/>
      <c r="V111" s="90"/>
      <c r="W111" s="90"/>
      <c r="X111" s="90"/>
      <c r="Y111" s="90"/>
      <c r="Z111" s="90"/>
      <c r="AA111" s="90"/>
      <c r="AB111" s="90"/>
    </row>
    <row r="112" spans="1:28" ht="16">
      <c r="A112" s="125"/>
      <c r="B112" s="87" t="s">
        <v>840</v>
      </c>
      <c r="C112" s="94">
        <f>C96/C63</f>
        <v>19.555555555555557</v>
      </c>
      <c r="D112" s="95"/>
      <c r="E112" s="96"/>
      <c r="F112" s="88" t="s">
        <v>841</v>
      </c>
      <c r="G112" s="89" t="b">
        <v>1</v>
      </c>
      <c r="H112" s="89"/>
      <c r="I112" s="90"/>
      <c r="J112" s="90"/>
      <c r="K112" s="90"/>
      <c r="L112" s="90"/>
      <c r="M112" s="90"/>
      <c r="N112" s="90"/>
      <c r="O112" s="90"/>
      <c r="P112" s="90"/>
      <c r="Q112" s="90"/>
      <c r="R112" s="90"/>
      <c r="S112" s="90"/>
      <c r="T112" s="90"/>
      <c r="U112" s="90"/>
      <c r="V112" s="90"/>
      <c r="W112" s="90"/>
      <c r="X112" s="90"/>
      <c r="Y112" s="90"/>
      <c r="Z112" s="90"/>
      <c r="AA112" s="90"/>
      <c r="AB112" s="90"/>
    </row>
    <row r="113" spans="1:28" ht="16">
      <c r="A113" s="125"/>
      <c r="B113" s="91" t="s">
        <v>842</v>
      </c>
      <c r="C113" s="97">
        <f>C101/C76</f>
        <v>4.22</v>
      </c>
      <c r="D113" s="98"/>
      <c r="E113" s="99"/>
      <c r="F113" s="92" t="s">
        <v>843</v>
      </c>
      <c r="G113" s="93" t="b">
        <v>1</v>
      </c>
      <c r="H113" s="93"/>
      <c r="I113" s="90"/>
      <c r="J113" s="90"/>
      <c r="K113" s="90"/>
      <c r="L113" s="90"/>
      <c r="M113" s="90"/>
      <c r="N113" s="90"/>
      <c r="O113" s="90"/>
      <c r="P113" s="90"/>
      <c r="Q113" s="90"/>
      <c r="R113" s="90"/>
      <c r="S113" s="90"/>
      <c r="T113" s="90"/>
      <c r="U113" s="90"/>
      <c r="V113" s="90"/>
      <c r="W113" s="90"/>
      <c r="X113" s="90"/>
      <c r="Y113" s="90"/>
      <c r="Z113" s="90"/>
      <c r="AA113" s="90"/>
      <c r="AB113" s="90"/>
    </row>
    <row r="114" spans="1:28" ht="16">
      <c r="A114" s="125"/>
      <c r="B114" s="87" t="s">
        <v>844</v>
      </c>
      <c r="C114" s="94">
        <f>C256/C248</f>
        <v>4.4444444444444446</v>
      </c>
      <c r="D114" s="95"/>
      <c r="E114" s="96"/>
      <c r="F114" s="88" t="s">
        <v>845</v>
      </c>
      <c r="G114" s="89" t="b">
        <v>1</v>
      </c>
      <c r="H114" s="89"/>
      <c r="I114" s="90"/>
      <c r="J114" s="90"/>
      <c r="K114" s="90"/>
      <c r="L114" s="90"/>
      <c r="M114" s="90"/>
      <c r="N114" s="90"/>
      <c r="O114" s="90"/>
      <c r="P114" s="90"/>
      <c r="Q114" s="90"/>
      <c r="R114" s="90"/>
      <c r="S114" s="90"/>
      <c r="T114" s="90"/>
      <c r="U114" s="90"/>
      <c r="V114" s="90"/>
      <c r="W114" s="90"/>
      <c r="X114" s="90"/>
      <c r="Y114" s="90"/>
      <c r="Z114" s="90"/>
      <c r="AA114" s="90"/>
      <c r="AB114" s="90"/>
    </row>
    <row r="115" spans="1:28" ht="16">
      <c r="A115" s="125"/>
      <c r="B115" s="91" t="s">
        <v>846</v>
      </c>
      <c r="C115" s="97">
        <f>C110</f>
        <v>22.222222222222221</v>
      </c>
      <c r="D115" s="98"/>
      <c r="E115" s="99"/>
      <c r="F115" s="92" t="s">
        <v>847</v>
      </c>
      <c r="G115" s="93" t="b">
        <v>1</v>
      </c>
      <c r="H115" s="93"/>
      <c r="I115" s="90"/>
      <c r="J115" s="90"/>
      <c r="K115" s="90"/>
      <c r="L115" s="90"/>
      <c r="M115" s="90"/>
      <c r="N115" s="90"/>
      <c r="O115" s="90"/>
      <c r="P115" s="90"/>
      <c r="Q115" s="90"/>
      <c r="R115" s="90"/>
      <c r="S115" s="90"/>
      <c r="T115" s="90"/>
      <c r="U115" s="90"/>
      <c r="V115" s="90"/>
      <c r="W115" s="90"/>
      <c r="X115" s="90"/>
      <c r="Y115" s="90"/>
      <c r="Z115" s="90"/>
      <c r="AA115" s="90"/>
      <c r="AB115" s="90"/>
    </row>
    <row r="116" spans="1:28" ht="16">
      <c r="A116" s="125"/>
      <c r="B116" s="87" t="s">
        <v>848</v>
      </c>
      <c r="C116" s="94">
        <f>C110/C111</f>
        <v>1.3333333333333333</v>
      </c>
      <c r="D116" s="95"/>
      <c r="E116" s="96"/>
      <c r="F116" s="88"/>
      <c r="G116" s="89" t="b">
        <v>1</v>
      </c>
      <c r="H116" s="89"/>
      <c r="I116" s="90"/>
      <c r="J116" s="90"/>
      <c r="K116" s="90"/>
      <c r="L116" s="90"/>
      <c r="M116" s="90"/>
      <c r="N116" s="90"/>
      <c r="O116" s="90"/>
      <c r="P116" s="90"/>
      <c r="Q116" s="90"/>
      <c r="R116" s="90"/>
      <c r="S116" s="90"/>
      <c r="T116" s="90"/>
      <c r="U116" s="90"/>
      <c r="V116" s="90"/>
      <c r="W116" s="90"/>
      <c r="X116" s="90"/>
      <c r="Y116" s="90"/>
      <c r="Z116" s="90"/>
      <c r="AA116" s="90"/>
      <c r="AB116" s="90"/>
    </row>
    <row r="117" spans="1:28" ht="16">
      <c r="A117" s="125"/>
      <c r="B117" s="91" t="s">
        <v>849</v>
      </c>
      <c r="C117" s="97">
        <f>C116*C112</f>
        <v>26.074074074074076</v>
      </c>
      <c r="D117" s="98"/>
      <c r="E117" s="99"/>
      <c r="F117" s="92"/>
      <c r="G117" s="93" t="b">
        <v>1</v>
      </c>
      <c r="H117" s="93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</row>
    <row r="118" spans="1:28" ht="16">
      <c r="A118" s="125"/>
      <c r="B118" s="87" t="s">
        <v>850</v>
      </c>
      <c r="C118" s="94">
        <f>C117/C114</f>
        <v>5.8666666666666671</v>
      </c>
      <c r="D118" s="95"/>
      <c r="E118" s="96"/>
      <c r="F118" s="88"/>
      <c r="G118" s="89" t="b">
        <v>1</v>
      </c>
      <c r="H118" s="89"/>
      <c r="I118" s="90"/>
      <c r="J118" s="90"/>
      <c r="K118" s="90"/>
      <c r="L118" s="90"/>
      <c r="M118" s="90"/>
      <c r="N118" s="90"/>
      <c r="O118" s="90"/>
      <c r="P118" s="90"/>
      <c r="Q118" s="90"/>
      <c r="R118" s="90"/>
      <c r="S118" s="90"/>
      <c r="T118" s="90"/>
      <c r="U118" s="90"/>
      <c r="V118" s="90"/>
      <c r="W118" s="90"/>
      <c r="X118" s="90"/>
      <c r="Y118" s="90"/>
      <c r="Z118" s="90"/>
      <c r="AA118" s="90"/>
      <c r="AB118" s="90"/>
    </row>
    <row r="119" spans="1:28" ht="16">
      <c r="A119" s="125"/>
      <c r="B119" s="91" t="s">
        <v>851</v>
      </c>
      <c r="C119" s="97">
        <f>1/C111*C112</f>
        <v>1.1733333333333333</v>
      </c>
      <c r="D119" s="98"/>
      <c r="E119" s="99"/>
      <c r="F119" s="92"/>
      <c r="G119" s="93" t="b">
        <v>1</v>
      </c>
      <c r="H119" s="93"/>
      <c r="I119" s="90"/>
      <c r="J119" s="90"/>
      <c r="K119" s="90"/>
      <c r="L119" s="90"/>
      <c r="M119" s="90"/>
      <c r="N119" s="90"/>
      <c r="O119" s="90"/>
      <c r="P119" s="90"/>
      <c r="Q119" s="90"/>
      <c r="R119" s="90"/>
      <c r="S119" s="90"/>
      <c r="T119" s="90"/>
      <c r="U119" s="90"/>
      <c r="V119" s="90"/>
      <c r="W119" s="90"/>
      <c r="X119" s="90"/>
      <c r="Y119" s="90"/>
      <c r="Z119" s="90"/>
      <c r="AA119" s="90"/>
      <c r="AB119" s="90"/>
    </row>
    <row r="120" spans="1:28" ht="16">
      <c r="A120" s="125"/>
      <c r="B120" s="87" t="s">
        <v>852</v>
      </c>
      <c r="C120" s="94">
        <f>C112/C113</f>
        <v>4.6340179041600846</v>
      </c>
      <c r="D120" s="95"/>
      <c r="E120" s="96"/>
      <c r="F120" s="88"/>
      <c r="G120" s="89" t="b">
        <v>1</v>
      </c>
      <c r="H120" s="89"/>
      <c r="I120" s="90"/>
      <c r="J120" s="90"/>
      <c r="K120" s="90"/>
      <c r="L120" s="90"/>
      <c r="M120" s="90"/>
      <c r="N120" s="90"/>
      <c r="O120" s="90"/>
      <c r="P120" s="90"/>
      <c r="Q120" s="90"/>
      <c r="R120" s="90"/>
      <c r="S120" s="90"/>
      <c r="T120" s="90"/>
      <c r="U120" s="90"/>
      <c r="V120" s="90"/>
      <c r="W120" s="90"/>
      <c r="X120" s="90"/>
      <c r="Y120" s="90"/>
      <c r="Z120" s="90"/>
      <c r="AA120" s="90"/>
      <c r="AB120" s="90"/>
    </row>
    <row r="121" spans="1:28" ht="16">
      <c r="A121" s="125"/>
      <c r="B121" s="91" t="s">
        <v>853</v>
      </c>
      <c r="C121" s="97">
        <f>C89/C84</f>
        <v>0.75</v>
      </c>
      <c r="D121" s="98"/>
      <c r="E121" s="99" t="s">
        <v>854</v>
      </c>
      <c r="F121" s="92" t="s">
        <v>855</v>
      </c>
      <c r="G121" s="93" t="b">
        <v>1</v>
      </c>
      <c r="H121" s="93"/>
      <c r="I121" s="90"/>
      <c r="J121" s="90"/>
      <c r="K121" s="90"/>
      <c r="L121" s="90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  <c r="Y121" s="90"/>
      <c r="Z121" s="90"/>
      <c r="AA121" s="90"/>
      <c r="AB121" s="90"/>
    </row>
    <row r="122" spans="1:28" ht="16">
      <c r="A122" s="130"/>
      <c r="B122" s="87" t="s">
        <v>856</v>
      </c>
      <c r="C122" s="94">
        <f>C101/C96</f>
        <v>1.1988636363636365</v>
      </c>
      <c r="D122" s="95"/>
      <c r="E122" s="96" t="s">
        <v>857</v>
      </c>
      <c r="F122" s="88" t="s">
        <v>858</v>
      </c>
      <c r="G122" s="89" t="b">
        <v>1</v>
      </c>
      <c r="H122" s="89"/>
      <c r="I122" s="90"/>
      <c r="J122" s="90"/>
      <c r="K122" s="90"/>
      <c r="L122" s="90"/>
      <c r="M122" s="90"/>
      <c r="N122" s="90"/>
      <c r="O122" s="90"/>
      <c r="P122" s="90"/>
      <c r="Q122" s="90"/>
      <c r="R122" s="90"/>
      <c r="S122" s="90"/>
      <c r="T122" s="90"/>
      <c r="U122" s="90"/>
      <c r="V122" s="90"/>
      <c r="W122" s="90"/>
      <c r="X122" s="90"/>
      <c r="Y122" s="90"/>
      <c r="Z122" s="90"/>
      <c r="AA122" s="90"/>
      <c r="AB122" s="90"/>
    </row>
    <row r="123" spans="1:28" ht="16">
      <c r="A123" s="128" t="s">
        <v>687</v>
      </c>
      <c r="B123" s="91" t="s">
        <v>859</v>
      </c>
      <c r="C123" s="97">
        <v>0.93</v>
      </c>
      <c r="D123" s="98" t="s">
        <v>727</v>
      </c>
      <c r="E123" s="99"/>
      <c r="F123" s="92" t="s">
        <v>860</v>
      </c>
      <c r="G123" s="93" t="b">
        <v>0</v>
      </c>
      <c r="H123" s="93"/>
      <c r="I123" s="90">
        <v>0</v>
      </c>
      <c r="J123" s="90"/>
      <c r="K123" s="90"/>
      <c r="L123" s="90"/>
      <c r="M123" s="90"/>
      <c r="N123" s="90"/>
      <c r="O123" s="90"/>
      <c r="P123" s="90"/>
      <c r="Q123" s="90"/>
      <c r="R123" s="90"/>
      <c r="S123" s="90"/>
      <c r="T123" s="90"/>
      <c r="U123" s="90"/>
      <c r="V123" s="90"/>
      <c r="W123" s="90"/>
      <c r="X123" s="90"/>
      <c r="Y123" s="90"/>
      <c r="Z123" s="90"/>
      <c r="AA123" s="90"/>
      <c r="AB123" s="90"/>
    </row>
    <row r="124" spans="1:28" ht="16">
      <c r="A124" s="125"/>
      <c r="B124" s="87" t="s">
        <v>861</v>
      </c>
      <c r="C124" s="94">
        <v>0.37</v>
      </c>
      <c r="D124" s="95" t="s">
        <v>727</v>
      </c>
      <c r="E124" s="96"/>
      <c r="F124" s="88" t="s">
        <v>862</v>
      </c>
      <c r="G124" s="89" t="b">
        <v>0</v>
      </c>
      <c r="H124" s="89"/>
      <c r="I124" s="90"/>
      <c r="J124" s="90"/>
      <c r="K124" s="90"/>
      <c r="L124" s="90"/>
      <c r="M124" s="90"/>
      <c r="N124" s="90"/>
      <c r="O124" s="90"/>
      <c r="P124" s="90"/>
      <c r="Q124" s="90"/>
      <c r="R124" s="90"/>
      <c r="S124" s="90"/>
      <c r="T124" s="90"/>
      <c r="U124" s="90"/>
      <c r="V124" s="90"/>
      <c r="W124" s="90"/>
      <c r="X124" s="90"/>
      <c r="Y124" s="90"/>
      <c r="Z124" s="90"/>
      <c r="AA124" s="90"/>
      <c r="AB124" s="90"/>
    </row>
    <row r="125" spans="1:28" ht="16">
      <c r="A125" s="125"/>
      <c r="B125" s="91" t="s">
        <v>863</v>
      </c>
      <c r="C125" s="97">
        <f>SQRT(C123^2+C124^2)</f>
        <v>1.0008995953640905</v>
      </c>
      <c r="D125" s="98" t="s">
        <v>727</v>
      </c>
      <c r="E125" s="99"/>
      <c r="F125" s="92" t="s">
        <v>864</v>
      </c>
      <c r="G125" s="93" t="b">
        <v>1</v>
      </c>
      <c r="H125" s="93"/>
      <c r="I125" s="90"/>
      <c r="J125" s="90"/>
      <c r="K125" s="90"/>
      <c r="L125" s="90"/>
      <c r="M125" s="90"/>
      <c r="N125" s="90"/>
      <c r="O125" s="90"/>
      <c r="P125" s="90"/>
      <c r="Q125" s="90"/>
      <c r="R125" s="90"/>
      <c r="S125" s="90"/>
      <c r="T125" s="90"/>
      <c r="U125" s="90"/>
      <c r="V125" s="90"/>
      <c r="W125" s="90"/>
      <c r="X125" s="90"/>
      <c r="Y125" s="90"/>
      <c r="Z125" s="90"/>
      <c r="AA125" s="90"/>
      <c r="AB125" s="90"/>
    </row>
    <row r="126" spans="1:28" ht="16">
      <c r="A126" s="125"/>
      <c r="B126" s="87" t="s">
        <v>865</v>
      </c>
      <c r="C126" s="94">
        <f>DEGREES(ASIN(C43/C44))</f>
        <v>48.753466631327235</v>
      </c>
      <c r="D126" s="95" t="s">
        <v>752</v>
      </c>
      <c r="E126" s="96"/>
      <c r="F126" s="88"/>
      <c r="G126" s="89" t="b">
        <v>1</v>
      </c>
      <c r="H126" s="89"/>
      <c r="I126" s="90"/>
      <c r="J126" s="90"/>
      <c r="K126" s="90"/>
      <c r="L126" s="90"/>
      <c r="M126" s="90"/>
      <c r="N126" s="90"/>
      <c r="O126" s="90"/>
      <c r="P126" s="90"/>
      <c r="Q126" s="90"/>
      <c r="R126" s="90"/>
      <c r="S126" s="90"/>
      <c r="T126" s="90"/>
      <c r="U126" s="90"/>
      <c r="V126" s="90"/>
      <c r="W126" s="90"/>
      <c r="X126" s="90"/>
      <c r="Y126" s="90"/>
      <c r="Z126" s="90"/>
      <c r="AA126" s="90"/>
      <c r="AB126" s="90"/>
    </row>
    <row r="127" spans="1:28" ht="16">
      <c r="A127" s="129"/>
      <c r="B127" s="91" t="s">
        <v>866</v>
      </c>
      <c r="C127" s="97">
        <f>PI()*C44^2*(PI()*(C125/2)^2)*SIN(RADIANS(C126))^2</f>
        <v>2.4718424222528297</v>
      </c>
      <c r="D127" s="98" t="s">
        <v>748</v>
      </c>
      <c r="E127" s="99"/>
      <c r="F127" s="92"/>
      <c r="G127" s="93" t="b">
        <v>1</v>
      </c>
      <c r="H127" s="93"/>
      <c r="I127" s="90"/>
      <c r="J127" s="90"/>
      <c r="K127" s="90"/>
      <c r="L127" s="90"/>
      <c r="M127" s="90"/>
      <c r="N127" s="90"/>
      <c r="O127" s="90"/>
      <c r="P127" s="90"/>
      <c r="Q127" s="90"/>
      <c r="R127" s="90"/>
      <c r="S127" s="90"/>
      <c r="T127" s="90"/>
      <c r="U127" s="90"/>
      <c r="V127" s="90"/>
      <c r="W127" s="90"/>
      <c r="X127" s="90"/>
      <c r="Y127" s="90"/>
      <c r="Z127" s="90"/>
      <c r="AA127" s="90"/>
      <c r="AB127" s="90"/>
    </row>
    <row r="128" spans="1:28" ht="16">
      <c r="A128" s="128" t="s">
        <v>867</v>
      </c>
      <c r="B128" s="87" t="s">
        <v>868</v>
      </c>
      <c r="C128" s="94">
        <f>TAN(RADIANS(C126))*C46</f>
        <v>2.2808412838015744</v>
      </c>
      <c r="D128" s="95" t="s">
        <v>727</v>
      </c>
      <c r="E128" s="96"/>
      <c r="F128" s="88"/>
      <c r="G128" s="89" t="b">
        <v>1</v>
      </c>
      <c r="H128" s="89"/>
      <c r="I128" s="90"/>
      <c r="J128" s="90"/>
      <c r="K128" s="90"/>
      <c r="L128" s="90"/>
      <c r="M128" s="90"/>
      <c r="N128" s="90"/>
      <c r="O128" s="90"/>
      <c r="P128" s="90"/>
      <c r="Q128" s="90"/>
      <c r="R128" s="90"/>
      <c r="S128" s="90"/>
      <c r="T128" s="90"/>
      <c r="U128" s="90"/>
      <c r="V128" s="90"/>
      <c r="W128" s="90"/>
      <c r="X128" s="90"/>
      <c r="Y128" s="90"/>
      <c r="Z128" s="90"/>
      <c r="AA128" s="90"/>
      <c r="AB128" s="90"/>
    </row>
    <row r="129" spans="1:28" ht="16">
      <c r="A129" s="129"/>
      <c r="B129" s="91" t="s">
        <v>869</v>
      </c>
      <c r="C129" s="97">
        <f>C128*2+C125</f>
        <v>5.5625821629672387</v>
      </c>
      <c r="D129" s="98" t="s">
        <v>727</v>
      </c>
      <c r="E129" s="99"/>
      <c r="F129" s="92"/>
      <c r="G129" s="93" t="b">
        <v>1</v>
      </c>
      <c r="H129" s="93"/>
      <c r="I129" s="90"/>
      <c r="J129" s="90"/>
      <c r="K129" s="90"/>
      <c r="L129" s="90"/>
      <c r="M129" s="90"/>
      <c r="N129" s="90"/>
      <c r="O129" s="90"/>
      <c r="P129" s="90"/>
      <c r="Q129" s="90"/>
      <c r="R129" s="90"/>
      <c r="S129" s="90"/>
      <c r="T129" s="90"/>
      <c r="U129" s="90"/>
      <c r="V129" s="90"/>
      <c r="W129" s="90"/>
      <c r="X129" s="90"/>
      <c r="Y129" s="90"/>
      <c r="Z129" s="90"/>
      <c r="AA129" s="90"/>
      <c r="AB129" s="90"/>
    </row>
    <row r="130" spans="1:28" ht="16">
      <c r="A130" s="128" t="s">
        <v>703</v>
      </c>
      <c r="B130" s="87" t="s">
        <v>870</v>
      </c>
      <c r="C130" s="94">
        <f>C51</f>
        <v>18</v>
      </c>
      <c r="D130" s="95" t="s">
        <v>727</v>
      </c>
      <c r="E130" s="96"/>
      <c r="F130" s="88" t="s">
        <v>871</v>
      </c>
      <c r="G130" s="89" t="b">
        <v>1</v>
      </c>
      <c r="H130" s="89"/>
      <c r="I130" s="90"/>
      <c r="J130" s="90"/>
      <c r="K130" s="90"/>
      <c r="L130" s="90"/>
      <c r="M130" s="90"/>
      <c r="N130" s="90"/>
      <c r="O130" s="90"/>
      <c r="P130" s="90"/>
      <c r="Q130" s="90"/>
      <c r="R130" s="90"/>
      <c r="S130" s="90"/>
      <c r="T130" s="90"/>
      <c r="U130" s="90"/>
      <c r="V130" s="90"/>
      <c r="W130" s="90"/>
      <c r="X130" s="90"/>
      <c r="Y130" s="90"/>
      <c r="Z130" s="90"/>
      <c r="AA130" s="90"/>
      <c r="AB130" s="90"/>
    </row>
    <row r="131" spans="1:28" ht="16">
      <c r="A131" s="129"/>
      <c r="B131" s="91" t="s">
        <v>872</v>
      </c>
      <c r="C131" s="97">
        <f>DEGREES(C125/2/C49)</f>
        <v>3.1859623628174578</v>
      </c>
      <c r="D131" s="98" t="s">
        <v>752</v>
      </c>
      <c r="E131" s="99" t="s">
        <v>873</v>
      </c>
      <c r="F131" s="92" t="s">
        <v>874</v>
      </c>
      <c r="G131" s="93" t="b">
        <v>1</v>
      </c>
      <c r="H131" s="93"/>
      <c r="I131" s="90"/>
      <c r="J131" s="90"/>
      <c r="K131" s="90"/>
      <c r="L131" s="90"/>
      <c r="M131" s="90"/>
      <c r="N131" s="90"/>
      <c r="O131" s="90"/>
      <c r="P131" s="90"/>
      <c r="Q131" s="90"/>
      <c r="R131" s="90"/>
      <c r="S131" s="90"/>
      <c r="T131" s="90"/>
      <c r="U131" s="90"/>
      <c r="V131" s="90"/>
      <c r="W131" s="90"/>
      <c r="X131" s="90"/>
      <c r="Y131" s="90"/>
      <c r="Z131" s="90"/>
      <c r="AA131" s="90"/>
      <c r="AB131" s="90"/>
    </row>
    <row r="132" spans="1:28" ht="16">
      <c r="A132" s="104" t="s">
        <v>875</v>
      </c>
      <c r="B132" s="87" t="s">
        <v>876</v>
      </c>
      <c r="C132" s="94">
        <v>228</v>
      </c>
      <c r="D132" s="95" t="s">
        <v>727</v>
      </c>
      <c r="E132" s="96"/>
      <c r="F132" s="88"/>
      <c r="G132" s="89" t="b">
        <v>0</v>
      </c>
      <c r="H132" s="89"/>
      <c r="I132" s="90"/>
      <c r="J132" s="90"/>
      <c r="K132" s="90"/>
      <c r="L132" s="90"/>
      <c r="M132" s="90"/>
      <c r="N132" s="90"/>
      <c r="O132" s="90"/>
      <c r="P132" s="90"/>
      <c r="Q132" s="90"/>
      <c r="R132" s="90"/>
      <c r="S132" s="90"/>
      <c r="T132" s="90"/>
      <c r="U132" s="90"/>
      <c r="V132" s="90"/>
      <c r="W132" s="90"/>
      <c r="X132" s="90"/>
      <c r="Y132" s="90"/>
      <c r="Z132" s="90"/>
      <c r="AA132" s="90"/>
      <c r="AB132" s="90"/>
    </row>
    <row r="133" spans="1:28" ht="16">
      <c r="A133" s="128" t="s">
        <v>877</v>
      </c>
      <c r="B133" s="91" t="s">
        <v>878</v>
      </c>
      <c r="C133" s="97">
        <f>TAN(RADIANS(C131))*C132</f>
        <v>12.691144473440396</v>
      </c>
      <c r="D133" s="98" t="s">
        <v>727</v>
      </c>
      <c r="E133" s="99" t="s">
        <v>879</v>
      </c>
      <c r="F133" s="92" t="s">
        <v>880</v>
      </c>
      <c r="G133" s="93" t="b">
        <v>1</v>
      </c>
      <c r="H133" s="93"/>
      <c r="I133" s="90"/>
      <c r="J133" s="90"/>
      <c r="K133" s="90"/>
      <c r="L133" s="90"/>
      <c r="M133" s="90"/>
      <c r="N133" s="90"/>
      <c r="O133" s="90"/>
      <c r="P133" s="90"/>
      <c r="Q133" s="90"/>
      <c r="R133" s="90"/>
      <c r="S133" s="90"/>
      <c r="T133" s="90"/>
      <c r="U133" s="90"/>
      <c r="V133" s="90"/>
      <c r="W133" s="90"/>
      <c r="X133" s="90"/>
      <c r="Y133" s="90"/>
      <c r="Z133" s="90"/>
      <c r="AA133" s="90"/>
      <c r="AB133" s="90"/>
    </row>
    <row r="134" spans="1:28" ht="16">
      <c r="A134" s="130"/>
      <c r="B134" s="87" t="s">
        <v>881</v>
      </c>
      <c r="C134" s="94">
        <f>C130+(2*C133)</f>
        <v>43.382288946880792</v>
      </c>
      <c r="D134" s="95" t="s">
        <v>727</v>
      </c>
      <c r="E134" s="96" t="s">
        <v>882</v>
      </c>
      <c r="F134" s="88" t="s">
        <v>883</v>
      </c>
      <c r="G134" s="89" t="b">
        <v>1</v>
      </c>
      <c r="H134" s="89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  <c r="Y134" s="90"/>
      <c r="Z134" s="90"/>
      <c r="AA134" s="90"/>
      <c r="AB134" s="90"/>
    </row>
    <row r="135" spans="1:28" ht="16">
      <c r="A135" s="128" t="s">
        <v>884</v>
      </c>
      <c r="B135" s="91" t="s">
        <v>885</v>
      </c>
      <c r="C135" s="97">
        <f>TAN(RADIANS(C142))*C85</f>
        <v>6.819908656794917</v>
      </c>
      <c r="D135" s="98" t="s">
        <v>727</v>
      </c>
      <c r="E135" s="99"/>
      <c r="F135" s="92"/>
      <c r="G135" s="93" t="b">
        <v>1</v>
      </c>
      <c r="H135" s="93"/>
      <c r="I135" s="90"/>
      <c r="J135" s="90"/>
      <c r="K135" s="90"/>
      <c r="L135" s="90"/>
      <c r="M135" s="90"/>
      <c r="N135" s="90"/>
      <c r="O135" s="90"/>
      <c r="P135" s="90"/>
      <c r="Q135" s="90"/>
      <c r="R135" s="90"/>
      <c r="S135" s="90"/>
      <c r="T135" s="90"/>
      <c r="U135" s="90"/>
      <c r="V135" s="90"/>
      <c r="W135" s="90"/>
      <c r="X135" s="90"/>
      <c r="Y135" s="90"/>
      <c r="Z135" s="90"/>
      <c r="AA135" s="90"/>
      <c r="AB135" s="90"/>
    </row>
    <row r="136" spans="1:28" ht="16">
      <c r="A136" s="130"/>
      <c r="B136" s="87" t="s">
        <v>886</v>
      </c>
      <c r="C136" s="94">
        <f>C131+C135*2</f>
        <v>16.825779676407294</v>
      </c>
      <c r="D136" s="95" t="s">
        <v>727</v>
      </c>
      <c r="E136" s="96"/>
      <c r="F136" s="88"/>
      <c r="G136" s="89" t="b">
        <v>1</v>
      </c>
      <c r="H136" s="89"/>
      <c r="I136" s="90"/>
      <c r="J136" s="90"/>
      <c r="K136" s="90"/>
      <c r="L136" s="90"/>
      <c r="M136" s="90"/>
      <c r="N136" s="90"/>
      <c r="O136" s="90"/>
      <c r="P136" s="90"/>
      <c r="Q136" s="90"/>
      <c r="R136" s="90"/>
      <c r="S136" s="90"/>
      <c r="T136" s="90"/>
      <c r="U136" s="90"/>
      <c r="V136" s="90"/>
      <c r="W136" s="90"/>
      <c r="X136" s="90"/>
      <c r="Y136" s="90"/>
      <c r="Z136" s="90"/>
      <c r="AA136" s="90"/>
      <c r="AB136" s="90"/>
    </row>
    <row r="137" spans="1:28" ht="16">
      <c r="A137" s="128" t="s">
        <v>689</v>
      </c>
      <c r="B137" s="91" t="s">
        <v>887</v>
      </c>
      <c r="C137" s="97">
        <f>C115</f>
        <v>22.222222222222221</v>
      </c>
      <c r="D137" s="98"/>
      <c r="E137" s="99"/>
      <c r="F137" s="92" t="s">
        <v>888</v>
      </c>
      <c r="G137" s="93" t="b">
        <v>1</v>
      </c>
      <c r="H137" s="93"/>
      <c r="I137" s="90"/>
      <c r="J137" s="90"/>
      <c r="K137" s="90"/>
      <c r="L137" s="90"/>
      <c r="M137" s="90"/>
      <c r="N137" s="90"/>
      <c r="O137" s="90"/>
      <c r="P137" s="90"/>
      <c r="Q137" s="90"/>
      <c r="R137" s="90"/>
      <c r="S137" s="90"/>
      <c r="T137" s="90"/>
      <c r="U137" s="90"/>
      <c r="V137" s="90"/>
      <c r="W137" s="90"/>
      <c r="X137" s="90"/>
      <c r="Y137" s="90"/>
      <c r="Z137" s="90"/>
      <c r="AA137" s="90"/>
      <c r="AB137" s="90"/>
    </row>
    <row r="138" spans="1:28" ht="16">
      <c r="A138" s="125"/>
      <c r="B138" s="87" t="s">
        <v>889</v>
      </c>
      <c r="C138" s="94">
        <f>C123*C137</f>
        <v>20.666666666666668</v>
      </c>
      <c r="D138" s="95" t="s">
        <v>727</v>
      </c>
      <c r="E138" s="96"/>
      <c r="F138" s="88"/>
      <c r="G138" s="89" t="b">
        <v>1</v>
      </c>
      <c r="H138" s="89"/>
      <c r="I138" s="90"/>
      <c r="J138" s="90"/>
      <c r="K138" s="90"/>
      <c r="L138" s="90"/>
      <c r="M138" s="90"/>
      <c r="N138" s="90"/>
      <c r="O138" s="90"/>
      <c r="P138" s="90"/>
      <c r="Q138" s="90"/>
      <c r="R138" s="90"/>
      <c r="S138" s="90"/>
      <c r="T138" s="90"/>
      <c r="U138" s="90"/>
      <c r="V138" s="90"/>
      <c r="W138" s="90"/>
      <c r="X138" s="90"/>
      <c r="Y138" s="90"/>
      <c r="Z138" s="90"/>
      <c r="AA138" s="90"/>
      <c r="AB138" s="90"/>
    </row>
    <row r="139" spans="1:28" ht="16">
      <c r="A139" s="125"/>
      <c r="B139" s="91" t="s">
        <v>890</v>
      </c>
      <c r="C139" s="97">
        <f>C124*C137</f>
        <v>8.2222222222222214</v>
      </c>
      <c r="D139" s="98" t="s">
        <v>727</v>
      </c>
      <c r="E139" s="99"/>
      <c r="F139" s="92"/>
      <c r="G139" s="93" t="b">
        <v>1</v>
      </c>
      <c r="H139" s="93"/>
      <c r="I139" s="90"/>
      <c r="J139" s="90"/>
      <c r="K139" s="90"/>
      <c r="L139" s="90"/>
      <c r="M139" s="90"/>
      <c r="N139" s="90"/>
      <c r="O139" s="90"/>
      <c r="P139" s="90"/>
      <c r="Q139" s="90"/>
      <c r="R139" s="90"/>
      <c r="S139" s="90"/>
      <c r="T139" s="90"/>
      <c r="U139" s="90"/>
      <c r="V139" s="90"/>
      <c r="W139" s="90"/>
      <c r="X139" s="90"/>
      <c r="Y139" s="90"/>
      <c r="Z139" s="90"/>
      <c r="AA139" s="90"/>
      <c r="AB139" s="90"/>
    </row>
    <row r="140" spans="1:28" ht="16">
      <c r="A140" s="125"/>
      <c r="B140" s="87" t="s">
        <v>891</v>
      </c>
      <c r="C140" s="94">
        <f>SQRT(C138^2+C139^2)</f>
        <v>22.242213230313123</v>
      </c>
      <c r="D140" s="95" t="s">
        <v>727</v>
      </c>
      <c r="E140" s="96"/>
      <c r="F140" s="88"/>
      <c r="G140" s="89" t="b">
        <v>1</v>
      </c>
      <c r="H140" s="89"/>
      <c r="I140" s="90"/>
      <c r="J140" s="90"/>
      <c r="K140" s="90"/>
      <c r="L140" s="90"/>
      <c r="M140" s="90"/>
      <c r="N140" s="90"/>
      <c r="O140" s="90"/>
      <c r="P140" s="90"/>
      <c r="Q140" s="90"/>
      <c r="R140" s="90"/>
      <c r="S140" s="90"/>
      <c r="T140" s="90"/>
      <c r="U140" s="90"/>
      <c r="V140" s="90"/>
      <c r="W140" s="90"/>
      <c r="X140" s="90"/>
      <c r="Y140" s="90"/>
      <c r="Z140" s="90"/>
      <c r="AA140" s="90"/>
      <c r="AB140" s="90"/>
    </row>
    <row r="141" spans="1:28" ht="16">
      <c r="A141" s="125"/>
      <c r="B141" s="91" t="s">
        <v>892</v>
      </c>
      <c r="C141" s="97">
        <f>C127</f>
        <v>2.4718424222528297</v>
      </c>
      <c r="D141" s="98" t="s">
        <v>748</v>
      </c>
      <c r="E141" s="99"/>
      <c r="F141" s="92"/>
      <c r="G141" s="93" t="b">
        <v>1</v>
      </c>
      <c r="H141" s="93"/>
      <c r="I141" s="90"/>
      <c r="J141" s="90"/>
      <c r="K141" s="90"/>
      <c r="L141" s="90"/>
      <c r="M141" s="90"/>
      <c r="N141" s="90"/>
      <c r="O141" s="90"/>
      <c r="P141" s="90"/>
      <c r="Q141" s="90"/>
      <c r="R141" s="90"/>
      <c r="S141" s="90"/>
      <c r="T141" s="90"/>
      <c r="U141" s="90"/>
      <c r="V141" s="90"/>
      <c r="W141" s="90"/>
      <c r="X141" s="90"/>
      <c r="Y141" s="90"/>
      <c r="Z141" s="90"/>
      <c r="AA141" s="90"/>
      <c r="AB141" s="90"/>
    </row>
    <row r="142" spans="1:28" ht="16">
      <c r="A142" s="130"/>
      <c r="B142" s="87" t="s">
        <v>893</v>
      </c>
      <c r="C142" s="94">
        <f>DEGREES(ASIN(SQRT(C141/PI()/(PI()*(C140/2)^2))))</f>
        <v>2.5791810516483755</v>
      </c>
      <c r="D142" s="95" t="s">
        <v>752</v>
      </c>
      <c r="E142" s="96"/>
      <c r="F142" s="88"/>
      <c r="G142" s="89" t="b">
        <v>1</v>
      </c>
      <c r="H142" s="89"/>
      <c r="I142" s="90"/>
      <c r="J142" s="90"/>
      <c r="K142" s="90"/>
      <c r="L142" s="90"/>
      <c r="M142" s="90"/>
      <c r="N142" s="90"/>
      <c r="O142" s="90"/>
      <c r="P142" s="90"/>
      <c r="Q142" s="90"/>
      <c r="R142" s="90"/>
      <c r="S142" s="90"/>
      <c r="T142" s="90"/>
      <c r="U142" s="90"/>
      <c r="V142" s="90"/>
      <c r="W142" s="90"/>
      <c r="X142" s="90"/>
      <c r="Y142" s="90"/>
      <c r="Z142" s="90"/>
      <c r="AA142" s="90"/>
      <c r="AB142" s="90"/>
    </row>
    <row r="143" spans="1:28" ht="16">
      <c r="A143" s="128" t="s">
        <v>894</v>
      </c>
      <c r="B143" s="91" t="s">
        <v>885</v>
      </c>
      <c r="C143" s="97">
        <f>TAN(RADIANS(C142))*C90</f>
        <v>3.4381528939136641</v>
      </c>
      <c r="D143" s="98" t="s">
        <v>727</v>
      </c>
      <c r="E143" s="99"/>
      <c r="F143" s="92"/>
      <c r="G143" s="93" t="b">
        <v>1</v>
      </c>
      <c r="H143" s="93"/>
      <c r="I143" s="90"/>
      <c r="J143" s="90"/>
      <c r="K143" s="90"/>
      <c r="L143" s="90"/>
      <c r="M143" s="90"/>
      <c r="N143" s="90"/>
      <c r="O143" s="90"/>
      <c r="P143" s="90"/>
      <c r="Q143" s="90"/>
      <c r="R143" s="90"/>
      <c r="S143" s="90"/>
      <c r="T143" s="90"/>
      <c r="U143" s="90"/>
      <c r="V143" s="90"/>
      <c r="W143" s="90"/>
      <c r="X143" s="90"/>
      <c r="Y143" s="90"/>
      <c r="Z143" s="90"/>
      <c r="AA143" s="90"/>
      <c r="AB143" s="90"/>
    </row>
    <row r="144" spans="1:28" ht="16">
      <c r="A144" s="130"/>
      <c r="B144" s="87" t="s">
        <v>886</v>
      </c>
      <c r="C144" s="94">
        <f>C140+C143*2</f>
        <v>29.11851901814045</v>
      </c>
      <c r="D144" s="95" t="s">
        <v>727</v>
      </c>
      <c r="E144" s="96"/>
      <c r="F144" s="88"/>
      <c r="G144" s="89" t="b">
        <v>1</v>
      </c>
      <c r="H144" s="89"/>
      <c r="I144" s="90"/>
      <c r="J144" s="90"/>
      <c r="K144" s="90"/>
      <c r="L144" s="90"/>
      <c r="M144" s="90"/>
      <c r="N144" s="90"/>
      <c r="O144" s="90"/>
      <c r="P144" s="90"/>
      <c r="Q144" s="90"/>
      <c r="R144" s="90"/>
      <c r="S144" s="90"/>
      <c r="T144" s="90"/>
      <c r="U144" s="90"/>
      <c r="V144" s="90"/>
      <c r="W144" s="90"/>
      <c r="X144" s="90"/>
      <c r="Y144" s="90"/>
      <c r="Z144" s="90"/>
      <c r="AA144" s="90"/>
      <c r="AB144" s="90"/>
    </row>
    <row r="145" spans="1:28" ht="16">
      <c r="A145" s="128" t="s">
        <v>895</v>
      </c>
      <c r="B145" s="91" t="s">
        <v>896</v>
      </c>
      <c r="C145" s="97">
        <f>TAN(RADIANS(C154))*C93</f>
        <v>12.329958227124051</v>
      </c>
      <c r="D145" s="98" t="s">
        <v>727</v>
      </c>
      <c r="E145" s="99"/>
      <c r="F145" s="92"/>
      <c r="G145" s="93" t="b">
        <v>1</v>
      </c>
      <c r="H145" s="93"/>
      <c r="I145" s="90"/>
      <c r="J145" s="90"/>
      <c r="K145" s="90"/>
      <c r="L145" s="90"/>
      <c r="M145" s="90"/>
      <c r="N145" s="90"/>
      <c r="O145" s="90"/>
      <c r="P145" s="90"/>
      <c r="Q145" s="90"/>
      <c r="R145" s="90"/>
      <c r="S145" s="90"/>
      <c r="T145" s="90"/>
      <c r="U145" s="90"/>
      <c r="V145" s="90"/>
      <c r="W145" s="90"/>
      <c r="X145" s="90"/>
      <c r="Y145" s="90"/>
      <c r="Z145" s="90"/>
      <c r="AA145" s="90"/>
      <c r="AB145" s="90"/>
    </row>
    <row r="146" spans="1:28" ht="16">
      <c r="A146" s="125"/>
      <c r="B146" s="87" t="s">
        <v>897</v>
      </c>
      <c r="C146" s="94">
        <f>C145*2+C147</f>
        <v>38.159916454248105</v>
      </c>
      <c r="D146" s="95" t="s">
        <v>727</v>
      </c>
      <c r="E146" s="96"/>
      <c r="F146" s="88"/>
      <c r="G146" s="89" t="b">
        <v>1</v>
      </c>
      <c r="H146" s="89"/>
      <c r="I146" s="90"/>
      <c r="J146" s="90"/>
      <c r="K146" s="90"/>
      <c r="L146" s="90"/>
      <c r="M146" s="90"/>
      <c r="N146" s="90"/>
      <c r="O146" s="90"/>
      <c r="P146" s="90"/>
      <c r="Q146" s="90"/>
      <c r="R146" s="90"/>
      <c r="S146" s="90"/>
      <c r="T146" s="90"/>
      <c r="U146" s="90"/>
      <c r="V146" s="90"/>
      <c r="W146" s="90"/>
      <c r="X146" s="90"/>
      <c r="Y146" s="90"/>
      <c r="Z146" s="90"/>
      <c r="AA146" s="90"/>
      <c r="AB146" s="90"/>
    </row>
    <row r="147" spans="1:28" ht="16">
      <c r="A147" s="125"/>
      <c r="B147" s="91" t="s">
        <v>898</v>
      </c>
      <c r="C147" s="97">
        <f>C121*C130</f>
        <v>13.5</v>
      </c>
      <c r="D147" s="98" t="s">
        <v>727</v>
      </c>
      <c r="E147" s="99"/>
      <c r="F147" s="92"/>
      <c r="G147" s="93" t="b">
        <v>1</v>
      </c>
      <c r="H147" s="93"/>
      <c r="I147" s="90"/>
      <c r="J147" s="90"/>
      <c r="K147" s="90"/>
      <c r="L147" s="90"/>
      <c r="M147" s="90"/>
      <c r="N147" s="90"/>
      <c r="O147" s="90"/>
      <c r="P147" s="90"/>
      <c r="Q147" s="90"/>
      <c r="R147" s="90"/>
      <c r="S147" s="90"/>
      <c r="T147" s="90"/>
      <c r="U147" s="90"/>
      <c r="V147" s="90"/>
      <c r="W147" s="90"/>
      <c r="X147" s="90"/>
      <c r="Y147" s="90"/>
      <c r="Z147" s="90"/>
      <c r="AA147" s="90"/>
      <c r="AB147" s="90"/>
    </row>
    <row r="148" spans="1:28" ht="16">
      <c r="A148" s="128" t="s">
        <v>899</v>
      </c>
      <c r="B148" s="87" t="s">
        <v>900</v>
      </c>
      <c r="C148" s="94">
        <v>85.9</v>
      </c>
      <c r="D148" s="95" t="s">
        <v>727</v>
      </c>
      <c r="E148" s="96"/>
      <c r="F148" s="88"/>
      <c r="G148" s="89" t="b">
        <v>0</v>
      </c>
      <c r="H148" s="89"/>
      <c r="I148" s="90"/>
      <c r="J148" s="90"/>
      <c r="K148" s="90"/>
      <c r="L148" s="90"/>
      <c r="M148" s="90"/>
      <c r="N148" s="90"/>
      <c r="O148" s="90"/>
      <c r="P148" s="90"/>
      <c r="Q148" s="90"/>
      <c r="R148" s="90"/>
      <c r="S148" s="90"/>
      <c r="T148" s="90"/>
      <c r="U148" s="90"/>
      <c r="V148" s="90"/>
      <c r="W148" s="90"/>
      <c r="X148" s="90"/>
      <c r="Y148" s="90"/>
      <c r="Z148" s="90"/>
      <c r="AA148" s="90"/>
      <c r="AB148" s="90"/>
    </row>
    <row r="149" spans="1:28" ht="16">
      <c r="A149" s="125"/>
      <c r="B149" s="91" t="s">
        <v>901</v>
      </c>
      <c r="C149" s="97">
        <f>TAN(RADIANS(C154))*C148</f>
        <v>6.380381998252747</v>
      </c>
      <c r="D149" s="98" t="s">
        <v>727</v>
      </c>
      <c r="E149" s="99"/>
      <c r="F149" s="92"/>
      <c r="G149" s="93" t="b">
        <v>1</v>
      </c>
      <c r="H149" s="93"/>
      <c r="I149" s="90"/>
      <c r="J149" s="90"/>
      <c r="K149" s="90"/>
      <c r="L149" s="90"/>
      <c r="M149" s="90"/>
      <c r="N149" s="90"/>
      <c r="O149" s="90"/>
      <c r="P149" s="90"/>
      <c r="Q149" s="90"/>
      <c r="R149" s="90"/>
      <c r="S149" s="90"/>
      <c r="T149" s="90"/>
      <c r="U149" s="90"/>
      <c r="V149" s="90"/>
      <c r="W149" s="90"/>
      <c r="X149" s="90"/>
      <c r="Y149" s="90"/>
      <c r="Z149" s="90"/>
      <c r="AA149" s="90"/>
      <c r="AB149" s="90"/>
    </row>
    <row r="150" spans="1:28" ht="16">
      <c r="A150" s="125"/>
      <c r="B150" s="87" t="s">
        <v>902</v>
      </c>
      <c r="C150" s="94">
        <f>C146-2*C149</f>
        <v>25.399152457742609</v>
      </c>
      <c r="D150" s="95" t="s">
        <v>727</v>
      </c>
      <c r="E150" s="96"/>
      <c r="F150" s="88"/>
      <c r="G150" s="89" t="b">
        <v>1</v>
      </c>
      <c r="H150" s="89"/>
      <c r="I150" s="90"/>
      <c r="J150" s="90"/>
      <c r="K150" s="90"/>
      <c r="L150" s="90"/>
      <c r="M150" s="90"/>
      <c r="N150" s="90"/>
      <c r="O150" s="90"/>
      <c r="P150" s="90"/>
      <c r="Q150" s="90"/>
      <c r="R150" s="90"/>
      <c r="S150" s="90"/>
      <c r="T150" s="90"/>
      <c r="U150" s="90"/>
      <c r="V150" s="90"/>
      <c r="W150" s="90"/>
      <c r="X150" s="90"/>
      <c r="Y150" s="90"/>
      <c r="Z150" s="90"/>
      <c r="AA150" s="90"/>
      <c r="AB150" s="90"/>
    </row>
    <row r="151" spans="1:28" ht="16">
      <c r="A151" s="104" t="s">
        <v>875</v>
      </c>
      <c r="B151" s="91" t="s">
        <v>903</v>
      </c>
      <c r="C151" s="97">
        <v>166</v>
      </c>
      <c r="D151" s="98" t="s">
        <v>727</v>
      </c>
      <c r="E151" s="99"/>
      <c r="F151" s="92" t="s">
        <v>904</v>
      </c>
      <c r="G151" s="93" t="b">
        <v>0</v>
      </c>
      <c r="H151" s="93"/>
      <c r="I151" s="90"/>
      <c r="J151" s="90"/>
      <c r="K151" s="90"/>
      <c r="L151" s="90"/>
      <c r="M151" s="90"/>
      <c r="N151" s="90"/>
      <c r="O151" s="90"/>
      <c r="P151" s="90"/>
      <c r="Q151" s="90"/>
      <c r="R151" s="90"/>
      <c r="S151" s="90"/>
      <c r="T151" s="90"/>
      <c r="U151" s="90"/>
      <c r="V151" s="90"/>
      <c r="W151" s="90"/>
      <c r="X151" s="90"/>
      <c r="Y151" s="90"/>
      <c r="Z151" s="90"/>
      <c r="AA151" s="90"/>
      <c r="AB151" s="90"/>
    </row>
    <row r="152" spans="1:28" ht="16">
      <c r="A152" s="128" t="s">
        <v>905</v>
      </c>
      <c r="B152" s="87" t="s">
        <v>906</v>
      </c>
      <c r="C152" s="94">
        <f>TAN(RADIANS(C154))*ABS(C151-C93)</f>
        <v>0</v>
      </c>
      <c r="D152" s="95"/>
      <c r="E152" s="96"/>
      <c r="F152" s="88"/>
      <c r="G152" s="89" t="b">
        <v>1</v>
      </c>
      <c r="H152" s="89"/>
      <c r="I152" s="90"/>
      <c r="J152" s="90"/>
      <c r="K152" s="90"/>
      <c r="L152" s="90"/>
      <c r="M152" s="90"/>
      <c r="N152" s="90"/>
      <c r="O152" s="90"/>
      <c r="P152" s="90"/>
      <c r="Q152" s="90"/>
      <c r="R152" s="90"/>
      <c r="S152" s="90"/>
      <c r="T152" s="90"/>
      <c r="U152" s="90"/>
      <c r="V152" s="90"/>
      <c r="W152" s="90"/>
      <c r="X152" s="90"/>
      <c r="Y152" s="90"/>
      <c r="Z152" s="90"/>
      <c r="AA152" s="90"/>
      <c r="AB152" s="90"/>
    </row>
    <row r="153" spans="1:28" ht="16">
      <c r="A153" s="125"/>
      <c r="B153" s="91" t="s">
        <v>907</v>
      </c>
      <c r="C153" s="97">
        <f>C152*2+C147</f>
        <v>13.5</v>
      </c>
      <c r="D153" s="98" t="s">
        <v>727</v>
      </c>
      <c r="E153" s="99"/>
      <c r="F153" s="92"/>
      <c r="G153" s="93" t="b">
        <v>1</v>
      </c>
      <c r="H153" s="93"/>
      <c r="I153" s="90"/>
      <c r="J153" s="90"/>
      <c r="K153" s="90"/>
      <c r="L153" s="90"/>
      <c r="M153" s="90"/>
      <c r="N153" s="90"/>
      <c r="O153" s="90"/>
      <c r="P153" s="90"/>
      <c r="Q153" s="90"/>
      <c r="R153" s="90"/>
      <c r="S153" s="90"/>
      <c r="T153" s="90"/>
      <c r="U153" s="90"/>
      <c r="V153" s="90"/>
      <c r="W153" s="90"/>
      <c r="X153" s="90"/>
      <c r="Y153" s="90"/>
      <c r="Z153" s="90"/>
      <c r="AA153" s="90"/>
      <c r="AB153" s="90"/>
    </row>
    <row r="154" spans="1:28" ht="16">
      <c r="A154" s="130"/>
      <c r="B154" s="87" t="s">
        <v>908</v>
      </c>
      <c r="C154" s="94">
        <f>DEGREES(C140/2/C89)</f>
        <v>4.2479498170899443</v>
      </c>
      <c r="D154" s="95" t="s">
        <v>752</v>
      </c>
      <c r="E154" s="96"/>
      <c r="F154" s="88"/>
      <c r="G154" s="89" t="b">
        <v>1</v>
      </c>
      <c r="H154" s="89"/>
      <c r="I154" s="90"/>
      <c r="J154" s="90"/>
      <c r="K154" s="90"/>
      <c r="L154" s="90"/>
      <c r="M154" s="90"/>
      <c r="N154" s="90"/>
      <c r="O154" s="90"/>
      <c r="P154" s="90"/>
      <c r="Q154" s="90"/>
      <c r="R154" s="90"/>
      <c r="S154" s="90"/>
      <c r="T154" s="90"/>
      <c r="U154" s="90"/>
      <c r="V154" s="90"/>
      <c r="W154" s="90"/>
      <c r="X154" s="90"/>
      <c r="Y154" s="90"/>
      <c r="Z154" s="90"/>
      <c r="AA154" s="90"/>
      <c r="AB154" s="90"/>
    </row>
    <row r="155" spans="1:28" ht="16">
      <c r="A155" s="128" t="s">
        <v>909</v>
      </c>
      <c r="B155" s="91" t="s">
        <v>910</v>
      </c>
      <c r="C155" s="97">
        <f>TAN(RADIANS(C163))*C60</f>
        <v>0.69167498560688578</v>
      </c>
      <c r="D155" s="98" t="s">
        <v>727</v>
      </c>
      <c r="E155" s="99"/>
      <c r="F155" s="92"/>
      <c r="G155" s="93" t="b">
        <v>1</v>
      </c>
      <c r="H155" s="93"/>
      <c r="I155" s="90"/>
      <c r="J155" s="90"/>
      <c r="K155" s="90"/>
      <c r="L155" s="90"/>
      <c r="M155" s="90"/>
      <c r="N155" s="90"/>
      <c r="O155" s="90"/>
      <c r="P155" s="90"/>
      <c r="Q155" s="90"/>
      <c r="R155" s="90"/>
      <c r="S155" s="90"/>
      <c r="T155" s="90"/>
      <c r="U155" s="90"/>
      <c r="V155" s="90"/>
      <c r="W155" s="90"/>
      <c r="X155" s="90"/>
      <c r="Y155" s="90"/>
      <c r="Z155" s="90"/>
      <c r="AA155" s="90"/>
      <c r="AB155" s="90"/>
    </row>
    <row r="156" spans="1:28" ht="16">
      <c r="A156" s="130"/>
      <c r="B156" s="87" t="s">
        <v>911</v>
      </c>
      <c r="C156" s="94">
        <f>C160+2*C155</f>
        <v>2.7178827650325585</v>
      </c>
      <c r="D156" s="95" t="s">
        <v>727</v>
      </c>
      <c r="E156" s="96"/>
      <c r="F156" s="88"/>
      <c r="G156" s="89" t="b">
        <v>1</v>
      </c>
      <c r="H156" s="89"/>
      <c r="I156" s="90"/>
      <c r="J156" s="90"/>
      <c r="K156" s="90"/>
      <c r="L156" s="90"/>
      <c r="M156" s="90"/>
      <c r="N156" s="90"/>
      <c r="O156" s="90"/>
      <c r="P156" s="90"/>
      <c r="Q156" s="90"/>
      <c r="R156" s="90"/>
      <c r="S156" s="90"/>
      <c r="T156" s="90"/>
      <c r="U156" s="90"/>
      <c r="V156" s="90"/>
      <c r="W156" s="90"/>
      <c r="X156" s="90"/>
      <c r="Y156" s="90"/>
      <c r="Z156" s="90"/>
      <c r="AA156" s="90"/>
      <c r="AB156" s="90"/>
    </row>
    <row r="157" spans="1:28" ht="16">
      <c r="A157" s="128" t="s">
        <v>691</v>
      </c>
      <c r="B157" s="91" t="s">
        <v>912</v>
      </c>
      <c r="C157" s="97">
        <f>C116</f>
        <v>1.3333333333333333</v>
      </c>
      <c r="D157" s="98"/>
      <c r="E157" s="99"/>
      <c r="F157" s="92"/>
      <c r="G157" s="93" t="b">
        <v>1</v>
      </c>
      <c r="H157" s="93"/>
      <c r="I157" s="90"/>
      <c r="J157" s="90"/>
      <c r="K157" s="90"/>
      <c r="L157" s="90"/>
      <c r="M157" s="90"/>
      <c r="N157" s="90"/>
      <c r="O157" s="90"/>
      <c r="P157" s="90"/>
      <c r="Q157" s="90"/>
      <c r="R157" s="90"/>
      <c r="S157" s="90"/>
      <c r="T157" s="90"/>
      <c r="U157" s="90"/>
      <c r="V157" s="90"/>
      <c r="W157" s="90"/>
      <c r="X157" s="90"/>
      <c r="Y157" s="90"/>
      <c r="Z157" s="90"/>
      <c r="AA157" s="90"/>
      <c r="AB157" s="90"/>
    </row>
    <row r="158" spans="1:28" ht="16">
      <c r="A158" s="125"/>
      <c r="B158" s="87" t="s">
        <v>913</v>
      </c>
      <c r="C158" s="94">
        <f>C123*C157</f>
        <v>1.24</v>
      </c>
      <c r="D158" s="95" t="s">
        <v>727</v>
      </c>
      <c r="E158" s="96"/>
      <c r="F158" s="88"/>
      <c r="G158" s="89" t="b">
        <v>1</v>
      </c>
      <c r="H158" s="89"/>
      <c r="I158" s="90"/>
      <c r="J158" s="90"/>
      <c r="K158" s="90"/>
      <c r="L158" s="90"/>
      <c r="M158" s="90"/>
      <c r="N158" s="90"/>
      <c r="O158" s="90"/>
      <c r="P158" s="90"/>
      <c r="Q158" s="90"/>
      <c r="R158" s="90"/>
      <c r="S158" s="90"/>
      <c r="T158" s="90"/>
      <c r="U158" s="90"/>
      <c r="V158" s="90"/>
      <c r="W158" s="90"/>
      <c r="X158" s="90"/>
      <c r="Y158" s="90"/>
      <c r="Z158" s="90"/>
      <c r="AA158" s="90"/>
      <c r="AB158" s="90"/>
    </row>
    <row r="159" spans="1:28" ht="16">
      <c r="A159" s="125"/>
      <c r="B159" s="91" t="s">
        <v>914</v>
      </c>
      <c r="C159" s="97">
        <f>C124*C157</f>
        <v>0.49333333333333329</v>
      </c>
      <c r="D159" s="98" t="s">
        <v>727</v>
      </c>
      <c r="E159" s="99"/>
      <c r="F159" s="92"/>
      <c r="G159" s="93" t="b">
        <v>1</v>
      </c>
      <c r="H159" s="93"/>
      <c r="I159" s="90"/>
      <c r="J159" s="90"/>
      <c r="K159" s="90"/>
      <c r="L159" s="90"/>
      <c r="M159" s="90"/>
      <c r="N159" s="90"/>
      <c r="O159" s="90"/>
      <c r="P159" s="90"/>
      <c r="Q159" s="90"/>
      <c r="R159" s="90"/>
      <c r="S159" s="90"/>
      <c r="T159" s="90"/>
      <c r="U159" s="90"/>
      <c r="V159" s="90"/>
      <c r="W159" s="90"/>
      <c r="X159" s="90"/>
      <c r="Y159" s="90"/>
      <c r="Z159" s="90"/>
      <c r="AA159" s="90"/>
      <c r="AB159" s="90"/>
    </row>
    <row r="160" spans="1:28" ht="16">
      <c r="A160" s="125"/>
      <c r="B160" s="87" t="s">
        <v>915</v>
      </c>
      <c r="C160" s="94">
        <f>SQRT(C159^2+C158^2)</f>
        <v>1.3345327938187872</v>
      </c>
      <c r="D160" s="95" t="s">
        <v>727</v>
      </c>
      <c r="E160" s="96"/>
      <c r="F160" s="88"/>
      <c r="G160" s="89" t="b">
        <v>1</v>
      </c>
      <c r="H160" s="89"/>
      <c r="I160" s="90"/>
      <c r="J160" s="90"/>
      <c r="K160" s="90"/>
      <c r="L160" s="90"/>
      <c r="M160" s="90"/>
      <c r="N160" s="90"/>
      <c r="O160" s="90"/>
      <c r="P160" s="90"/>
      <c r="Q160" s="90"/>
      <c r="R160" s="90"/>
      <c r="S160" s="90"/>
      <c r="T160" s="90"/>
      <c r="U160" s="90"/>
      <c r="V160" s="90"/>
      <c r="W160" s="90"/>
      <c r="X160" s="90"/>
      <c r="Y160" s="90"/>
      <c r="Z160" s="90"/>
      <c r="AA160" s="90"/>
      <c r="AB160" s="90"/>
    </row>
    <row r="161" spans="1:28" ht="16">
      <c r="A161" s="125"/>
      <c r="B161" s="91" t="s">
        <v>916</v>
      </c>
      <c r="C161" s="97">
        <f>C49*RADIANS(C154)*2</f>
        <v>1.3345327938187876</v>
      </c>
      <c r="D161" s="98" t="s">
        <v>727</v>
      </c>
      <c r="E161" s="99"/>
      <c r="F161" s="92" t="s">
        <v>917</v>
      </c>
      <c r="G161" s="93" t="b">
        <v>1</v>
      </c>
      <c r="H161" s="93"/>
      <c r="I161" s="90"/>
      <c r="J161" s="90"/>
      <c r="K161" s="90"/>
      <c r="L161" s="90"/>
      <c r="M161" s="90"/>
      <c r="N161" s="90"/>
      <c r="O161" s="90"/>
      <c r="P161" s="90"/>
      <c r="Q161" s="90"/>
      <c r="R161" s="90"/>
      <c r="S161" s="90"/>
      <c r="T161" s="90"/>
      <c r="U161" s="90"/>
      <c r="V161" s="90"/>
      <c r="W161" s="90"/>
      <c r="X161" s="90"/>
      <c r="Y161" s="90"/>
      <c r="Z161" s="90"/>
      <c r="AA161" s="90"/>
      <c r="AB161" s="90"/>
    </row>
    <row r="162" spans="1:28" ht="16">
      <c r="A162" s="125"/>
      <c r="B162" s="87" t="s">
        <v>918</v>
      </c>
      <c r="C162" s="94">
        <f>C127</f>
        <v>2.4718424222528297</v>
      </c>
      <c r="D162" s="95" t="s">
        <v>748</v>
      </c>
      <c r="E162" s="96"/>
      <c r="F162" s="88"/>
      <c r="G162" s="89" t="b">
        <v>1</v>
      </c>
      <c r="H162" s="89"/>
      <c r="I162" s="90"/>
      <c r="J162" s="90"/>
      <c r="K162" s="90"/>
      <c r="L162" s="90"/>
      <c r="M162" s="90"/>
      <c r="N162" s="90"/>
      <c r="O162" s="90"/>
      <c r="P162" s="90"/>
      <c r="Q162" s="90"/>
      <c r="R162" s="90"/>
      <c r="S162" s="90"/>
      <c r="T162" s="90"/>
      <c r="U162" s="90"/>
      <c r="V162" s="90"/>
      <c r="W162" s="90"/>
      <c r="X162" s="90"/>
      <c r="Y162" s="90"/>
      <c r="Z162" s="90"/>
      <c r="AA162" s="90"/>
      <c r="AB162" s="90"/>
    </row>
    <row r="163" spans="1:28" ht="16">
      <c r="A163" s="129"/>
      <c r="B163" s="91" t="s">
        <v>919</v>
      </c>
      <c r="C163" s="97">
        <f>DEGREES(ASIN(SQRT(C162/PI()/(PI()*(C160/2)^2))))</f>
        <v>48.590377890729144</v>
      </c>
      <c r="D163" s="98" t="s">
        <v>752</v>
      </c>
      <c r="E163" s="99"/>
      <c r="F163" s="92"/>
      <c r="G163" s="93" t="b">
        <v>1</v>
      </c>
      <c r="H163" s="93"/>
      <c r="I163" s="90"/>
      <c r="J163" s="90"/>
      <c r="K163" s="90"/>
      <c r="L163" s="90"/>
      <c r="M163" s="90"/>
      <c r="N163" s="90"/>
      <c r="O163" s="90"/>
      <c r="P163" s="90"/>
      <c r="Q163" s="90"/>
      <c r="R163" s="90"/>
      <c r="S163" s="90"/>
      <c r="T163" s="90"/>
      <c r="U163" s="90"/>
      <c r="V163" s="90"/>
      <c r="W163" s="90"/>
      <c r="X163" s="90"/>
      <c r="Y163" s="90"/>
      <c r="Z163" s="90"/>
      <c r="AA163" s="90"/>
      <c r="AB163" s="90"/>
    </row>
    <row r="164" spans="1:28" ht="16">
      <c r="A164" s="128" t="s">
        <v>920</v>
      </c>
      <c r="B164" s="87" t="s">
        <v>921</v>
      </c>
      <c r="C164" s="94">
        <f>MIN(C153,C65)</f>
        <v>13.5</v>
      </c>
      <c r="D164" s="95" t="s">
        <v>727</v>
      </c>
      <c r="E164" s="96"/>
      <c r="F164" s="88"/>
      <c r="G164" s="89" t="b">
        <v>1</v>
      </c>
      <c r="H164" s="89"/>
      <c r="I164" s="90"/>
      <c r="J164" s="90"/>
      <c r="K164" s="90"/>
      <c r="L164" s="90"/>
      <c r="M164" s="90"/>
      <c r="N164" s="90"/>
      <c r="O164" s="90"/>
      <c r="P164" s="90"/>
      <c r="Q164" s="90"/>
      <c r="R164" s="90"/>
      <c r="S164" s="90"/>
      <c r="T164" s="90"/>
      <c r="U164" s="90"/>
      <c r="V164" s="90"/>
      <c r="W164" s="90"/>
      <c r="X164" s="90"/>
      <c r="Y164" s="90"/>
      <c r="Z164" s="90"/>
      <c r="AA164" s="90"/>
      <c r="AB164" s="90"/>
    </row>
    <row r="165" spans="1:28" ht="16">
      <c r="A165" s="129"/>
      <c r="B165" s="91" t="s">
        <v>922</v>
      </c>
      <c r="C165" s="97">
        <f>MIN(C154,C68)</f>
        <v>4.2214242264770734</v>
      </c>
      <c r="D165" s="98" t="s">
        <v>752</v>
      </c>
      <c r="E165" s="99"/>
      <c r="F165" s="92"/>
      <c r="G165" s="93" t="b">
        <v>1</v>
      </c>
      <c r="H165" s="93"/>
      <c r="I165" s="90"/>
      <c r="J165" s="90"/>
      <c r="K165" s="90"/>
      <c r="L165" s="90"/>
      <c r="M165" s="90"/>
      <c r="N165" s="90"/>
      <c r="O165" s="90"/>
      <c r="P165" s="90"/>
      <c r="Q165" s="90"/>
      <c r="R165" s="90"/>
      <c r="S165" s="90"/>
      <c r="T165" s="90"/>
      <c r="U165" s="90"/>
      <c r="V165" s="90"/>
      <c r="W165" s="90"/>
      <c r="X165" s="90"/>
      <c r="Y165" s="90"/>
      <c r="Z165" s="90"/>
      <c r="AA165" s="90"/>
      <c r="AB165" s="90"/>
    </row>
    <row r="166" spans="1:28" ht="16">
      <c r="A166" s="104" t="s">
        <v>875</v>
      </c>
      <c r="B166" s="87" t="s">
        <v>923</v>
      </c>
      <c r="C166" s="94">
        <v>199</v>
      </c>
      <c r="D166" s="95" t="s">
        <v>727</v>
      </c>
      <c r="E166" s="96"/>
      <c r="F166" s="88"/>
      <c r="G166" s="89" t="b">
        <v>0</v>
      </c>
      <c r="H166" s="89"/>
      <c r="I166" s="90"/>
      <c r="J166" s="90"/>
      <c r="K166" s="90"/>
      <c r="L166" s="90"/>
      <c r="M166" s="90"/>
      <c r="N166" s="90"/>
      <c r="O166" s="90"/>
      <c r="P166" s="90"/>
      <c r="Q166" s="90"/>
      <c r="R166" s="90"/>
      <c r="S166" s="90"/>
      <c r="T166" s="90"/>
      <c r="U166" s="90"/>
      <c r="V166" s="90"/>
      <c r="W166" s="90"/>
      <c r="X166" s="90"/>
      <c r="Y166" s="90"/>
      <c r="Z166" s="90"/>
      <c r="AA166" s="90"/>
      <c r="AB166" s="90"/>
    </row>
    <row r="167" spans="1:28" ht="16">
      <c r="A167" s="128" t="s">
        <v>924</v>
      </c>
      <c r="B167" s="91" t="s">
        <v>925</v>
      </c>
      <c r="C167" s="97">
        <f>TAN(RADIANS(C165))*C166</f>
        <v>14.688460580995716</v>
      </c>
      <c r="D167" s="98" t="s">
        <v>727</v>
      </c>
      <c r="E167" s="99"/>
      <c r="F167" s="92"/>
      <c r="G167" s="93" t="b">
        <v>1</v>
      </c>
      <c r="H167" s="93"/>
      <c r="I167" s="90"/>
      <c r="J167" s="90"/>
      <c r="K167" s="90"/>
      <c r="L167" s="90"/>
      <c r="M167" s="90"/>
      <c r="N167" s="90"/>
      <c r="O167" s="90"/>
      <c r="P167" s="90"/>
      <c r="Q167" s="90"/>
      <c r="R167" s="90"/>
      <c r="S167" s="90"/>
      <c r="T167" s="90"/>
      <c r="U167" s="90"/>
      <c r="V167" s="90"/>
      <c r="W167" s="90"/>
      <c r="X167" s="90"/>
      <c r="Y167" s="90"/>
      <c r="Z167" s="90"/>
      <c r="AA167" s="90"/>
      <c r="AB167" s="90"/>
    </row>
    <row r="168" spans="1:28" ht="16">
      <c r="A168" s="130"/>
      <c r="B168" s="87" t="s">
        <v>926</v>
      </c>
      <c r="C168" s="94">
        <f>C164+C167*2</f>
        <v>42.876921161991433</v>
      </c>
      <c r="D168" s="95" t="s">
        <v>727</v>
      </c>
      <c r="E168" s="96"/>
      <c r="F168" s="88"/>
      <c r="G168" s="89" t="b">
        <v>1</v>
      </c>
      <c r="H168" s="89"/>
      <c r="I168" s="90"/>
      <c r="J168" s="90"/>
      <c r="K168" s="90"/>
      <c r="L168" s="90"/>
      <c r="M168" s="90"/>
      <c r="N168" s="90"/>
      <c r="O168" s="90"/>
      <c r="P168" s="90"/>
      <c r="Q168" s="90"/>
      <c r="R168" s="90"/>
      <c r="S168" s="90"/>
      <c r="T168" s="90"/>
      <c r="U168" s="90"/>
      <c r="V168" s="90"/>
      <c r="W168" s="90"/>
      <c r="X168" s="90"/>
      <c r="Y168" s="90"/>
      <c r="Z168" s="90"/>
      <c r="AA168" s="90"/>
      <c r="AB168" s="90"/>
    </row>
    <row r="169" spans="1:28" ht="16">
      <c r="A169" s="128" t="s">
        <v>927</v>
      </c>
      <c r="B169" s="91" t="s">
        <v>885</v>
      </c>
      <c r="C169" s="97">
        <f>TAN(RADIANS(C178))*C97</f>
        <v>4.3442899268706761</v>
      </c>
      <c r="D169" s="98" t="s">
        <v>727</v>
      </c>
      <c r="E169" s="99"/>
      <c r="F169" s="92"/>
      <c r="G169" s="93" t="b">
        <v>1</v>
      </c>
      <c r="H169" s="93"/>
      <c r="I169" s="90"/>
      <c r="J169" s="90"/>
      <c r="K169" s="90"/>
      <c r="L169" s="90"/>
      <c r="M169" s="90"/>
      <c r="N169" s="90"/>
      <c r="O169" s="90"/>
      <c r="P169" s="90"/>
      <c r="Q169" s="90"/>
      <c r="R169" s="90"/>
      <c r="S169" s="90"/>
      <c r="T169" s="90"/>
      <c r="U169" s="90"/>
      <c r="V169" s="90"/>
      <c r="W169" s="90"/>
      <c r="X169" s="90"/>
      <c r="Y169" s="90"/>
      <c r="Z169" s="90"/>
      <c r="AA169" s="90"/>
      <c r="AB169" s="90"/>
    </row>
    <row r="170" spans="1:28" ht="16">
      <c r="A170" s="130"/>
      <c r="B170" s="87" t="s">
        <v>886</v>
      </c>
      <c r="C170" s="94">
        <f>2*C169+C174</f>
        <v>34.786110043975413</v>
      </c>
      <c r="D170" s="95" t="s">
        <v>727</v>
      </c>
      <c r="E170" s="96"/>
      <c r="F170" s="88"/>
      <c r="G170" s="89" t="b">
        <v>1</v>
      </c>
      <c r="H170" s="89"/>
      <c r="I170" s="90"/>
      <c r="J170" s="90"/>
      <c r="K170" s="90"/>
      <c r="L170" s="90"/>
      <c r="M170" s="90"/>
      <c r="N170" s="90"/>
      <c r="O170" s="90"/>
      <c r="P170" s="90"/>
      <c r="Q170" s="90"/>
      <c r="R170" s="90"/>
      <c r="S170" s="90"/>
      <c r="T170" s="90"/>
      <c r="U170" s="90"/>
      <c r="V170" s="90"/>
      <c r="W170" s="90"/>
      <c r="X170" s="90"/>
      <c r="Y170" s="90"/>
      <c r="Z170" s="90"/>
      <c r="AA170" s="90"/>
      <c r="AB170" s="90"/>
    </row>
    <row r="171" spans="1:28" ht="16">
      <c r="A171" s="128" t="s">
        <v>693</v>
      </c>
      <c r="B171" s="91" t="s">
        <v>928</v>
      </c>
      <c r="C171" s="97">
        <f>C117</f>
        <v>26.074074074074076</v>
      </c>
      <c r="D171" s="98"/>
      <c r="E171" s="99"/>
      <c r="F171" s="92"/>
      <c r="G171" s="93" t="b">
        <v>1</v>
      </c>
      <c r="H171" s="93"/>
      <c r="I171" s="90"/>
      <c r="J171" s="90"/>
      <c r="K171" s="90"/>
      <c r="L171" s="90"/>
      <c r="M171" s="90"/>
      <c r="N171" s="90"/>
      <c r="O171" s="90"/>
      <c r="P171" s="90"/>
      <c r="Q171" s="90"/>
      <c r="R171" s="90"/>
      <c r="S171" s="90"/>
      <c r="T171" s="90"/>
      <c r="U171" s="90"/>
      <c r="V171" s="90"/>
      <c r="W171" s="90"/>
      <c r="X171" s="90"/>
      <c r="Y171" s="90"/>
      <c r="Z171" s="90"/>
      <c r="AA171" s="90"/>
      <c r="AB171" s="90"/>
    </row>
    <row r="172" spans="1:28" ht="16">
      <c r="A172" s="125"/>
      <c r="B172" s="87" t="s">
        <v>929</v>
      </c>
      <c r="C172" s="94">
        <f>C123*C171</f>
        <v>24.248888888888892</v>
      </c>
      <c r="D172" s="95" t="s">
        <v>727</v>
      </c>
      <c r="E172" s="96"/>
      <c r="F172" s="88"/>
      <c r="G172" s="89" t="b">
        <v>1</v>
      </c>
      <c r="H172" s="89"/>
      <c r="I172" s="90"/>
      <c r="J172" s="90"/>
      <c r="K172" s="90"/>
      <c r="L172" s="90"/>
      <c r="M172" s="90"/>
      <c r="N172" s="90"/>
      <c r="O172" s="90"/>
      <c r="P172" s="90"/>
      <c r="Q172" s="90"/>
      <c r="R172" s="90"/>
      <c r="S172" s="90"/>
      <c r="T172" s="90"/>
      <c r="U172" s="90"/>
      <c r="V172" s="90"/>
      <c r="W172" s="90"/>
      <c r="X172" s="90"/>
      <c r="Y172" s="90"/>
      <c r="Z172" s="90"/>
      <c r="AA172" s="90"/>
      <c r="AB172" s="90"/>
    </row>
    <row r="173" spans="1:28" ht="16">
      <c r="A173" s="125"/>
      <c r="B173" s="91" t="s">
        <v>930</v>
      </c>
      <c r="C173" s="97">
        <f>C124*C171</f>
        <v>9.6474074074074085</v>
      </c>
      <c r="D173" s="98" t="s">
        <v>727</v>
      </c>
      <c r="E173" s="99"/>
      <c r="F173" s="92"/>
      <c r="G173" s="93" t="b">
        <v>1</v>
      </c>
      <c r="H173" s="93"/>
      <c r="I173" s="90"/>
      <c r="J173" s="90"/>
      <c r="K173" s="90"/>
      <c r="L173" s="90"/>
      <c r="M173" s="90"/>
      <c r="N173" s="90"/>
      <c r="O173" s="90"/>
      <c r="P173" s="90"/>
      <c r="Q173" s="90"/>
      <c r="R173" s="90"/>
      <c r="S173" s="90"/>
      <c r="T173" s="90"/>
      <c r="U173" s="90"/>
      <c r="V173" s="90"/>
      <c r="W173" s="90"/>
      <c r="X173" s="90"/>
      <c r="Y173" s="90"/>
      <c r="Z173" s="90"/>
      <c r="AA173" s="90"/>
      <c r="AB173" s="90"/>
    </row>
    <row r="174" spans="1:28" ht="16">
      <c r="A174" s="125"/>
      <c r="B174" s="87" t="s">
        <v>931</v>
      </c>
      <c r="C174" s="94">
        <f>SQRT(C172^2+C173^2)</f>
        <v>26.097530190234064</v>
      </c>
      <c r="D174" s="95" t="s">
        <v>727</v>
      </c>
      <c r="E174" s="96"/>
      <c r="F174" s="88"/>
      <c r="G174" s="89" t="b">
        <v>1</v>
      </c>
      <c r="H174" s="89"/>
      <c r="I174" s="90"/>
      <c r="J174" s="90"/>
      <c r="K174" s="90"/>
      <c r="L174" s="90"/>
      <c r="M174" s="90"/>
      <c r="N174" s="90"/>
      <c r="O174" s="90"/>
      <c r="P174" s="90"/>
      <c r="Q174" s="90"/>
      <c r="R174" s="90"/>
      <c r="S174" s="90"/>
      <c r="T174" s="90"/>
      <c r="U174" s="90"/>
      <c r="V174" s="90"/>
      <c r="W174" s="90"/>
      <c r="X174" s="90"/>
      <c r="Y174" s="90"/>
      <c r="Z174" s="90"/>
      <c r="AA174" s="90"/>
      <c r="AB174" s="90"/>
    </row>
    <row r="175" spans="1:28" ht="16">
      <c r="A175" s="125"/>
      <c r="B175" s="91" t="s">
        <v>932</v>
      </c>
      <c r="C175" s="97">
        <f>C173/2</f>
        <v>4.8237037037037043</v>
      </c>
      <c r="D175" s="98" t="s">
        <v>727</v>
      </c>
      <c r="E175" s="99"/>
      <c r="F175" s="92" t="s">
        <v>933</v>
      </c>
      <c r="G175" s="93" t="b">
        <v>1</v>
      </c>
      <c r="H175" s="93"/>
      <c r="I175" s="90"/>
      <c r="J175" s="90"/>
      <c r="K175" s="90"/>
      <c r="L175" s="90"/>
      <c r="M175" s="90"/>
      <c r="N175" s="90"/>
      <c r="O175" s="90"/>
      <c r="P175" s="90"/>
      <c r="Q175" s="90"/>
      <c r="R175" s="90"/>
      <c r="S175" s="90"/>
      <c r="T175" s="90"/>
      <c r="U175" s="90"/>
      <c r="V175" s="90"/>
      <c r="W175" s="90"/>
      <c r="X175" s="90"/>
      <c r="Y175" s="90"/>
      <c r="Z175" s="90"/>
      <c r="AA175" s="90"/>
      <c r="AB175" s="90"/>
    </row>
    <row r="176" spans="1:28" ht="16">
      <c r="A176" s="125"/>
      <c r="B176" s="87" t="s">
        <v>934</v>
      </c>
      <c r="C176" s="94">
        <f>SQRT(C175^2+C172^2)</f>
        <v>24.724011198970203</v>
      </c>
      <c r="D176" s="95" t="s">
        <v>727</v>
      </c>
      <c r="E176" s="96"/>
      <c r="F176" s="88" t="s">
        <v>935</v>
      </c>
      <c r="G176" s="89" t="b">
        <v>1</v>
      </c>
      <c r="H176" s="89"/>
      <c r="I176" s="90"/>
      <c r="J176" s="90"/>
      <c r="K176" s="90"/>
      <c r="L176" s="90"/>
      <c r="M176" s="90"/>
      <c r="N176" s="90"/>
      <c r="O176" s="90"/>
      <c r="P176" s="90"/>
      <c r="Q176" s="90"/>
      <c r="R176" s="90"/>
      <c r="S176" s="90"/>
      <c r="T176" s="90"/>
      <c r="U176" s="90"/>
      <c r="V176" s="90"/>
      <c r="W176" s="90"/>
      <c r="X176" s="90"/>
      <c r="Y176" s="90"/>
      <c r="Z176" s="90"/>
      <c r="AA176" s="90"/>
      <c r="AB176" s="90"/>
    </row>
    <row r="177" spans="1:28" ht="16">
      <c r="A177" s="125"/>
      <c r="B177" s="91" t="s">
        <v>892</v>
      </c>
      <c r="C177" s="97">
        <f>C127</f>
        <v>2.4718424222528297</v>
      </c>
      <c r="D177" s="98" t="s">
        <v>748</v>
      </c>
      <c r="E177" s="99"/>
      <c r="F177" s="92"/>
      <c r="G177" s="93" t="b">
        <v>1</v>
      </c>
      <c r="H177" s="93"/>
      <c r="I177" s="90"/>
      <c r="J177" s="90"/>
      <c r="K177" s="90"/>
      <c r="L177" s="90"/>
      <c r="M177" s="90"/>
      <c r="N177" s="90"/>
      <c r="O177" s="90"/>
      <c r="P177" s="90"/>
      <c r="Q177" s="90"/>
      <c r="R177" s="90"/>
      <c r="S177" s="90"/>
      <c r="T177" s="90"/>
      <c r="U177" s="90"/>
      <c r="V177" s="90"/>
      <c r="W177" s="90"/>
      <c r="X177" s="90"/>
      <c r="Y177" s="90"/>
      <c r="Z177" s="90"/>
      <c r="AA177" s="90"/>
      <c r="AB177" s="90"/>
    </row>
    <row r="178" spans="1:28" ht="16">
      <c r="A178" s="130"/>
      <c r="B178" s="87" t="s">
        <v>893</v>
      </c>
      <c r="C178" s="94">
        <f>DEGREES(ASIN(SQRT(C177/PI()/(PI()*(C174/2)^2))))</f>
        <v>2.1979624160592866</v>
      </c>
      <c r="D178" s="95" t="s">
        <v>752</v>
      </c>
      <c r="E178" s="96"/>
      <c r="F178" s="88" t="s">
        <v>936</v>
      </c>
      <c r="G178" s="89" t="b">
        <v>1</v>
      </c>
      <c r="H178" s="89"/>
      <c r="I178" s="90"/>
      <c r="J178" s="90"/>
      <c r="K178" s="90"/>
      <c r="L178" s="90"/>
      <c r="M178" s="90"/>
      <c r="N178" s="90"/>
      <c r="O178" s="90"/>
      <c r="P178" s="90"/>
      <c r="Q178" s="90"/>
      <c r="R178" s="90"/>
      <c r="S178" s="90"/>
      <c r="T178" s="90"/>
      <c r="U178" s="90"/>
      <c r="V178" s="90"/>
      <c r="W178" s="90"/>
      <c r="X178" s="90"/>
      <c r="Y178" s="90"/>
      <c r="Z178" s="90"/>
      <c r="AA178" s="90"/>
      <c r="AB178" s="90"/>
    </row>
    <row r="179" spans="1:28" ht="16">
      <c r="A179" s="128" t="s">
        <v>937</v>
      </c>
      <c r="B179" s="91" t="s">
        <v>885</v>
      </c>
      <c r="C179" s="97">
        <f>TAN(RADIANS(C178))*C102</f>
        <v>6.5987610842554583</v>
      </c>
      <c r="D179" s="98" t="s">
        <v>727</v>
      </c>
      <c r="E179" s="99"/>
      <c r="F179" s="92" t="s">
        <v>938</v>
      </c>
      <c r="G179" s="93" t="b">
        <v>1</v>
      </c>
      <c r="H179" s="93"/>
      <c r="I179" s="90"/>
      <c r="J179" s="90"/>
      <c r="K179" s="90"/>
      <c r="L179" s="90"/>
      <c r="M179" s="90"/>
      <c r="N179" s="90"/>
      <c r="O179" s="90"/>
      <c r="P179" s="90"/>
      <c r="Q179" s="90"/>
      <c r="R179" s="90"/>
      <c r="S179" s="90"/>
      <c r="T179" s="90"/>
      <c r="U179" s="90"/>
      <c r="V179" s="90"/>
      <c r="W179" s="90"/>
      <c r="X179" s="90"/>
      <c r="Y179" s="90"/>
      <c r="Z179" s="90"/>
      <c r="AA179" s="90"/>
      <c r="AB179" s="90"/>
    </row>
    <row r="180" spans="1:28" ht="16">
      <c r="A180" s="130"/>
      <c r="B180" s="87" t="s">
        <v>886</v>
      </c>
      <c r="C180" s="94">
        <f>C174+2*C179</f>
        <v>39.295052358744982</v>
      </c>
      <c r="D180" s="95" t="s">
        <v>727</v>
      </c>
      <c r="E180" s="96"/>
      <c r="F180" s="88" t="s">
        <v>939</v>
      </c>
      <c r="G180" s="89" t="b">
        <v>1</v>
      </c>
      <c r="H180" s="89"/>
      <c r="I180" s="90"/>
      <c r="J180" s="90"/>
      <c r="K180" s="90"/>
      <c r="L180" s="90"/>
      <c r="M180" s="90"/>
      <c r="N180" s="90"/>
      <c r="O180" s="90"/>
      <c r="P180" s="90"/>
      <c r="Q180" s="90"/>
      <c r="R180" s="90"/>
      <c r="S180" s="90"/>
      <c r="T180" s="90"/>
      <c r="U180" s="90"/>
      <c r="V180" s="90"/>
      <c r="W180" s="90"/>
      <c r="X180" s="90"/>
      <c r="Y180" s="90"/>
      <c r="Z180" s="90"/>
      <c r="AA180" s="90"/>
      <c r="AB180" s="90"/>
    </row>
    <row r="181" spans="1:28" ht="16">
      <c r="A181" s="128" t="s">
        <v>940</v>
      </c>
      <c r="B181" s="91" t="s">
        <v>941</v>
      </c>
      <c r="C181" s="97">
        <f>C104*TAN(RADIANS(C187))</f>
        <v>11.588599016871461</v>
      </c>
      <c r="D181" s="98" t="s">
        <v>727</v>
      </c>
      <c r="E181" s="99"/>
      <c r="F181" s="92"/>
      <c r="G181" s="93" t="b">
        <v>1</v>
      </c>
      <c r="H181" s="93"/>
      <c r="I181" s="90"/>
      <c r="J181" s="90"/>
      <c r="K181" s="90"/>
      <c r="L181" s="90"/>
      <c r="M181" s="90"/>
      <c r="N181" s="90"/>
      <c r="O181" s="90"/>
      <c r="P181" s="90"/>
      <c r="Q181" s="90"/>
      <c r="R181" s="90"/>
      <c r="S181" s="90"/>
      <c r="T181" s="90"/>
      <c r="U181" s="90"/>
      <c r="V181" s="90"/>
      <c r="W181" s="90"/>
      <c r="X181" s="90"/>
      <c r="Y181" s="90"/>
      <c r="Z181" s="90"/>
      <c r="AA181" s="90"/>
      <c r="AB181" s="90"/>
    </row>
    <row r="182" spans="1:28" ht="16">
      <c r="A182" s="125"/>
      <c r="B182" s="87" t="s">
        <v>942</v>
      </c>
      <c r="C182" s="94">
        <f>C183+C181*2</f>
        <v>39.361857124652019</v>
      </c>
      <c r="D182" s="95" t="s">
        <v>727</v>
      </c>
      <c r="E182" s="96"/>
      <c r="F182" s="88"/>
      <c r="G182" s="89" t="b">
        <v>1</v>
      </c>
      <c r="H182" s="89"/>
      <c r="I182" s="90"/>
      <c r="J182" s="90"/>
      <c r="K182" s="90"/>
      <c r="L182" s="90"/>
      <c r="M182" s="90"/>
      <c r="N182" s="90"/>
      <c r="O182" s="90"/>
      <c r="P182" s="90"/>
      <c r="Q182" s="90"/>
      <c r="R182" s="90"/>
      <c r="S182" s="90"/>
      <c r="T182" s="90"/>
      <c r="U182" s="90"/>
      <c r="V182" s="90"/>
      <c r="W182" s="90"/>
      <c r="X182" s="90"/>
      <c r="Y182" s="90"/>
      <c r="Z182" s="90"/>
      <c r="AA182" s="90"/>
      <c r="AB182" s="90"/>
    </row>
    <row r="183" spans="1:28" ht="16">
      <c r="A183" s="129"/>
      <c r="B183" s="91" t="s">
        <v>943</v>
      </c>
      <c r="C183" s="97">
        <f>C122*C164</f>
        <v>16.184659090909093</v>
      </c>
      <c r="D183" s="98" t="s">
        <v>727</v>
      </c>
      <c r="E183" s="99"/>
      <c r="F183" s="92"/>
      <c r="G183" s="93" t="b">
        <v>1</v>
      </c>
      <c r="H183" s="93"/>
      <c r="I183" s="90"/>
      <c r="J183" s="90"/>
      <c r="K183" s="90"/>
      <c r="L183" s="90"/>
      <c r="M183" s="90"/>
      <c r="N183" s="90"/>
      <c r="O183" s="90"/>
      <c r="P183" s="90"/>
      <c r="Q183" s="90"/>
      <c r="R183" s="90"/>
      <c r="S183" s="90"/>
      <c r="T183" s="90"/>
      <c r="U183" s="90"/>
      <c r="V183" s="90"/>
      <c r="W183" s="90"/>
      <c r="X183" s="90"/>
      <c r="Y183" s="90"/>
      <c r="Z183" s="90"/>
      <c r="AA183" s="90"/>
      <c r="AB183" s="90"/>
    </row>
    <row r="184" spans="1:28" ht="16">
      <c r="A184" s="104" t="s">
        <v>875</v>
      </c>
      <c r="B184" s="87" t="s">
        <v>944</v>
      </c>
      <c r="C184" s="94">
        <v>160</v>
      </c>
      <c r="D184" s="95" t="s">
        <v>727</v>
      </c>
      <c r="E184" s="96"/>
      <c r="F184" s="88"/>
      <c r="G184" s="89" t="b">
        <v>0</v>
      </c>
      <c r="H184" s="89"/>
      <c r="I184" s="90"/>
      <c r="J184" s="90"/>
      <c r="K184" s="90"/>
      <c r="L184" s="90"/>
      <c r="M184" s="90"/>
      <c r="N184" s="90"/>
      <c r="O184" s="90"/>
      <c r="P184" s="90"/>
      <c r="Q184" s="90"/>
      <c r="R184" s="90"/>
      <c r="S184" s="90"/>
      <c r="T184" s="90"/>
      <c r="U184" s="90"/>
      <c r="V184" s="90"/>
      <c r="W184" s="90"/>
      <c r="X184" s="90"/>
      <c r="Y184" s="90"/>
      <c r="Z184" s="90"/>
      <c r="AA184" s="90"/>
      <c r="AB184" s="90"/>
    </row>
    <row r="185" spans="1:28" ht="16">
      <c r="A185" s="128" t="s">
        <v>707</v>
      </c>
      <c r="B185" s="91" t="s">
        <v>945</v>
      </c>
      <c r="C185" s="97">
        <f>TAN(RADIANS(C187))*ABS(C184-C104)</f>
        <v>1.6811673166340382</v>
      </c>
      <c r="D185" s="98" t="s">
        <v>727</v>
      </c>
      <c r="E185" s="99"/>
      <c r="F185" s="92"/>
      <c r="G185" s="93" t="b">
        <v>1</v>
      </c>
      <c r="H185" s="93"/>
      <c r="I185" s="90"/>
      <c r="J185" s="90"/>
      <c r="K185" s="90"/>
      <c r="L185" s="90"/>
      <c r="M185" s="90"/>
      <c r="N185" s="90"/>
      <c r="O185" s="90"/>
      <c r="P185" s="90"/>
      <c r="Q185" s="90"/>
      <c r="R185" s="90"/>
      <c r="S185" s="90"/>
      <c r="T185" s="90"/>
      <c r="U185" s="90"/>
      <c r="V185" s="90"/>
      <c r="W185" s="90"/>
      <c r="X185" s="90"/>
      <c r="Y185" s="90"/>
      <c r="Z185" s="90"/>
      <c r="AA185" s="90"/>
      <c r="AB185" s="90"/>
    </row>
    <row r="186" spans="1:28" ht="16">
      <c r="A186" s="125"/>
      <c r="B186" s="87" t="s">
        <v>946</v>
      </c>
      <c r="C186" s="94">
        <f>2*C185+C183</f>
        <v>19.54699372417717</v>
      </c>
      <c r="D186" s="95" t="s">
        <v>727</v>
      </c>
      <c r="E186" s="96"/>
      <c r="F186" s="88"/>
      <c r="G186" s="89" t="b">
        <v>1</v>
      </c>
      <c r="H186" s="89"/>
      <c r="I186" s="90"/>
      <c r="J186" s="90"/>
      <c r="K186" s="90"/>
      <c r="L186" s="90"/>
      <c r="M186" s="90"/>
      <c r="N186" s="90"/>
      <c r="O186" s="90"/>
      <c r="P186" s="90"/>
      <c r="Q186" s="90"/>
      <c r="R186" s="90"/>
      <c r="S186" s="90"/>
      <c r="T186" s="90"/>
      <c r="U186" s="90"/>
      <c r="V186" s="90"/>
      <c r="W186" s="90"/>
      <c r="X186" s="90"/>
      <c r="Y186" s="90"/>
      <c r="Z186" s="90"/>
      <c r="AA186" s="90"/>
      <c r="AB186" s="90"/>
    </row>
    <row r="187" spans="1:28" ht="16">
      <c r="A187" s="129"/>
      <c r="B187" s="91" t="s">
        <v>947</v>
      </c>
      <c r="C187" s="97">
        <f>DEGREES(C174/2/C101)</f>
        <v>3.5433135915063039</v>
      </c>
      <c r="D187" s="98" t="s">
        <v>752</v>
      </c>
      <c r="E187" s="99"/>
      <c r="F187" s="92"/>
      <c r="G187" s="93" t="b">
        <v>1</v>
      </c>
      <c r="H187" s="93"/>
      <c r="I187" s="90"/>
      <c r="J187" s="90"/>
      <c r="K187" s="90"/>
      <c r="L187" s="90"/>
      <c r="M187" s="90"/>
      <c r="N187" s="90"/>
      <c r="O187" s="90"/>
      <c r="P187" s="90"/>
      <c r="Q187" s="90"/>
      <c r="R187" s="90"/>
      <c r="S187" s="90"/>
      <c r="T187" s="90"/>
      <c r="U187" s="90"/>
      <c r="V187" s="90"/>
      <c r="W187" s="90"/>
      <c r="X187" s="90"/>
      <c r="Y187" s="90"/>
      <c r="Z187" s="90"/>
      <c r="AA187" s="90"/>
      <c r="AB187" s="90"/>
    </row>
    <row r="188" spans="1:28" ht="16">
      <c r="A188" s="128" t="s">
        <v>948</v>
      </c>
      <c r="B188" s="87" t="s">
        <v>949</v>
      </c>
      <c r="C188" s="94">
        <f>TAN(RADIANS(C197))*C244</f>
        <v>5.1030900568910704</v>
      </c>
      <c r="D188" s="95" t="s">
        <v>727</v>
      </c>
      <c r="E188" s="96"/>
      <c r="F188" s="88"/>
      <c r="G188" s="89" t="b">
        <v>1</v>
      </c>
      <c r="H188" s="89"/>
      <c r="I188" s="90"/>
      <c r="J188" s="90"/>
      <c r="K188" s="90"/>
      <c r="L188" s="90"/>
      <c r="M188" s="90"/>
      <c r="N188" s="90"/>
      <c r="O188" s="90"/>
      <c r="P188" s="90"/>
      <c r="Q188" s="90"/>
      <c r="R188" s="90"/>
      <c r="S188" s="90"/>
      <c r="T188" s="90"/>
      <c r="U188" s="90"/>
      <c r="V188" s="90"/>
      <c r="W188" s="90"/>
      <c r="X188" s="90"/>
      <c r="Y188" s="90"/>
      <c r="Z188" s="90"/>
      <c r="AA188" s="90"/>
      <c r="AB188" s="90"/>
    </row>
    <row r="189" spans="1:28" ht="16">
      <c r="A189" s="129"/>
      <c r="B189" s="91" t="s">
        <v>950</v>
      </c>
      <c r="C189" s="97">
        <f>C193+C188*2</f>
        <v>16.078124406584806</v>
      </c>
      <c r="D189" s="98" t="s">
        <v>727</v>
      </c>
      <c r="E189" s="99"/>
      <c r="F189" s="92"/>
      <c r="G189" s="93" t="b">
        <v>1</v>
      </c>
      <c r="H189" s="93"/>
      <c r="I189" s="90"/>
      <c r="J189" s="90"/>
      <c r="K189" s="90"/>
      <c r="L189" s="90"/>
      <c r="M189" s="90"/>
      <c r="N189" s="90"/>
      <c r="O189" s="90"/>
      <c r="P189" s="90"/>
      <c r="Q189" s="90"/>
      <c r="R189" s="90"/>
      <c r="S189" s="90"/>
      <c r="T189" s="90"/>
      <c r="U189" s="90"/>
      <c r="V189" s="90"/>
      <c r="W189" s="90"/>
      <c r="X189" s="90"/>
      <c r="Y189" s="90"/>
      <c r="Z189" s="90"/>
      <c r="AA189" s="90"/>
      <c r="AB189" s="90"/>
    </row>
    <row r="190" spans="1:28" ht="16">
      <c r="A190" s="128" t="s">
        <v>695</v>
      </c>
      <c r="B190" s="87" t="s">
        <v>951</v>
      </c>
      <c r="C190" s="94">
        <f>C118</f>
        <v>5.8666666666666671</v>
      </c>
      <c r="D190" s="95"/>
      <c r="E190" s="96"/>
      <c r="F190" s="88"/>
      <c r="G190" s="89" t="b">
        <v>1</v>
      </c>
      <c r="H190" s="89"/>
      <c r="I190" s="90"/>
      <c r="J190" s="90"/>
      <c r="K190" s="90"/>
      <c r="L190" s="90"/>
      <c r="M190" s="90"/>
      <c r="N190" s="90"/>
      <c r="O190" s="90"/>
      <c r="P190" s="90"/>
      <c r="Q190" s="90"/>
      <c r="R190" s="90"/>
      <c r="S190" s="90"/>
      <c r="T190" s="90"/>
      <c r="U190" s="90"/>
      <c r="V190" s="90"/>
      <c r="W190" s="90"/>
      <c r="X190" s="90"/>
      <c r="Y190" s="90"/>
      <c r="Z190" s="90"/>
      <c r="AA190" s="90"/>
      <c r="AB190" s="90"/>
    </row>
    <row r="191" spans="1:28" ht="16">
      <c r="A191" s="125"/>
      <c r="B191" s="91" t="s">
        <v>952</v>
      </c>
      <c r="C191" s="97">
        <f>C123*C190</f>
        <v>5.4560000000000004</v>
      </c>
      <c r="D191" s="98" t="s">
        <v>727</v>
      </c>
      <c r="E191" s="99"/>
      <c r="F191" s="92"/>
      <c r="G191" s="93" t="b">
        <v>1</v>
      </c>
      <c r="H191" s="93"/>
      <c r="I191" s="90"/>
      <c r="J191" s="90"/>
      <c r="K191" s="90"/>
      <c r="L191" s="90"/>
      <c r="M191" s="90"/>
      <c r="N191" s="90"/>
      <c r="O191" s="90"/>
      <c r="P191" s="90"/>
      <c r="Q191" s="90"/>
      <c r="R191" s="90"/>
      <c r="S191" s="90"/>
      <c r="T191" s="90"/>
      <c r="U191" s="90"/>
      <c r="V191" s="90"/>
      <c r="W191" s="90"/>
      <c r="X191" s="90"/>
      <c r="Y191" s="90"/>
      <c r="Z191" s="90"/>
      <c r="AA191" s="90"/>
      <c r="AB191" s="90"/>
    </row>
    <row r="192" spans="1:28" ht="16">
      <c r="A192" s="125"/>
      <c r="B192" s="87" t="s">
        <v>953</v>
      </c>
      <c r="C192" s="94">
        <f>C124*C190</f>
        <v>2.170666666666667</v>
      </c>
      <c r="D192" s="95" t="s">
        <v>727</v>
      </c>
      <c r="E192" s="96"/>
      <c r="F192" s="88"/>
      <c r="G192" s="89" t="b">
        <v>1</v>
      </c>
      <c r="H192" s="89"/>
      <c r="I192" s="90"/>
      <c r="J192" s="90"/>
      <c r="K192" s="90"/>
      <c r="L192" s="90"/>
      <c r="M192" s="90"/>
      <c r="N192" s="90"/>
      <c r="O192" s="90"/>
      <c r="P192" s="90"/>
      <c r="Q192" s="90"/>
      <c r="R192" s="90"/>
      <c r="S192" s="90"/>
      <c r="T192" s="90"/>
      <c r="U192" s="90"/>
      <c r="V192" s="90"/>
      <c r="W192" s="90"/>
      <c r="X192" s="90"/>
      <c r="Y192" s="90"/>
      <c r="Z192" s="90"/>
      <c r="AA192" s="90"/>
      <c r="AB192" s="90"/>
    </row>
    <row r="193" spans="1:28" ht="16">
      <c r="A193" s="125"/>
      <c r="B193" s="91" t="s">
        <v>954</v>
      </c>
      <c r="C193" s="97">
        <f>SQRT(C191^2+C192^2)</f>
        <v>5.8719442928026648</v>
      </c>
      <c r="D193" s="98" t="s">
        <v>727</v>
      </c>
      <c r="E193" s="99"/>
      <c r="F193" s="92"/>
      <c r="G193" s="93" t="b">
        <v>1</v>
      </c>
      <c r="H193" s="93"/>
      <c r="I193" s="90"/>
      <c r="J193" s="90"/>
      <c r="K193" s="90"/>
      <c r="L193" s="90"/>
      <c r="M193" s="90"/>
      <c r="N193" s="90"/>
      <c r="O193" s="90"/>
      <c r="P193" s="90"/>
      <c r="Q193" s="90"/>
      <c r="R193" s="90"/>
      <c r="S193" s="90"/>
      <c r="T193" s="90"/>
      <c r="U193" s="90"/>
      <c r="V193" s="90"/>
      <c r="W193" s="90"/>
      <c r="X193" s="90"/>
      <c r="Y193" s="90"/>
      <c r="Z193" s="90"/>
      <c r="AA193" s="90"/>
      <c r="AB193" s="90"/>
    </row>
    <row r="194" spans="1:28" ht="16">
      <c r="A194" s="125"/>
      <c r="B194" s="87" t="s">
        <v>955</v>
      </c>
      <c r="C194" s="94">
        <f>C192/2</f>
        <v>1.0853333333333335</v>
      </c>
      <c r="D194" s="95" t="s">
        <v>727</v>
      </c>
      <c r="E194" s="96"/>
      <c r="F194" s="88"/>
      <c r="G194" s="89" t="b">
        <v>1</v>
      </c>
      <c r="H194" s="89"/>
      <c r="I194" s="90"/>
      <c r="J194" s="90"/>
      <c r="K194" s="90"/>
      <c r="L194" s="90"/>
      <c r="M194" s="90"/>
      <c r="N194" s="90"/>
      <c r="O194" s="90"/>
      <c r="P194" s="90"/>
      <c r="Q194" s="90"/>
      <c r="R194" s="90"/>
      <c r="S194" s="90"/>
      <c r="T194" s="90"/>
      <c r="U194" s="90"/>
      <c r="V194" s="90"/>
      <c r="W194" s="90"/>
      <c r="X194" s="90"/>
      <c r="Y194" s="90"/>
      <c r="Z194" s="90"/>
      <c r="AA194" s="90"/>
      <c r="AB194" s="90"/>
    </row>
    <row r="195" spans="1:28" ht="16">
      <c r="A195" s="125"/>
      <c r="B195" s="91" t="s">
        <v>956</v>
      </c>
      <c r="C195" s="97">
        <f>SQRT(C194^2+C191^2)</f>
        <v>5.5629025197682953</v>
      </c>
      <c r="D195" s="98" t="s">
        <v>727</v>
      </c>
      <c r="E195" s="99"/>
      <c r="F195" s="92"/>
      <c r="G195" s="93" t="b">
        <v>1</v>
      </c>
      <c r="H195" s="93"/>
      <c r="I195" s="90"/>
      <c r="J195" s="90"/>
      <c r="K195" s="90"/>
      <c r="L195" s="90"/>
      <c r="M195" s="90"/>
      <c r="N195" s="90"/>
      <c r="O195" s="90"/>
      <c r="P195" s="90"/>
      <c r="Q195" s="90"/>
      <c r="R195" s="90"/>
      <c r="S195" s="90"/>
      <c r="T195" s="90"/>
      <c r="U195" s="90"/>
      <c r="V195" s="90"/>
      <c r="W195" s="90"/>
      <c r="X195" s="90"/>
      <c r="Y195" s="90"/>
      <c r="Z195" s="90"/>
      <c r="AA195" s="90"/>
      <c r="AB195" s="90"/>
    </row>
    <row r="196" spans="1:28" ht="16">
      <c r="A196" s="125"/>
      <c r="B196" s="87" t="s">
        <v>957</v>
      </c>
      <c r="C196" s="94">
        <f>C127</f>
        <v>2.4718424222528297</v>
      </c>
      <c r="D196" s="95" t="s">
        <v>748</v>
      </c>
      <c r="E196" s="96"/>
      <c r="F196" s="88"/>
      <c r="G196" s="89" t="b">
        <v>1</v>
      </c>
      <c r="H196" s="89"/>
      <c r="I196" s="90"/>
      <c r="J196" s="90"/>
      <c r="K196" s="90"/>
      <c r="L196" s="90"/>
      <c r="M196" s="90"/>
      <c r="N196" s="90"/>
      <c r="O196" s="90"/>
      <c r="P196" s="90"/>
      <c r="Q196" s="90"/>
      <c r="R196" s="90"/>
      <c r="S196" s="90"/>
      <c r="T196" s="90"/>
      <c r="U196" s="90"/>
      <c r="V196" s="90"/>
      <c r="W196" s="90"/>
      <c r="X196" s="90"/>
      <c r="Y196" s="90"/>
      <c r="Z196" s="90"/>
      <c r="AA196" s="90"/>
      <c r="AB196" s="90"/>
    </row>
    <row r="197" spans="1:28" ht="16">
      <c r="A197" s="125"/>
      <c r="B197" s="91" t="s">
        <v>958</v>
      </c>
      <c r="C197" s="97">
        <f>DEGREES(ASIN(SQRT(C196/PI()/(PI()*(C193/2)^2))))</f>
        <v>9.8142483329323955</v>
      </c>
      <c r="D197" s="98" t="s">
        <v>752</v>
      </c>
      <c r="E197" s="99"/>
      <c r="F197" s="92"/>
      <c r="G197" s="93" t="b">
        <v>1</v>
      </c>
      <c r="H197" s="93"/>
      <c r="I197" s="90"/>
      <c r="J197" s="90"/>
      <c r="K197" s="90"/>
      <c r="L197" s="90"/>
      <c r="M197" s="90"/>
      <c r="N197" s="90"/>
      <c r="O197" s="90"/>
      <c r="P197" s="90"/>
      <c r="Q197" s="90"/>
      <c r="R197" s="90"/>
      <c r="S197" s="90"/>
      <c r="T197" s="90"/>
      <c r="U197" s="90"/>
      <c r="V197" s="90"/>
      <c r="W197" s="90"/>
      <c r="X197" s="90"/>
      <c r="Y197" s="90"/>
      <c r="Z197" s="90"/>
      <c r="AA197" s="90"/>
      <c r="AB197" s="90"/>
    </row>
    <row r="198" spans="1:28" ht="16">
      <c r="A198" s="125"/>
      <c r="B198" s="87" t="s">
        <v>959</v>
      </c>
      <c r="C198" s="94">
        <f>C105/C190</f>
        <v>0.76704545454545447</v>
      </c>
      <c r="D198" s="105" t="s">
        <v>828</v>
      </c>
      <c r="E198" s="96"/>
      <c r="F198" s="88"/>
      <c r="G198" s="89" t="b">
        <v>1</v>
      </c>
      <c r="H198" s="89"/>
      <c r="I198" s="90"/>
      <c r="J198" s="90"/>
      <c r="K198" s="90"/>
      <c r="L198" s="90"/>
      <c r="M198" s="90"/>
      <c r="N198" s="90"/>
      <c r="O198" s="90"/>
      <c r="P198" s="90"/>
      <c r="Q198" s="90"/>
      <c r="R198" s="90"/>
      <c r="S198" s="90"/>
      <c r="T198" s="90"/>
      <c r="U198" s="90"/>
      <c r="V198" s="90"/>
      <c r="W198" s="90"/>
      <c r="X198" s="90"/>
      <c r="Y198" s="90"/>
      <c r="Z198" s="90"/>
      <c r="AA198" s="90"/>
      <c r="AB198" s="90"/>
    </row>
    <row r="199" spans="1:28" ht="16">
      <c r="A199" s="125"/>
      <c r="B199" s="91" t="s">
        <v>960</v>
      </c>
      <c r="C199" s="103">
        <f>CEILING(C191/C105*1000,1)</f>
        <v>1213</v>
      </c>
      <c r="D199" s="98"/>
      <c r="E199" s="99"/>
      <c r="F199" s="92"/>
      <c r="G199" s="93" t="b">
        <v>1</v>
      </c>
      <c r="H199" s="93"/>
      <c r="I199" s="90"/>
      <c r="J199" s="90"/>
      <c r="K199" s="90"/>
      <c r="L199" s="90"/>
      <c r="M199" s="90"/>
      <c r="N199" s="90"/>
      <c r="O199" s="90"/>
      <c r="P199" s="90"/>
      <c r="Q199" s="90"/>
      <c r="R199" s="90"/>
      <c r="S199" s="90"/>
      <c r="T199" s="90"/>
      <c r="U199" s="90"/>
      <c r="V199" s="90"/>
      <c r="W199" s="90"/>
      <c r="X199" s="90"/>
      <c r="Y199" s="90"/>
      <c r="Z199" s="90"/>
      <c r="AA199" s="90"/>
      <c r="AB199" s="90"/>
    </row>
    <row r="200" spans="1:28" ht="16">
      <c r="A200" s="125"/>
      <c r="B200" s="87" t="s">
        <v>961</v>
      </c>
      <c r="C200" s="102">
        <f>CEILING(C192/C105*1000,1)</f>
        <v>483</v>
      </c>
      <c r="D200" s="95"/>
      <c r="E200" s="96"/>
      <c r="F200" s="88"/>
      <c r="G200" s="89" t="b">
        <v>1</v>
      </c>
      <c r="H200" s="89"/>
      <c r="I200" s="90"/>
      <c r="J200" s="90"/>
      <c r="K200" s="90"/>
      <c r="L200" s="90"/>
      <c r="M200" s="90"/>
      <c r="N200" s="90"/>
      <c r="O200" s="90"/>
      <c r="P200" s="90"/>
      <c r="Q200" s="90"/>
      <c r="R200" s="90"/>
      <c r="S200" s="90"/>
      <c r="T200" s="90"/>
      <c r="U200" s="90"/>
      <c r="V200" s="90"/>
      <c r="W200" s="90"/>
      <c r="X200" s="90"/>
      <c r="Y200" s="90"/>
      <c r="Z200" s="90"/>
      <c r="AA200" s="90"/>
      <c r="AB200" s="90"/>
    </row>
    <row r="201" spans="1:28" ht="16">
      <c r="A201" s="129"/>
      <c r="B201" s="91" t="s">
        <v>962</v>
      </c>
      <c r="C201" s="103">
        <f>CEILING(C194/C105*1000,1)</f>
        <v>242</v>
      </c>
      <c r="D201" s="98"/>
      <c r="E201" s="99"/>
      <c r="F201" s="92"/>
      <c r="G201" s="93" t="b">
        <v>1</v>
      </c>
      <c r="H201" s="93"/>
      <c r="I201" s="90"/>
      <c r="J201" s="90"/>
      <c r="K201" s="90"/>
      <c r="L201" s="90"/>
      <c r="M201" s="90"/>
      <c r="N201" s="90"/>
      <c r="O201" s="90"/>
      <c r="P201" s="90"/>
      <c r="Q201" s="90"/>
      <c r="R201" s="90"/>
      <c r="S201" s="90"/>
      <c r="T201" s="90"/>
      <c r="U201" s="90"/>
      <c r="V201" s="90"/>
      <c r="W201" s="90"/>
      <c r="X201" s="90"/>
      <c r="Y201" s="90"/>
      <c r="Z201" s="90"/>
      <c r="AA201" s="90"/>
      <c r="AB201" s="90"/>
    </row>
    <row r="202" spans="1:28" ht="16">
      <c r="A202" s="128" t="s">
        <v>963</v>
      </c>
      <c r="B202" s="87" t="s">
        <v>964</v>
      </c>
      <c r="C202" s="94">
        <v>0</v>
      </c>
      <c r="D202" s="95" t="s">
        <v>727</v>
      </c>
      <c r="E202" s="96"/>
      <c r="F202" s="88"/>
      <c r="G202" s="89" t="b">
        <v>1</v>
      </c>
      <c r="H202" s="89"/>
      <c r="I202" s="90"/>
      <c r="J202" s="90"/>
      <c r="K202" s="90"/>
      <c r="L202" s="90"/>
      <c r="M202" s="90"/>
      <c r="N202" s="90"/>
      <c r="O202" s="90"/>
      <c r="P202" s="90"/>
      <c r="Q202" s="90"/>
      <c r="R202" s="90"/>
      <c r="S202" s="90"/>
      <c r="T202" s="90"/>
      <c r="U202" s="90"/>
      <c r="V202" s="90"/>
      <c r="W202" s="90"/>
      <c r="X202" s="90"/>
      <c r="Y202" s="90"/>
      <c r="Z202" s="90"/>
      <c r="AA202" s="90"/>
      <c r="AB202" s="90"/>
    </row>
    <row r="203" spans="1:28" ht="16">
      <c r="A203" s="125"/>
      <c r="B203" s="91" t="s">
        <v>965</v>
      </c>
      <c r="C203" s="97">
        <f>C202</f>
        <v>0</v>
      </c>
      <c r="D203" s="98" t="s">
        <v>727</v>
      </c>
      <c r="E203" s="99"/>
      <c r="F203" s="92"/>
      <c r="G203" s="93" t="b">
        <v>0</v>
      </c>
      <c r="H203" s="93"/>
      <c r="I203" s="90"/>
      <c r="J203" s="90"/>
      <c r="K203" s="90"/>
      <c r="L203" s="90"/>
      <c r="M203" s="90"/>
      <c r="N203" s="90"/>
      <c r="O203" s="90"/>
      <c r="P203" s="90"/>
      <c r="Q203" s="90"/>
      <c r="R203" s="90"/>
      <c r="S203" s="90"/>
      <c r="T203" s="90"/>
      <c r="U203" s="90"/>
      <c r="V203" s="90"/>
      <c r="W203" s="90"/>
      <c r="X203" s="90"/>
      <c r="Y203" s="90"/>
      <c r="Z203" s="90"/>
      <c r="AA203" s="90"/>
      <c r="AB203" s="90"/>
    </row>
    <row r="204" spans="1:28" ht="16">
      <c r="A204" s="125"/>
      <c r="B204" s="87" t="s">
        <v>966</v>
      </c>
      <c r="C204" s="94">
        <f>C202+C46</f>
        <v>2</v>
      </c>
      <c r="D204" s="95" t="s">
        <v>727</v>
      </c>
      <c r="E204" s="96"/>
      <c r="F204" s="88"/>
      <c r="G204" s="89" t="b">
        <v>1</v>
      </c>
      <c r="H204" s="89"/>
      <c r="I204" s="90"/>
      <c r="J204" s="90"/>
      <c r="K204" s="90"/>
      <c r="L204" s="90"/>
      <c r="M204" s="90"/>
      <c r="N204" s="90"/>
      <c r="O204" s="90"/>
      <c r="P204" s="90"/>
      <c r="Q204" s="90"/>
      <c r="R204" s="90"/>
      <c r="S204" s="90"/>
      <c r="T204" s="90"/>
      <c r="U204" s="90"/>
      <c r="V204" s="90"/>
      <c r="W204" s="90"/>
      <c r="X204" s="90"/>
      <c r="Y204" s="90"/>
      <c r="Z204" s="90"/>
      <c r="AA204" s="90"/>
      <c r="AB204" s="90"/>
    </row>
    <row r="205" spans="1:28" ht="16">
      <c r="A205" s="125"/>
      <c r="B205" s="91" t="s">
        <v>967</v>
      </c>
      <c r="C205" s="97">
        <f>C202+C48</f>
        <v>75</v>
      </c>
      <c r="D205" s="98" t="s">
        <v>727</v>
      </c>
      <c r="E205" s="99"/>
      <c r="F205" s="92"/>
      <c r="G205" s="93" t="b">
        <v>1</v>
      </c>
      <c r="H205" s="93"/>
      <c r="I205" s="90"/>
      <c r="J205" s="90"/>
      <c r="K205" s="90"/>
      <c r="L205" s="90"/>
      <c r="M205" s="90"/>
      <c r="N205" s="90"/>
      <c r="O205" s="90"/>
      <c r="P205" s="90"/>
      <c r="Q205" s="90"/>
      <c r="R205" s="90"/>
      <c r="S205" s="90"/>
      <c r="T205" s="90"/>
      <c r="U205" s="90"/>
      <c r="V205" s="90"/>
      <c r="W205" s="90"/>
      <c r="X205" s="90"/>
      <c r="Y205" s="90"/>
      <c r="Z205" s="90"/>
      <c r="AA205" s="90"/>
      <c r="AB205" s="90"/>
    </row>
    <row r="206" spans="1:28" ht="16">
      <c r="A206" s="125"/>
      <c r="B206" s="87" t="s">
        <v>968</v>
      </c>
      <c r="C206" s="94">
        <f>C205</f>
        <v>75</v>
      </c>
      <c r="D206" s="95" t="s">
        <v>727</v>
      </c>
      <c r="E206" s="96"/>
      <c r="F206" s="88"/>
      <c r="G206" s="89" t="b">
        <v>1</v>
      </c>
      <c r="H206" s="89"/>
      <c r="I206" s="90"/>
      <c r="J206" s="90"/>
      <c r="K206" s="90"/>
      <c r="L206" s="90"/>
      <c r="M206" s="90"/>
      <c r="N206" s="90"/>
      <c r="O206" s="90"/>
      <c r="P206" s="90"/>
      <c r="Q206" s="90"/>
      <c r="R206" s="90"/>
      <c r="S206" s="90"/>
      <c r="T206" s="90"/>
      <c r="U206" s="90"/>
      <c r="V206" s="90"/>
      <c r="W206" s="90"/>
      <c r="X206" s="90"/>
      <c r="Y206" s="90"/>
      <c r="Z206" s="90"/>
      <c r="AA206" s="90"/>
      <c r="AB206" s="90"/>
    </row>
    <row r="207" spans="1:28" ht="16">
      <c r="A207" s="125"/>
      <c r="B207" s="91" t="s">
        <v>969</v>
      </c>
      <c r="C207" s="97">
        <f>C206+C132</f>
        <v>303</v>
      </c>
      <c r="D207" s="98" t="s">
        <v>727</v>
      </c>
      <c r="E207" s="99"/>
      <c r="F207" s="92"/>
      <c r="G207" s="93" t="b">
        <v>1</v>
      </c>
      <c r="H207" s="93"/>
      <c r="I207" s="90"/>
      <c r="J207" s="90"/>
      <c r="K207" s="90"/>
      <c r="L207" s="90"/>
      <c r="M207" s="90"/>
      <c r="N207" s="90"/>
      <c r="O207" s="90"/>
      <c r="P207" s="90"/>
      <c r="Q207" s="90"/>
      <c r="R207" s="90"/>
      <c r="S207" s="90"/>
      <c r="T207" s="90"/>
      <c r="U207" s="90"/>
      <c r="V207" s="90"/>
      <c r="W207" s="90"/>
      <c r="X207" s="90"/>
      <c r="Y207" s="90"/>
      <c r="Z207" s="90"/>
      <c r="AA207" s="90"/>
      <c r="AB207" s="90"/>
    </row>
    <row r="208" spans="1:28" ht="16">
      <c r="A208" s="125"/>
      <c r="B208" s="87" t="s">
        <v>970</v>
      </c>
      <c r="C208" s="94">
        <f>C207+C87</f>
        <v>340.7</v>
      </c>
      <c r="D208" s="95" t="s">
        <v>727</v>
      </c>
      <c r="E208" s="96"/>
      <c r="F208" s="88"/>
      <c r="G208" s="89" t="b">
        <v>1</v>
      </c>
      <c r="H208" s="89"/>
      <c r="I208" s="90"/>
      <c r="J208" s="90"/>
      <c r="K208" s="90"/>
      <c r="L208" s="90"/>
      <c r="M208" s="90"/>
      <c r="N208" s="90"/>
      <c r="O208" s="90"/>
      <c r="P208" s="90"/>
      <c r="Q208" s="90"/>
      <c r="R208" s="90"/>
      <c r="S208" s="90"/>
      <c r="T208" s="90"/>
      <c r="U208" s="90"/>
      <c r="V208" s="90"/>
      <c r="W208" s="90"/>
      <c r="X208" s="90"/>
      <c r="Y208" s="90"/>
      <c r="Z208" s="90"/>
      <c r="AA208" s="90"/>
      <c r="AB208" s="90"/>
    </row>
    <row r="209" spans="1:28" ht="16">
      <c r="A209" s="125"/>
      <c r="B209" s="91" t="s">
        <v>971</v>
      </c>
      <c r="C209" s="97">
        <f>C208+C85</f>
        <v>492.1</v>
      </c>
      <c r="D209" s="98" t="s">
        <v>727</v>
      </c>
      <c r="E209" s="99"/>
      <c r="F209" s="92"/>
      <c r="G209" s="93" t="b">
        <v>1</v>
      </c>
      <c r="H209" s="93"/>
      <c r="I209" s="90"/>
      <c r="J209" s="90"/>
      <c r="K209" s="90"/>
      <c r="L209" s="90"/>
      <c r="M209" s="90"/>
      <c r="N209" s="90"/>
      <c r="O209" s="90"/>
      <c r="P209" s="90"/>
      <c r="Q209" s="90"/>
      <c r="R209" s="90"/>
      <c r="S209" s="90"/>
      <c r="T209" s="90"/>
      <c r="U209" s="90"/>
      <c r="V209" s="90"/>
      <c r="W209" s="90"/>
      <c r="X209" s="90"/>
      <c r="Y209" s="90"/>
      <c r="Z209" s="90"/>
      <c r="AA209" s="90"/>
      <c r="AB209" s="90"/>
    </row>
    <row r="210" spans="1:28" ht="16">
      <c r="A210" s="125"/>
      <c r="B210" s="87" t="s">
        <v>972</v>
      </c>
      <c r="C210" s="94">
        <f>C209+C90</f>
        <v>568.42600000000004</v>
      </c>
      <c r="D210" s="95" t="s">
        <v>727</v>
      </c>
      <c r="E210" s="96"/>
      <c r="F210" s="88"/>
      <c r="G210" s="89" t="b">
        <v>1</v>
      </c>
      <c r="H210" s="89"/>
      <c r="I210" s="90"/>
      <c r="J210" s="90"/>
      <c r="K210" s="90"/>
      <c r="L210" s="90"/>
      <c r="M210" s="90"/>
      <c r="N210" s="90"/>
      <c r="O210" s="90"/>
      <c r="P210" s="90"/>
      <c r="Q210" s="90"/>
      <c r="R210" s="90"/>
      <c r="S210" s="90"/>
      <c r="T210" s="90"/>
      <c r="U210" s="90"/>
      <c r="V210" s="90"/>
      <c r="W210" s="90"/>
      <c r="X210" s="90"/>
      <c r="Y210" s="90"/>
      <c r="Z210" s="90"/>
      <c r="AA210" s="90"/>
      <c r="AB210" s="90"/>
    </row>
    <row r="211" spans="1:28" ht="16">
      <c r="A211" s="125"/>
      <c r="B211" s="91" t="s">
        <v>973</v>
      </c>
      <c r="C211" s="97">
        <f>C210+C94</f>
        <v>642.39600000000007</v>
      </c>
      <c r="D211" s="98" t="s">
        <v>727</v>
      </c>
      <c r="E211" s="99"/>
      <c r="F211" s="92"/>
      <c r="G211" s="93" t="b">
        <v>1</v>
      </c>
      <c r="H211" s="93"/>
      <c r="I211" s="90"/>
      <c r="J211" s="90"/>
      <c r="K211" s="90"/>
      <c r="L211" s="90"/>
      <c r="M211" s="90"/>
      <c r="N211" s="90"/>
      <c r="O211" s="90"/>
      <c r="P211" s="90"/>
      <c r="Q211" s="90"/>
      <c r="R211" s="90"/>
      <c r="S211" s="90"/>
      <c r="T211" s="90"/>
      <c r="U211" s="90"/>
      <c r="V211" s="90"/>
      <c r="W211" s="90"/>
      <c r="X211" s="90"/>
      <c r="Y211" s="90"/>
      <c r="Z211" s="90"/>
      <c r="AA211" s="90"/>
      <c r="AB211" s="90"/>
    </row>
    <row r="212" spans="1:28" ht="16">
      <c r="A212" s="125"/>
      <c r="B212" s="87" t="s">
        <v>974</v>
      </c>
      <c r="C212" s="94">
        <f>C211+C151</f>
        <v>808.39600000000007</v>
      </c>
      <c r="D212" s="95" t="s">
        <v>727</v>
      </c>
      <c r="E212" s="96"/>
      <c r="F212" s="88"/>
      <c r="G212" s="89" t="b">
        <v>1</v>
      </c>
      <c r="H212" s="89"/>
      <c r="I212" s="90"/>
      <c r="J212" s="90"/>
      <c r="K212" s="90"/>
      <c r="L212" s="90"/>
      <c r="M212" s="90"/>
      <c r="N212" s="90"/>
      <c r="O212" s="90"/>
      <c r="P212" s="90"/>
      <c r="Q212" s="90"/>
      <c r="R212" s="90"/>
      <c r="S212" s="90"/>
      <c r="T212" s="90"/>
      <c r="U212" s="90"/>
      <c r="V212" s="90"/>
      <c r="W212" s="90"/>
      <c r="X212" s="90"/>
      <c r="Y212" s="90"/>
      <c r="Z212" s="90"/>
      <c r="AA212" s="90"/>
      <c r="AB212" s="90"/>
    </row>
    <row r="213" spans="1:28" ht="16">
      <c r="A213" s="125"/>
      <c r="B213" s="91" t="s">
        <v>975</v>
      </c>
      <c r="C213" s="97">
        <f>C212</f>
        <v>808.39600000000007</v>
      </c>
      <c r="D213" s="98" t="s">
        <v>727</v>
      </c>
      <c r="E213" s="99"/>
      <c r="F213" s="92"/>
      <c r="G213" s="93" t="b">
        <v>1</v>
      </c>
      <c r="H213" s="93"/>
      <c r="I213" s="90"/>
      <c r="J213" s="90"/>
      <c r="K213" s="90"/>
      <c r="L213" s="90"/>
      <c r="M213" s="90"/>
      <c r="N213" s="90"/>
      <c r="O213" s="90"/>
      <c r="P213" s="90"/>
      <c r="Q213" s="90"/>
      <c r="R213" s="90"/>
      <c r="S213" s="90"/>
      <c r="T213" s="90"/>
      <c r="U213" s="90"/>
      <c r="V213" s="90"/>
      <c r="W213" s="90"/>
      <c r="X213" s="90"/>
      <c r="Y213" s="90"/>
      <c r="Z213" s="90"/>
      <c r="AA213" s="90"/>
      <c r="AB213" s="90"/>
    </row>
    <row r="214" spans="1:28" ht="16">
      <c r="A214" s="125"/>
      <c r="B214" s="87" t="s">
        <v>976</v>
      </c>
      <c r="C214" s="94">
        <f>C213+C62-C60</f>
        <v>852.84600000000012</v>
      </c>
      <c r="D214" s="95" t="s">
        <v>727</v>
      </c>
      <c r="E214" s="96"/>
      <c r="F214" s="88"/>
      <c r="G214" s="89" t="b">
        <v>1</v>
      </c>
      <c r="H214" s="89"/>
      <c r="I214" s="90"/>
      <c r="J214" s="90"/>
      <c r="K214" s="90"/>
      <c r="L214" s="90"/>
      <c r="M214" s="90"/>
      <c r="N214" s="90"/>
      <c r="O214" s="90"/>
      <c r="P214" s="90"/>
      <c r="Q214" s="90"/>
      <c r="R214" s="90"/>
      <c r="S214" s="90"/>
      <c r="T214" s="90"/>
      <c r="U214" s="90"/>
      <c r="V214" s="90"/>
      <c r="W214" s="90"/>
      <c r="X214" s="90"/>
      <c r="Y214" s="90"/>
      <c r="Z214" s="90"/>
      <c r="AA214" s="90"/>
      <c r="AB214" s="90"/>
    </row>
    <row r="215" spans="1:28" ht="16">
      <c r="A215" s="125"/>
      <c r="B215" s="91" t="s">
        <v>977</v>
      </c>
      <c r="C215" s="97">
        <f>C214+C60</f>
        <v>853.45600000000013</v>
      </c>
      <c r="D215" s="98" t="s">
        <v>727</v>
      </c>
      <c r="E215" s="99"/>
      <c r="F215" s="92"/>
      <c r="G215" s="93" t="b">
        <v>1</v>
      </c>
      <c r="H215" s="93"/>
      <c r="I215" s="90"/>
      <c r="J215" s="90"/>
      <c r="K215" s="90"/>
      <c r="L215" s="90"/>
      <c r="M215" s="90"/>
      <c r="N215" s="90"/>
      <c r="O215" s="90"/>
      <c r="P215" s="90"/>
      <c r="Q215" s="90"/>
      <c r="R215" s="90"/>
      <c r="S215" s="90"/>
      <c r="T215" s="90"/>
      <c r="U215" s="90"/>
      <c r="V215" s="90"/>
      <c r="W215" s="90"/>
      <c r="X215" s="90"/>
      <c r="Y215" s="90"/>
      <c r="Z215" s="90"/>
      <c r="AA215" s="90"/>
      <c r="AB215" s="90"/>
    </row>
    <row r="216" spans="1:28" ht="16">
      <c r="A216" s="125"/>
      <c r="B216" s="87" t="s">
        <v>978</v>
      </c>
      <c r="C216" s="94"/>
      <c r="D216" s="95"/>
      <c r="E216" s="96"/>
      <c r="F216" s="88"/>
      <c r="G216" s="89" t="b">
        <v>0</v>
      </c>
      <c r="H216" s="89"/>
      <c r="I216" s="90"/>
      <c r="J216" s="90"/>
      <c r="K216" s="90"/>
      <c r="L216" s="90"/>
      <c r="M216" s="90"/>
      <c r="N216" s="90"/>
      <c r="O216" s="90"/>
      <c r="P216" s="90"/>
      <c r="Q216" s="90"/>
      <c r="R216" s="90"/>
      <c r="S216" s="90"/>
      <c r="T216" s="90"/>
      <c r="U216" s="90"/>
      <c r="V216" s="90"/>
      <c r="W216" s="90"/>
      <c r="X216" s="90"/>
      <c r="Y216" s="90"/>
      <c r="Z216" s="90"/>
      <c r="AA216" s="90"/>
      <c r="AB216" s="90"/>
    </row>
    <row r="217" spans="1:28" ht="16">
      <c r="A217" s="125"/>
      <c r="B217" s="91" t="s">
        <v>979</v>
      </c>
      <c r="C217" s="97">
        <f>C215+C60</f>
        <v>854.06600000000014</v>
      </c>
      <c r="D217" s="98" t="s">
        <v>727</v>
      </c>
      <c r="E217" s="99"/>
      <c r="F217" s="92"/>
      <c r="G217" s="93" t="b">
        <v>1</v>
      </c>
      <c r="H217" s="93"/>
      <c r="I217" s="90"/>
      <c r="J217" s="90"/>
      <c r="K217" s="90"/>
      <c r="L217" s="90"/>
      <c r="M217" s="90"/>
      <c r="N217" s="90"/>
      <c r="O217" s="90"/>
      <c r="P217" s="90"/>
      <c r="Q217" s="90"/>
      <c r="R217" s="90"/>
      <c r="S217" s="90"/>
      <c r="T217" s="90"/>
      <c r="U217" s="90"/>
      <c r="V217" s="90"/>
      <c r="W217" s="90"/>
      <c r="X217" s="90"/>
      <c r="Y217" s="90"/>
      <c r="Z217" s="90"/>
      <c r="AA217" s="90"/>
      <c r="AB217" s="90"/>
    </row>
    <row r="218" spans="1:28" ht="16">
      <c r="A218" s="125"/>
      <c r="B218" s="87" t="s">
        <v>980</v>
      </c>
      <c r="C218" s="94">
        <f>C217+C62-C60</f>
        <v>898.51600000000019</v>
      </c>
      <c r="D218" s="95" t="s">
        <v>727</v>
      </c>
      <c r="E218" s="96"/>
      <c r="F218" s="88"/>
      <c r="G218" s="89" t="b">
        <v>1</v>
      </c>
      <c r="H218" s="89"/>
      <c r="I218" s="90"/>
      <c r="J218" s="90"/>
      <c r="K218" s="90"/>
      <c r="L218" s="90"/>
      <c r="M218" s="90"/>
      <c r="N218" s="90"/>
      <c r="O218" s="90"/>
      <c r="P218" s="90"/>
      <c r="Q218" s="90"/>
      <c r="R218" s="90"/>
      <c r="S218" s="90"/>
      <c r="T218" s="90"/>
      <c r="U218" s="90"/>
      <c r="V218" s="90"/>
      <c r="W218" s="90"/>
      <c r="X218" s="90"/>
      <c r="Y218" s="90"/>
      <c r="Z218" s="90"/>
      <c r="AA218" s="90"/>
      <c r="AB218" s="90"/>
    </row>
    <row r="219" spans="1:28" ht="16">
      <c r="A219" s="125"/>
      <c r="B219" s="91" t="s">
        <v>981</v>
      </c>
      <c r="C219" s="97">
        <f>C218</f>
        <v>898.51600000000019</v>
      </c>
      <c r="D219" s="98" t="s">
        <v>727</v>
      </c>
      <c r="E219" s="99"/>
      <c r="F219" s="92"/>
      <c r="G219" s="93" t="b">
        <v>1</v>
      </c>
      <c r="H219" s="93"/>
      <c r="I219" s="90"/>
      <c r="J219" s="90"/>
      <c r="K219" s="90"/>
      <c r="L219" s="90"/>
      <c r="M219" s="90"/>
      <c r="N219" s="90"/>
      <c r="O219" s="90"/>
      <c r="P219" s="90"/>
      <c r="Q219" s="90"/>
      <c r="R219" s="90"/>
      <c r="S219" s="90"/>
      <c r="T219" s="90"/>
      <c r="U219" s="90"/>
      <c r="V219" s="90"/>
      <c r="W219" s="90"/>
      <c r="X219" s="90"/>
      <c r="Y219" s="90"/>
      <c r="Z219" s="90"/>
      <c r="AA219" s="90"/>
      <c r="AB219" s="90"/>
    </row>
    <row r="220" spans="1:28" ht="16">
      <c r="A220" s="125"/>
      <c r="B220" s="87" t="s">
        <v>982</v>
      </c>
      <c r="C220" s="94">
        <f>C219+C166</f>
        <v>1097.5160000000001</v>
      </c>
      <c r="D220" s="95" t="s">
        <v>727</v>
      </c>
      <c r="E220" s="96"/>
      <c r="F220" s="88"/>
      <c r="G220" s="89" t="b">
        <v>1</v>
      </c>
      <c r="H220" s="89"/>
      <c r="I220" s="90"/>
      <c r="J220" s="90"/>
      <c r="K220" s="90"/>
      <c r="L220" s="90"/>
      <c r="M220" s="90"/>
      <c r="N220" s="90"/>
      <c r="O220" s="90"/>
      <c r="P220" s="90"/>
      <c r="Q220" s="90"/>
      <c r="R220" s="90"/>
      <c r="S220" s="90"/>
      <c r="T220" s="90"/>
      <c r="U220" s="90"/>
      <c r="V220" s="90"/>
      <c r="W220" s="90"/>
      <c r="X220" s="90"/>
      <c r="Y220" s="90"/>
      <c r="Z220" s="90"/>
      <c r="AA220" s="90"/>
      <c r="AB220" s="90"/>
    </row>
    <row r="221" spans="1:28" ht="16">
      <c r="A221" s="125"/>
      <c r="B221" s="91" t="s">
        <v>983</v>
      </c>
      <c r="C221" s="97">
        <f>C220+C99</f>
        <v>1161.3960000000002</v>
      </c>
      <c r="D221" s="98" t="s">
        <v>727</v>
      </c>
      <c r="E221" s="99"/>
      <c r="F221" s="92"/>
      <c r="G221" s="93" t="b">
        <v>1</v>
      </c>
      <c r="H221" s="93"/>
      <c r="I221" s="90"/>
      <c r="J221" s="90"/>
      <c r="K221" s="90"/>
      <c r="L221" s="90"/>
      <c r="M221" s="90"/>
      <c r="N221" s="90"/>
      <c r="O221" s="90"/>
      <c r="P221" s="90"/>
      <c r="Q221" s="90"/>
      <c r="R221" s="90"/>
      <c r="S221" s="90"/>
      <c r="T221" s="90"/>
      <c r="U221" s="90"/>
      <c r="V221" s="90"/>
      <c r="W221" s="90"/>
      <c r="X221" s="90"/>
      <c r="Y221" s="90"/>
      <c r="Z221" s="90"/>
      <c r="AA221" s="90"/>
      <c r="AB221" s="90"/>
    </row>
    <row r="222" spans="1:28" ht="16">
      <c r="A222" s="125"/>
      <c r="B222" s="87" t="s">
        <v>984</v>
      </c>
      <c r="C222" s="94">
        <f>C221+C97</f>
        <v>1274.5860000000002</v>
      </c>
      <c r="D222" s="95" t="s">
        <v>727</v>
      </c>
      <c r="E222" s="96"/>
      <c r="F222" s="88"/>
      <c r="G222" s="89" t="b">
        <v>1</v>
      </c>
      <c r="H222" s="89"/>
      <c r="I222" s="90"/>
      <c r="J222" s="90"/>
      <c r="K222" s="90"/>
      <c r="L222" s="90"/>
      <c r="M222" s="90"/>
      <c r="N222" s="90"/>
      <c r="O222" s="90"/>
      <c r="P222" s="90"/>
      <c r="Q222" s="90"/>
      <c r="R222" s="90"/>
      <c r="S222" s="90"/>
      <c r="T222" s="90"/>
      <c r="U222" s="90"/>
      <c r="V222" s="90"/>
      <c r="W222" s="90"/>
      <c r="X222" s="90"/>
      <c r="Y222" s="90"/>
      <c r="Z222" s="90"/>
      <c r="AA222" s="90"/>
      <c r="AB222" s="90"/>
    </row>
    <row r="223" spans="1:28" ht="16">
      <c r="A223" s="125"/>
      <c r="B223" s="91" t="s">
        <v>985</v>
      </c>
      <c r="C223" s="97">
        <f t="shared" ref="C223:C224" si="0">C222+C102</f>
        <v>1446.5160000000003</v>
      </c>
      <c r="D223" s="98" t="s">
        <v>727</v>
      </c>
      <c r="E223" s="99"/>
      <c r="F223" s="92"/>
      <c r="G223" s="93" t="b">
        <v>1</v>
      </c>
      <c r="H223" s="93"/>
      <c r="I223" s="90"/>
      <c r="J223" s="90"/>
      <c r="K223" s="90"/>
      <c r="L223" s="90"/>
      <c r="M223" s="90"/>
      <c r="N223" s="90"/>
      <c r="O223" s="90"/>
      <c r="P223" s="90"/>
      <c r="Q223" s="90"/>
      <c r="R223" s="90"/>
      <c r="S223" s="90"/>
      <c r="T223" s="90"/>
      <c r="U223" s="90"/>
      <c r="V223" s="90"/>
      <c r="W223" s="90"/>
      <c r="X223" s="90"/>
      <c r="Y223" s="90"/>
      <c r="Z223" s="90"/>
      <c r="AA223" s="90"/>
      <c r="AB223" s="90"/>
    </row>
    <row r="224" spans="1:28" ht="16">
      <c r="A224" s="125"/>
      <c r="B224" s="87" t="s">
        <v>986</v>
      </c>
      <c r="C224" s="94">
        <f t="shared" si="0"/>
        <v>1524.2360000000003</v>
      </c>
      <c r="D224" s="95" t="s">
        <v>727</v>
      </c>
      <c r="E224" s="96"/>
      <c r="F224" s="88"/>
      <c r="G224" s="89" t="b">
        <v>1</v>
      </c>
      <c r="H224" s="89"/>
      <c r="I224" s="90"/>
      <c r="J224" s="90"/>
      <c r="K224" s="90"/>
      <c r="L224" s="90"/>
      <c r="M224" s="90"/>
      <c r="N224" s="90"/>
      <c r="O224" s="90"/>
      <c r="P224" s="90"/>
      <c r="Q224" s="90"/>
      <c r="R224" s="90"/>
      <c r="S224" s="90"/>
      <c r="T224" s="90"/>
      <c r="U224" s="90"/>
      <c r="V224" s="90"/>
      <c r="W224" s="90"/>
      <c r="X224" s="90"/>
      <c r="Y224" s="90"/>
      <c r="Z224" s="90"/>
      <c r="AA224" s="90"/>
      <c r="AB224" s="90"/>
    </row>
    <row r="225" spans="1:28" ht="16">
      <c r="A225" s="125"/>
      <c r="B225" s="91" t="s">
        <v>987</v>
      </c>
      <c r="C225" s="97">
        <f>C224+C184</f>
        <v>1684.2360000000003</v>
      </c>
      <c r="D225" s="98" t="s">
        <v>727</v>
      </c>
      <c r="E225" s="99"/>
      <c r="F225" s="92"/>
      <c r="G225" s="93" t="b">
        <v>1</v>
      </c>
      <c r="H225" s="93"/>
      <c r="I225" s="90"/>
      <c r="J225" s="90"/>
      <c r="K225" s="90"/>
      <c r="L225" s="90"/>
      <c r="M225" s="90"/>
      <c r="N225" s="90"/>
      <c r="O225" s="90"/>
      <c r="P225" s="90"/>
      <c r="Q225" s="90"/>
      <c r="R225" s="90"/>
      <c r="S225" s="90"/>
      <c r="T225" s="90"/>
      <c r="U225" s="90"/>
      <c r="V225" s="90"/>
      <c r="W225" s="90"/>
      <c r="X225" s="90"/>
      <c r="Y225" s="90"/>
      <c r="Z225" s="90"/>
      <c r="AA225" s="90"/>
      <c r="AB225" s="90"/>
    </row>
    <row r="226" spans="1:28" ht="16">
      <c r="A226" s="125"/>
      <c r="B226" s="87" t="s">
        <v>988</v>
      </c>
      <c r="C226" s="94">
        <f>C225</f>
        <v>1684.2360000000003</v>
      </c>
      <c r="D226" s="95" t="s">
        <v>727</v>
      </c>
      <c r="E226" s="96"/>
      <c r="F226" s="88"/>
      <c r="G226" s="89" t="b">
        <v>1</v>
      </c>
      <c r="H226" s="89"/>
      <c r="I226" s="90"/>
      <c r="J226" s="90"/>
      <c r="K226" s="90"/>
      <c r="L226" s="90"/>
      <c r="M226" s="90"/>
      <c r="N226" s="90"/>
      <c r="O226" s="90"/>
      <c r="P226" s="90"/>
      <c r="Q226" s="90"/>
      <c r="R226" s="90"/>
      <c r="S226" s="90"/>
      <c r="T226" s="90"/>
      <c r="U226" s="90"/>
      <c r="V226" s="90"/>
      <c r="W226" s="90"/>
      <c r="X226" s="90"/>
      <c r="Y226" s="90"/>
      <c r="Z226" s="90"/>
      <c r="AA226" s="90"/>
      <c r="AB226" s="90"/>
    </row>
    <row r="227" spans="1:28" ht="16">
      <c r="A227" s="125"/>
      <c r="B227" s="91" t="s">
        <v>989</v>
      </c>
      <c r="C227" s="97">
        <f>C226+C75-C73</f>
        <v>1724.2960000000003</v>
      </c>
      <c r="D227" s="98" t="s">
        <v>727</v>
      </c>
      <c r="E227" s="99"/>
      <c r="F227" s="92"/>
      <c r="G227" s="93" t="b">
        <v>1</v>
      </c>
      <c r="H227" s="93"/>
      <c r="I227" s="90"/>
      <c r="J227" s="90"/>
      <c r="K227" s="90"/>
      <c r="L227" s="90"/>
      <c r="M227" s="90"/>
      <c r="N227" s="90"/>
      <c r="O227" s="90"/>
      <c r="P227" s="90"/>
      <c r="Q227" s="90"/>
      <c r="R227" s="90"/>
      <c r="S227" s="90"/>
      <c r="T227" s="90"/>
      <c r="U227" s="90"/>
      <c r="V227" s="90"/>
      <c r="W227" s="90"/>
      <c r="X227" s="90"/>
      <c r="Y227" s="90"/>
      <c r="Z227" s="90"/>
      <c r="AA227" s="90"/>
      <c r="AB227" s="90"/>
    </row>
    <row r="228" spans="1:28" ht="16">
      <c r="A228" s="130"/>
      <c r="B228" s="87" t="s">
        <v>990</v>
      </c>
      <c r="C228" s="94">
        <f>C227+C73</f>
        <v>1744.2960000000003</v>
      </c>
      <c r="D228" s="95" t="s">
        <v>727</v>
      </c>
      <c r="E228" s="96"/>
      <c r="F228" s="88"/>
      <c r="G228" s="89" t="b">
        <v>1</v>
      </c>
      <c r="H228" s="89"/>
      <c r="I228" s="90"/>
      <c r="J228" s="90"/>
      <c r="K228" s="90"/>
      <c r="L228" s="90"/>
      <c r="M228" s="90"/>
      <c r="N228" s="90"/>
      <c r="O228" s="90"/>
      <c r="P228" s="90"/>
      <c r="Q228" s="90"/>
      <c r="R228" s="90"/>
      <c r="S228" s="90"/>
      <c r="T228" s="90"/>
      <c r="U228" s="90"/>
      <c r="V228" s="90"/>
      <c r="W228" s="90"/>
      <c r="X228" s="90"/>
      <c r="Y228" s="90"/>
      <c r="Z228" s="90"/>
      <c r="AA228" s="90"/>
      <c r="AB228" s="90"/>
    </row>
    <row r="229" spans="1:28" ht="16">
      <c r="A229" s="128" t="s">
        <v>991</v>
      </c>
      <c r="B229" s="91" t="s">
        <v>992</v>
      </c>
      <c r="C229" s="97">
        <f>C204-C202</f>
        <v>2</v>
      </c>
      <c r="D229" s="98" t="s">
        <v>727</v>
      </c>
      <c r="E229" s="99"/>
      <c r="F229" s="92" t="str">
        <f t="shared" ref="F229:F238" si="1">SUBSTITUTE(SUBSTITUTE(SUBSTITUTE(SUBSTITUTE(B229,"{",""),".","_"),"}",""),",","_")</f>
        <v>dz_SAM_OL1_I</v>
      </c>
      <c r="G229" s="93" t="b">
        <v>1</v>
      </c>
      <c r="H229" s="93" t="s">
        <v>993</v>
      </c>
      <c r="I229" s="90" t="str">
        <f t="shared" ref="I229:I238" si="2">C229&amp;" "&amp;D229</f>
        <v>2 mm</v>
      </c>
      <c r="J229" s="90"/>
      <c r="K229" s="90"/>
      <c r="L229" s="90"/>
      <c r="M229" s="90"/>
      <c r="N229" s="90"/>
      <c r="O229" s="90"/>
      <c r="P229" s="90"/>
      <c r="Q229" s="90"/>
      <c r="R229" s="90"/>
      <c r="S229" s="90"/>
      <c r="T229" s="90"/>
      <c r="U229" s="90"/>
      <c r="V229" s="90"/>
      <c r="W229" s="90"/>
      <c r="X229" s="90"/>
      <c r="Y229" s="90"/>
      <c r="Z229" s="90"/>
      <c r="AA229" s="90"/>
      <c r="AB229" s="90"/>
    </row>
    <row r="230" spans="1:28" ht="16">
      <c r="A230" s="125"/>
      <c r="B230" s="87" t="s">
        <v>994</v>
      </c>
      <c r="C230" s="94">
        <f>C207-C205</f>
        <v>228</v>
      </c>
      <c r="D230" s="95" t="s">
        <v>727</v>
      </c>
      <c r="E230" s="96"/>
      <c r="F230" s="88" t="str">
        <f t="shared" si="1"/>
        <v>dz_OL1_P_L1_P</v>
      </c>
      <c r="G230" s="89" t="b">
        <v>1</v>
      </c>
      <c r="H230" s="89" t="s">
        <v>995</v>
      </c>
      <c r="I230" s="90" t="str">
        <f t="shared" si="2"/>
        <v>228 mm</v>
      </c>
      <c r="J230" s="90"/>
      <c r="K230" s="90"/>
      <c r="L230" s="90"/>
      <c r="M230" s="90"/>
      <c r="N230" s="90"/>
      <c r="O230" s="90"/>
      <c r="P230" s="90"/>
      <c r="Q230" s="90"/>
      <c r="R230" s="90"/>
      <c r="S230" s="90"/>
      <c r="T230" s="90"/>
      <c r="U230" s="90"/>
      <c r="V230" s="90"/>
      <c r="W230" s="90"/>
      <c r="X230" s="90"/>
      <c r="Y230" s="90"/>
      <c r="Z230" s="90"/>
      <c r="AA230" s="90"/>
      <c r="AB230" s="90"/>
    </row>
    <row r="231" spans="1:28" ht="16">
      <c r="A231" s="125"/>
      <c r="B231" s="91" t="s">
        <v>996</v>
      </c>
      <c r="C231" s="97">
        <f>C210-C208</f>
        <v>227.72600000000006</v>
      </c>
      <c r="D231" s="98" t="s">
        <v>727</v>
      </c>
      <c r="E231" s="99"/>
      <c r="F231" s="92" t="str">
        <f t="shared" si="1"/>
        <v>dz_L1_I_L2_I</v>
      </c>
      <c r="G231" s="93" t="b">
        <v>1</v>
      </c>
      <c r="H231" s="93" t="s">
        <v>997</v>
      </c>
      <c r="I231" s="90" t="str">
        <f t="shared" si="2"/>
        <v>227.726 mm</v>
      </c>
      <c r="J231" s="90"/>
      <c r="K231" s="90"/>
      <c r="L231" s="90"/>
      <c r="M231" s="90"/>
      <c r="N231" s="90"/>
      <c r="O231" s="90"/>
      <c r="P231" s="90"/>
      <c r="Q231" s="90"/>
      <c r="R231" s="90"/>
      <c r="S231" s="90"/>
      <c r="T231" s="90"/>
      <c r="U231" s="90"/>
      <c r="V231" s="90"/>
      <c r="W231" s="90"/>
      <c r="X231" s="90"/>
      <c r="Y231" s="90"/>
      <c r="Z231" s="90"/>
      <c r="AA231" s="90"/>
      <c r="AB231" s="90"/>
    </row>
    <row r="232" spans="1:28" ht="16">
      <c r="A232" s="125"/>
      <c r="B232" s="87" t="s">
        <v>998</v>
      </c>
      <c r="C232" s="94">
        <f>C213-C211</f>
        <v>166</v>
      </c>
      <c r="D232" s="95" t="s">
        <v>727</v>
      </c>
      <c r="E232" s="96"/>
      <c r="F232" s="88" t="str">
        <f t="shared" si="1"/>
        <v>dz_L2_P_OL2_P</v>
      </c>
      <c r="G232" s="89" t="b">
        <v>1</v>
      </c>
      <c r="H232" s="89" t="s">
        <v>999</v>
      </c>
      <c r="I232" s="90" t="str">
        <f t="shared" si="2"/>
        <v>166 mm</v>
      </c>
      <c r="J232" s="90"/>
      <c r="K232" s="90"/>
      <c r="L232" s="90"/>
      <c r="M232" s="90"/>
      <c r="N232" s="90"/>
      <c r="O232" s="90"/>
      <c r="P232" s="90"/>
      <c r="Q232" s="90"/>
      <c r="R232" s="90"/>
      <c r="S232" s="90"/>
      <c r="T232" s="90"/>
      <c r="U232" s="90"/>
      <c r="V232" s="90"/>
      <c r="W232" s="90"/>
      <c r="X232" s="90"/>
      <c r="Y232" s="90"/>
      <c r="Z232" s="90"/>
      <c r="AA232" s="90"/>
      <c r="AB232" s="90"/>
    </row>
    <row r="233" spans="1:28" ht="16">
      <c r="A233" s="125"/>
      <c r="B233" s="91" t="s">
        <v>1000</v>
      </c>
      <c r="C233" s="97">
        <f>C215-C214</f>
        <v>0.61000000000001364</v>
      </c>
      <c r="D233" s="98" t="s">
        <v>727</v>
      </c>
      <c r="E233" s="99"/>
      <c r="F233" s="92" t="str">
        <f t="shared" si="1"/>
        <v>dz_OL2_I_PZM</v>
      </c>
      <c r="G233" s="93" t="b">
        <v>1</v>
      </c>
      <c r="H233" s="93" t="s">
        <v>1001</v>
      </c>
      <c r="I233" s="90" t="str">
        <f t="shared" si="2"/>
        <v>0.610000000000014 mm</v>
      </c>
      <c r="J233" s="90"/>
      <c r="K233" s="90"/>
      <c r="L233" s="90"/>
      <c r="M233" s="90"/>
      <c r="N233" s="90"/>
      <c r="O233" s="90"/>
      <c r="P233" s="90"/>
      <c r="Q233" s="90"/>
      <c r="R233" s="90"/>
      <c r="S233" s="90"/>
      <c r="T233" s="90"/>
      <c r="U233" s="90"/>
      <c r="V233" s="90"/>
      <c r="W233" s="90"/>
      <c r="X233" s="90"/>
      <c r="Y233" s="90"/>
      <c r="Z233" s="90"/>
      <c r="AA233" s="90"/>
      <c r="AB233" s="90"/>
    </row>
    <row r="234" spans="1:28" ht="16">
      <c r="A234" s="125"/>
      <c r="B234" s="87" t="s">
        <v>1002</v>
      </c>
      <c r="C234" s="94">
        <f>C220-C218</f>
        <v>198.99999999999989</v>
      </c>
      <c r="D234" s="95" t="s">
        <v>727</v>
      </c>
      <c r="E234" s="96"/>
      <c r="F234" s="88" t="str">
        <f t="shared" si="1"/>
        <v>dz_OL2_P_L3_P</v>
      </c>
      <c r="G234" s="89" t="b">
        <v>1</v>
      </c>
      <c r="H234" s="89" t="s">
        <v>1003</v>
      </c>
      <c r="I234" s="90" t="str">
        <f t="shared" si="2"/>
        <v>199 mm</v>
      </c>
      <c r="J234" s="90"/>
      <c r="K234" s="90"/>
      <c r="L234" s="90"/>
      <c r="M234" s="90"/>
      <c r="N234" s="90"/>
      <c r="O234" s="90"/>
      <c r="P234" s="90"/>
      <c r="Q234" s="90"/>
      <c r="R234" s="90"/>
      <c r="S234" s="90"/>
      <c r="T234" s="90"/>
      <c r="U234" s="90"/>
      <c r="V234" s="90"/>
      <c r="W234" s="90"/>
      <c r="X234" s="90"/>
      <c r="Y234" s="90"/>
      <c r="Z234" s="90"/>
      <c r="AA234" s="90"/>
      <c r="AB234" s="90"/>
    </row>
    <row r="235" spans="1:28" ht="16">
      <c r="A235" s="125"/>
      <c r="B235" s="91" t="s">
        <v>1004</v>
      </c>
      <c r="C235" s="97">
        <f t="shared" ref="C235:C236" si="3">C222-C221</f>
        <v>113.19000000000005</v>
      </c>
      <c r="D235" s="98" t="s">
        <v>727</v>
      </c>
      <c r="E235" s="99"/>
      <c r="F235" s="92" t="str">
        <f t="shared" si="1"/>
        <v>dz_L3_I_KEM</v>
      </c>
      <c r="G235" s="93" t="b">
        <v>1</v>
      </c>
      <c r="H235" s="93" t="s">
        <v>1005</v>
      </c>
      <c r="I235" s="90" t="str">
        <f t="shared" si="2"/>
        <v>113.19 mm</v>
      </c>
      <c r="J235" s="90"/>
      <c r="K235" s="90"/>
      <c r="L235" s="90"/>
      <c r="M235" s="90"/>
      <c r="N235" s="90"/>
      <c r="O235" s="90"/>
      <c r="P235" s="90"/>
      <c r="Q235" s="90"/>
      <c r="R235" s="90"/>
      <c r="S235" s="90"/>
      <c r="T235" s="90"/>
      <c r="U235" s="90"/>
      <c r="V235" s="90"/>
      <c r="W235" s="90"/>
      <c r="X235" s="90"/>
      <c r="Y235" s="90"/>
      <c r="Z235" s="90"/>
      <c r="AA235" s="90"/>
      <c r="AB235" s="90"/>
    </row>
    <row r="236" spans="1:28" ht="16">
      <c r="A236" s="125"/>
      <c r="B236" s="87" t="s">
        <v>1006</v>
      </c>
      <c r="C236" s="94">
        <f t="shared" si="3"/>
        <v>171.93000000000006</v>
      </c>
      <c r="D236" s="95" t="s">
        <v>727</v>
      </c>
      <c r="E236" s="96"/>
      <c r="F236" s="88" t="str">
        <f t="shared" si="1"/>
        <v>dz_KEM_L4_I</v>
      </c>
      <c r="G236" s="89" t="b">
        <v>1</v>
      </c>
      <c r="H236" s="89" t="s">
        <v>1007</v>
      </c>
      <c r="I236" s="90" t="str">
        <f t="shared" si="2"/>
        <v>171.93 mm</v>
      </c>
      <c r="J236" s="90"/>
      <c r="K236" s="90"/>
      <c r="L236" s="90"/>
      <c r="M236" s="90"/>
      <c r="N236" s="90"/>
      <c r="O236" s="90"/>
      <c r="P236" s="90"/>
      <c r="Q236" s="90"/>
      <c r="R236" s="90"/>
      <c r="S236" s="90"/>
      <c r="T236" s="90"/>
      <c r="U236" s="90"/>
      <c r="V236" s="90"/>
      <c r="W236" s="90"/>
      <c r="X236" s="90"/>
      <c r="Y236" s="90"/>
      <c r="Z236" s="90"/>
      <c r="AA236" s="90"/>
      <c r="AB236" s="90"/>
    </row>
    <row r="237" spans="1:28" ht="16">
      <c r="A237" s="125"/>
      <c r="B237" s="91" t="s">
        <v>1008</v>
      </c>
      <c r="C237" s="97">
        <f>C226-C224</f>
        <v>160</v>
      </c>
      <c r="D237" s="98" t="s">
        <v>727</v>
      </c>
      <c r="E237" s="99"/>
      <c r="F237" s="92" t="str">
        <f t="shared" si="1"/>
        <v>dz_L4_P_OL3_P</v>
      </c>
      <c r="G237" s="93" t="b">
        <v>1</v>
      </c>
      <c r="H237" s="93" t="s">
        <v>1009</v>
      </c>
      <c r="I237" s="90" t="str">
        <f t="shared" si="2"/>
        <v>160 mm</v>
      </c>
      <c r="J237" s="90"/>
      <c r="K237" s="90"/>
      <c r="L237" s="90"/>
      <c r="M237" s="90"/>
      <c r="N237" s="90"/>
      <c r="O237" s="90"/>
      <c r="P237" s="90"/>
      <c r="Q237" s="90"/>
      <c r="R237" s="90"/>
      <c r="S237" s="90"/>
      <c r="T237" s="90"/>
      <c r="U237" s="90"/>
      <c r="V237" s="90"/>
      <c r="W237" s="90"/>
      <c r="X237" s="90"/>
      <c r="Y237" s="90"/>
      <c r="Z237" s="90"/>
      <c r="AA237" s="90"/>
      <c r="AB237" s="90"/>
    </row>
    <row r="238" spans="1:28" ht="16">
      <c r="A238" s="130"/>
      <c r="B238" s="87" t="s">
        <v>1010</v>
      </c>
      <c r="C238" s="94">
        <f>C228-C227</f>
        <v>20</v>
      </c>
      <c r="D238" s="95" t="s">
        <v>727</v>
      </c>
      <c r="E238" s="96"/>
      <c r="F238" s="88" t="str">
        <f t="shared" si="1"/>
        <v>dz_OL3_I_CAM</v>
      </c>
      <c r="G238" s="89" t="b">
        <v>1</v>
      </c>
      <c r="H238" s="89" t="s">
        <v>1011</v>
      </c>
      <c r="I238" s="90" t="str">
        <f t="shared" si="2"/>
        <v>20 mm</v>
      </c>
      <c r="J238" s="90"/>
      <c r="K238" s="90"/>
      <c r="L238" s="90"/>
      <c r="M238" s="90"/>
      <c r="N238" s="90"/>
      <c r="O238" s="90"/>
      <c r="P238" s="90"/>
      <c r="Q238" s="90"/>
      <c r="R238" s="90"/>
      <c r="S238" s="90"/>
      <c r="T238" s="90"/>
      <c r="U238" s="90"/>
      <c r="V238" s="90"/>
      <c r="W238" s="90"/>
      <c r="X238" s="90"/>
      <c r="Y238" s="90"/>
      <c r="Z238" s="90"/>
      <c r="AA238" s="90"/>
      <c r="AB238" s="90"/>
    </row>
    <row r="239" spans="1:28" ht="16">
      <c r="A239" s="106"/>
      <c r="B239" s="107"/>
      <c r="C239" s="108"/>
      <c r="D239" s="109"/>
      <c r="E239" s="110"/>
      <c r="F239" s="111"/>
      <c r="G239" s="112" t="b">
        <v>0</v>
      </c>
      <c r="H239" s="113"/>
      <c r="I239" s="90"/>
      <c r="J239" s="90"/>
      <c r="K239" s="90"/>
      <c r="L239" s="90"/>
      <c r="M239" s="90"/>
      <c r="N239" s="90"/>
      <c r="O239" s="90"/>
      <c r="P239" s="90"/>
      <c r="Q239" s="90"/>
      <c r="R239" s="90"/>
      <c r="S239" s="90"/>
      <c r="T239" s="90"/>
      <c r="U239" s="90"/>
      <c r="V239" s="90"/>
      <c r="W239" s="90"/>
      <c r="X239" s="90"/>
      <c r="Y239" s="90"/>
      <c r="Z239" s="90"/>
      <c r="AA239" s="90"/>
      <c r="AB239" s="90"/>
    </row>
    <row r="240" spans="1:28" ht="16">
      <c r="A240" s="128" t="s">
        <v>663</v>
      </c>
      <c r="B240" s="87" t="s">
        <v>1012</v>
      </c>
      <c r="C240" s="94">
        <v>4</v>
      </c>
      <c r="D240" s="95"/>
      <c r="E240" s="96"/>
      <c r="F240" s="88"/>
      <c r="G240" s="89" t="b">
        <v>0</v>
      </c>
      <c r="H240" s="89"/>
      <c r="I240" s="90"/>
      <c r="J240" s="90"/>
      <c r="K240" s="90"/>
      <c r="L240" s="90"/>
      <c r="M240" s="90"/>
      <c r="N240" s="90"/>
      <c r="O240" s="90"/>
      <c r="P240" s="90"/>
      <c r="Q240" s="90"/>
      <c r="R240" s="90"/>
      <c r="S240" s="90"/>
      <c r="T240" s="90"/>
      <c r="U240" s="90"/>
      <c r="V240" s="90"/>
      <c r="W240" s="90"/>
      <c r="X240" s="90"/>
      <c r="Y240" s="90"/>
      <c r="Z240" s="90"/>
      <c r="AA240" s="90"/>
      <c r="AB240" s="90"/>
    </row>
    <row r="241" spans="1:28" ht="16">
      <c r="A241" s="125"/>
      <c r="B241" s="91" t="s">
        <v>1013</v>
      </c>
      <c r="C241" s="97">
        <v>0.28000000000000003</v>
      </c>
      <c r="D241" s="98"/>
      <c r="E241" s="99"/>
      <c r="F241" s="92"/>
      <c r="G241" s="93" t="b">
        <v>0</v>
      </c>
      <c r="H241" s="93"/>
      <c r="I241" s="90"/>
      <c r="J241" s="90"/>
      <c r="K241" s="90"/>
      <c r="L241" s="90"/>
      <c r="M241" s="90"/>
      <c r="N241" s="90"/>
      <c r="O241" s="90"/>
      <c r="P241" s="90"/>
      <c r="Q241" s="90"/>
      <c r="R241" s="90"/>
      <c r="S241" s="90"/>
      <c r="T241" s="90"/>
      <c r="U241" s="90"/>
      <c r="V241" s="90"/>
      <c r="W241" s="90"/>
      <c r="X241" s="90"/>
      <c r="Y241" s="90"/>
      <c r="Z241" s="90"/>
      <c r="AA241" s="90"/>
      <c r="AB241" s="90"/>
    </row>
    <row r="242" spans="1:28" ht="16">
      <c r="A242" s="125"/>
      <c r="B242" s="87" t="s">
        <v>1014</v>
      </c>
      <c r="C242" s="94">
        <v>1</v>
      </c>
      <c r="D242" s="95"/>
      <c r="E242" s="96"/>
      <c r="F242" s="88"/>
      <c r="G242" s="89" t="b">
        <v>0</v>
      </c>
      <c r="H242" s="89"/>
      <c r="I242" s="90"/>
      <c r="J242" s="90"/>
      <c r="K242" s="90"/>
      <c r="L242" s="90"/>
      <c r="M242" s="90"/>
      <c r="N242" s="90"/>
      <c r="O242" s="90"/>
      <c r="P242" s="90"/>
      <c r="Q242" s="90"/>
      <c r="R242" s="90"/>
      <c r="S242" s="90"/>
      <c r="T242" s="90"/>
      <c r="U242" s="90"/>
      <c r="V242" s="90"/>
      <c r="W242" s="90"/>
      <c r="X242" s="90"/>
      <c r="Y242" s="90"/>
      <c r="Z242" s="90"/>
      <c r="AA242" s="90"/>
      <c r="AB242" s="90"/>
    </row>
    <row r="243" spans="1:28" ht="16">
      <c r="A243" s="125"/>
      <c r="B243" s="91" t="s">
        <v>1015</v>
      </c>
      <c r="C243" s="97">
        <v>180</v>
      </c>
      <c r="D243" s="98" t="s">
        <v>727</v>
      </c>
      <c r="E243" s="99"/>
      <c r="F243" s="92"/>
      <c r="G243" s="93" t="b">
        <v>0</v>
      </c>
      <c r="H243" s="93"/>
      <c r="I243" s="90"/>
      <c r="L243" s="90"/>
      <c r="M243" s="90"/>
      <c r="N243" s="90"/>
      <c r="O243" s="90"/>
      <c r="P243" s="90"/>
      <c r="Q243" s="90"/>
      <c r="R243" s="90"/>
      <c r="S243" s="90"/>
      <c r="T243" s="90"/>
      <c r="U243" s="90"/>
      <c r="V243" s="90"/>
      <c r="W243" s="90"/>
      <c r="X243" s="90"/>
      <c r="Y243" s="90"/>
      <c r="Z243" s="90"/>
      <c r="AA243" s="90"/>
      <c r="AB243" s="90"/>
    </row>
    <row r="244" spans="1:28" ht="16">
      <c r="A244" s="125"/>
      <c r="B244" s="87" t="s">
        <v>1016</v>
      </c>
      <c r="C244" s="94">
        <v>29.5</v>
      </c>
      <c r="D244" s="95" t="s">
        <v>727</v>
      </c>
      <c r="E244" s="96"/>
      <c r="F244" s="88"/>
      <c r="G244" s="89" t="b">
        <v>0</v>
      </c>
      <c r="H244" s="89"/>
      <c r="I244" s="90"/>
      <c r="L244" s="90"/>
      <c r="M244" s="90"/>
      <c r="N244" s="90"/>
      <c r="O244" s="90"/>
      <c r="P244" s="90"/>
      <c r="Q244" s="90"/>
      <c r="R244" s="90"/>
      <c r="S244" s="90"/>
      <c r="T244" s="90"/>
      <c r="U244" s="90"/>
      <c r="V244" s="90"/>
      <c r="W244" s="90"/>
      <c r="X244" s="90"/>
      <c r="Y244" s="90"/>
      <c r="Z244" s="90"/>
      <c r="AA244" s="90"/>
      <c r="AB244" s="90"/>
    </row>
    <row r="245" spans="1:28" ht="16">
      <c r="A245" s="125"/>
      <c r="B245" s="91" t="s">
        <v>1017</v>
      </c>
      <c r="C245" s="97">
        <v>22</v>
      </c>
      <c r="D245" s="98" t="s">
        <v>727</v>
      </c>
      <c r="E245" s="99"/>
      <c r="F245" s="92"/>
      <c r="G245" s="93" t="b">
        <v>0</v>
      </c>
      <c r="H245" s="93"/>
      <c r="I245" s="90"/>
      <c r="J245" s="90"/>
      <c r="K245" s="90"/>
      <c r="L245" s="90"/>
      <c r="M245" s="90"/>
      <c r="N245" s="90"/>
      <c r="O245" s="90"/>
      <c r="P245" s="90"/>
      <c r="Q245" s="90"/>
      <c r="R245" s="90"/>
      <c r="S245" s="90"/>
      <c r="T245" s="90"/>
      <c r="U245" s="90"/>
      <c r="V245" s="90"/>
      <c r="W245" s="90"/>
      <c r="X245" s="90"/>
      <c r="Y245" s="90"/>
      <c r="Z245" s="90"/>
      <c r="AA245" s="90"/>
      <c r="AB245" s="90"/>
    </row>
    <row r="246" spans="1:28" ht="16">
      <c r="A246" s="125"/>
      <c r="B246" s="87" t="s">
        <v>1018</v>
      </c>
      <c r="C246" s="94">
        <v>66.25</v>
      </c>
      <c r="D246" s="95" t="s">
        <v>727</v>
      </c>
      <c r="E246" s="96"/>
      <c r="F246" s="88"/>
      <c r="G246" s="89" t="b">
        <v>0</v>
      </c>
      <c r="H246" s="89"/>
      <c r="I246" s="90"/>
      <c r="J246" s="90"/>
      <c r="K246" s="90"/>
      <c r="L246" s="90"/>
      <c r="M246" s="90"/>
      <c r="N246" s="90"/>
      <c r="O246" s="90"/>
      <c r="P246" s="90"/>
      <c r="Q246" s="90"/>
      <c r="R246" s="90"/>
      <c r="S246" s="90"/>
      <c r="T246" s="90"/>
      <c r="U246" s="90"/>
      <c r="V246" s="90"/>
      <c r="W246" s="90"/>
      <c r="X246" s="90"/>
      <c r="Y246" s="90"/>
      <c r="Z246" s="90"/>
      <c r="AA246" s="90"/>
      <c r="AB246" s="90"/>
    </row>
    <row r="247" spans="1:28" ht="16">
      <c r="A247" s="125"/>
      <c r="B247" s="91" t="s">
        <v>1019</v>
      </c>
      <c r="C247" s="97">
        <f>C245/C240</f>
        <v>5.5</v>
      </c>
      <c r="D247" s="98" t="s">
        <v>727</v>
      </c>
      <c r="E247" s="99"/>
      <c r="F247" s="92" t="s">
        <v>1020</v>
      </c>
      <c r="G247" s="93" t="b">
        <v>1</v>
      </c>
      <c r="H247" s="93"/>
      <c r="I247" s="90"/>
      <c r="J247" s="90"/>
      <c r="K247" s="90"/>
      <c r="L247" s="90"/>
      <c r="M247" s="90"/>
      <c r="N247" s="90"/>
      <c r="O247" s="90"/>
      <c r="P247" s="90"/>
      <c r="Q247" s="90"/>
      <c r="R247" s="90"/>
      <c r="S247" s="90"/>
      <c r="T247" s="90"/>
      <c r="U247" s="90"/>
      <c r="V247" s="90"/>
      <c r="W247" s="90"/>
      <c r="X247" s="90"/>
      <c r="Y247" s="90"/>
      <c r="Z247" s="90"/>
      <c r="AA247" s="90"/>
      <c r="AB247" s="90"/>
    </row>
    <row r="248" spans="1:28" ht="16">
      <c r="A248" s="125"/>
      <c r="B248" s="87" t="s">
        <v>1021</v>
      </c>
      <c r="C248" s="94">
        <f>C243/C240</f>
        <v>45</v>
      </c>
      <c r="D248" s="95" t="s">
        <v>727</v>
      </c>
      <c r="E248" s="96"/>
      <c r="F248" s="88" t="s">
        <v>1022</v>
      </c>
      <c r="G248" s="89" t="b">
        <v>1</v>
      </c>
      <c r="H248" s="89"/>
      <c r="I248" s="90"/>
      <c r="J248" s="90"/>
      <c r="K248" s="90"/>
      <c r="L248" s="90"/>
      <c r="M248" s="90"/>
      <c r="N248" s="90"/>
      <c r="O248" s="90"/>
      <c r="P248" s="90"/>
      <c r="Q248" s="90"/>
      <c r="R248" s="90"/>
      <c r="S248" s="90"/>
      <c r="T248" s="90"/>
      <c r="U248" s="90"/>
      <c r="V248" s="90"/>
      <c r="W248" s="90"/>
      <c r="X248" s="90"/>
      <c r="Y248" s="90"/>
      <c r="Z248" s="90"/>
      <c r="AA248" s="90"/>
      <c r="AB248" s="90"/>
    </row>
    <row r="249" spans="1:28" ht="16">
      <c r="A249" s="125"/>
      <c r="B249" s="91" t="s">
        <v>1023</v>
      </c>
      <c r="C249" s="97">
        <f>C248*C242</f>
        <v>45</v>
      </c>
      <c r="D249" s="98" t="s">
        <v>727</v>
      </c>
      <c r="E249" s="99"/>
      <c r="F249" s="92" t="s">
        <v>1024</v>
      </c>
      <c r="G249" s="93" t="b">
        <v>1</v>
      </c>
      <c r="H249" s="93"/>
      <c r="I249" s="90"/>
      <c r="J249" s="90"/>
      <c r="K249" s="90"/>
      <c r="L249" s="90"/>
      <c r="M249" s="90"/>
      <c r="N249" s="90"/>
      <c r="O249" s="90"/>
      <c r="P249" s="90"/>
      <c r="Q249" s="90"/>
      <c r="R249" s="90"/>
      <c r="S249" s="90"/>
      <c r="T249" s="90"/>
      <c r="U249" s="90"/>
      <c r="V249" s="90"/>
      <c r="W249" s="90"/>
      <c r="X249" s="90"/>
      <c r="Y249" s="90"/>
      <c r="Z249" s="90"/>
      <c r="AA249" s="90"/>
      <c r="AB249" s="90"/>
    </row>
    <row r="250" spans="1:28" ht="16">
      <c r="A250" s="125"/>
      <c r="B250" s="87" t="s">
        <v>1025</v>
      </c>
      <c r="C250" s="94">
        <f>2*C241*C248</f>
        <v>25.200000000000003</v>
      </c>
      <c r="D250" s="95" t="s">
        <v>727</v>
      </c>
      <c r="E250" s="96"/>
      <c r="F250" s="88" t="s">
        <v>1026</v>
      </c>
      <c r="G250" s="89" t="b">
        <v>1</v>
      </c>
      <c r="H250" s="89"/>
      <c r="I250" s="90"/>
      <c r="J250" s="90"/>
      <c r="K250" s="90"/>
      <c r="L250" s="90"/>
      <c r="M250" s="90"/>
      <c r="N250" s="90"/>
      <c r="O250" s="90"/>
      <c r="P250" s="90"/>
      <c r="Q250" s="90"/>
      <c r="R250" s="90"/>
      <c r="S250" s="90"/>
      <c r="T250" s="90"/>
      <c r="U250" s="90"/>
      <c r="V250" s="90"/>
      <c r="W250" s="90"/>
      <c r="X250" s="90"/>
      <c r="Y250" s="90"/>
      <c r="Z250" s="90"/>
      <c r="AA250" s="90"/>
      <c r="AB250" s="90"/>
    </row>
    <row r="251" spans="1:28" ht="16">
      <c r="A251" s="125"/>
      <c r="B251" s="91" t="s">
        <v>1027</v>
      </c>
      <c r="C251" s="97">
        <f>(PI()*C241*C245/2/C240)^2</f>
        <v>5.8516884494058825</v>
      </c>
      <c r="D251" s="98" t="s">
        <v>748</v>
      </c>
      <c r="E251" s="99"/>
      <c r="F251" s="92" t="s">
        <v>1028</v>
      </c>
      <c r="G251" s="93" t="b">
        <v>1</v>
      </c>
      <c r="H251" s="93"/>
      <c r="I251" s="90"/>
      <c r="J251" s="90"/>
      <c r="K251" s="90"/>
      <c r="L251" s="90"/>
      <c r="M251" s="90"/>
      <c r="N251" s="90"/>
      <c r="O251" s="90"/>
      <c r="P251" s="90"/>
      <c r="Q251" s="90"/>
      <c r="R251" s="90"/>
      <c r="S251" s="90"/>
      <c r="T251" s="90"/>
      <c r="U251" s="90"/>
      <c r="V251" s="90"/>
      <c r="W251" s="90"/>
      <c r="X251" s="90"/>
      <c r="Y251" s="90"/>
      <c r="Z251" s="90"/>
      <c r="AA251" s="90"/>
      <c r="AB251" s="90"/>
    </row>
    <row r="252" spans="1:28" ht="16">
      <c r="A252" s="130"/>
      <c r="B252" s="87" t="s">
        <v>1029</v>
      </c>
      <c r="C252" s="94">
        <f>DEGREES(ASIN(C245/2/C243))</f>
        <v>3.5035917935311445</v>
      </c>
      <c r="D252" s="95" t="s">
        <v>752</v>
      </c>
      <c r="E252" s="96"/>
      <c r="F252" s="88" t="s">
        <v>1030</v>
      </c>
      <c r="G252" s="89" t="b">
        <v>1</v>
      </c>
      <c r="H252" s="89"/>
      <c r="I252" s="90"/>
      <c r="J252" s="90"/>
      <c r="K252" s="90"/>
      <c r="L252" s="90"/>
      <c r="M252" s="90"/>
      <c r="N252" s="90"/>
      <c r="O252" s="90"/>
      <c r="P252" s="90"/>
      <c r="Q252" s="90"/>
      <c r="R252" s="90"/>
      <c r="S252" s="90"/>
      <c r="T252" s="90"/>
      <c r="U252" s="90"/>
      <c r="V252" s="90"/>
      <c r="W252" s="90"/>
      <c r="X252" s="90"/>
      <c r="Y252" s="90"/>
      <c r="Z252" s="90"/>
      <c r="AA252" s="90"/>
      <c r="AB252" s="90"/>
    </row>
    <row r="253" spans="1:28" ht="16">
      <c r="A253" s="100"/>
      <c r="B253" s="91" t="s">
        <v>1031</v>
      </c>
      <c r="C253" s="97">
        <f>DEGREES(ASIN(C241))</f>
        <v>16.26020470831196</v>
      </c>
      <c r="D253" s="98" t="s">
        <v>752</v>
      </c>
      <c r="E253" s="99"/>
      <c r="F253" s="92"/>
      <c r="G253" s="93" t="b">
        <v>0</v>
      </c>
      <c r="H253" s="93"/>
      <c r="I253" s="90"/>
      <c r="J253" s="90"/>
      <c r="K253" s="90"/>
      <c r="L253" s="90"/>
      <c r="M253" s="90"/>
      <c r="N253" s="90"/>
      <c r="O253" s="90"/>
      <c r="P253" s="90"/>
      <c r="Q253" s="90"/>
      <c r="R253" s="90"/>
      <c r="S253" s="90"/>
      <c r="T253" s="90"/>
      <c r="U253" s="90"/>
      <c r="V253" s="90"/>
      <c r="W253" s="90"/>
      <c r="X253" s="90"/>
      <c r="Y253" s="90"/>
      <c r="Z253" s="90"/>
      <c r="AA253" s="90"/>
      <c r="AB253" s="90"/>
    </row>
    <row r="254" spans="1:28" ht="16">
      <c r="A254" s="100"/>
      <c r="B254" s="87" t="s">
        <v>1032</v>
      </c>
      <c r="C254" s="94">
        <f>TAN(RADIANS(C253))*C244</f>
        <v>8.6041666666666679</v>
      </c>
      <c r="D254" s="95"/>
      <c r="E254" s="96"/>
      <c r="F254" s="88"/>
      <c r="G254" s="89" t="b">
        <v>0</v>
      </c>
      <c r="H254" s="89"/>
      <c r="I254" s="90"/>
      <c r="J254" s="90"/>
      <c r="K254" s="90"/>
      <c r="L254" s="90"/>
      <c r="M254" s="90"/>
      <c r="N254" s="90"/>
      <c r="O254" s="90"/>
      <c r="P254" s="90"/>
      <c r="Q254" s="90"/>
      <c r="R254" s="90"/>
      <c r="S254" s="90"/>
      <c r="T254" s="90"/>
      <c r="U254" s="90"/>
      <c r="V254" s="90"/>
      <c r="W254" s="90"/>
      <c r="X254" s="90"/>
      <c r="Y254" s="90"/>
      <c r="Z254" s="90"/>
      <c r="AA254" s="90"/>
      <c r="AB254" s="90"/>
    </row>
    <row r="255" spans="1:28" ht="16">
      <c r="A255" s="100"/>
      <c r="B255" s="91" t="s">
        <v>1033</v>
      </c>
      <c r="C255" s="97">
        <f>2*C254+C247</f>
        <v>22.708333333333336</v>
      </c>
      <c r="D255" s="98"/>
      <c r="E255" s="99"/>
      <c r="F255" s="92"/>
      <c r="G255" s="93" t="b">
        <v>0</v>
      </c>
      <c r="H255" s="93"/>
      <c r="I255" s="90"/>
      <c r="J255" s="90"/>
      <c r="K255" s="90"/>
      <c r="L255" s="90"/>
      <c r="M255" s="90"/>
      <c r="N255" s="90"/>
      <c r="O255" s="90"/>
      <c r="P255" s="90"/>
      <c r="Q255" s="90"/>
      <c r="R255" s="90"/>
      <c r="S255" s="90"/>
      <c r="T255" s="90"/>
      <c r="U255" s="90"/>
      <c r="V255" s="90"/>
      <c r="W255" s="90"/>
      <c r="X255" s="90"/>
      <c r="Y255" s="90"/>
      <c r="Z255" s="90"/>
      <c r="AA255" s="90"/>
      <c r="AB255" s="90"/>
    </row>
    <row r="256" spans="1:28" ht="16">
      <c r="A256" s="128" t="s">
        <v>665</v>
      </c>
      <c r="B256" s="87" t="s">
        <v>1034</v>
      </c>
      <c r="C256" s="94">
        <v>200</v>
      </c>
      <c r="D256" s="95" t="s">
        <v>727</v>
      </c>
      <c r="E256" s="96"/>
      <c r="F256" s="88"/>
      <c r="G256" s="89" t="b">
        <v>0</v>
      </c>
      <c r="H256" s="89"/>
      <c r="I256" s="90"/>
      <c r="J256" s="90"/>
      <c r="K256" s="90"/>
      <c r="L256" s="90"/>
      <c r="M256" s="90"/>
      <c r="N256" s="90"/>
      <c r="O256" s="90"/>
      <c r="P256" s="90"/>
      <c r="Q256" s="90"/>
      <c r="R256" s="90"/>
      <c r="S256" s="90"/>
      <c r="T256" s="90"/>
      <c r="U256" s="90"/>
      <c r="V256" s="90"/>
      <c r="W256" s="90"/>
      <c r="X256" s="90"/>
      <c r="Y256" s="90"/>
      <c r="Z256" s="90"/>
      <c r="AA256" s="90"/>
      <c r="AB256" s="90"/>
    </row>
    <row r="257" spans="1:28" ht="16">
      <c r="A257" s="125"/>
      <c r="B257" s="114" t="s">
        <v>1035</v>
      </c>
      <c r="C257" s="97">
        <v>148</v>
      </c>
      <c r="D257" s="98" t="s">
        <v>727</v>
      </c>
      <c r="E257" s="99"/>
      <c r="F257" s="92"/>
      <c r="G257" s="93" t="b">
        <v>0</v>
      </c>
      <c r="H257" s="93"/>
      <c r="I257" s="90"/>
      <c r="J257" s="90"/>
      <c r="K257" s="90"/>
      <c r="L257" s="90"/>
      <c r="M257" s="90"/>
      <c r="N257" s="90"/>
      <c r="O257" s="90"/>
      <c r="P257" s="90"/>
      <c r="Q257" s="90"/>
      <c r="R257" s="90"/>
      <c r="S257" s="90"/>
      <c r="T257" s="90"/>
      <c r="U257" s="90"/>
      <c r="V257" s="90"/>
      <c r="W257" s="90"/>
      <c r="X257" s="90"/>
      <c r="Y257" s="90"/>
      <c r="Z257" s="90"/>
      <c r="AA257" s="90"/>
      <c r="AB257" s="90"/>
    </row>
    <row r="258" spans="1:28" ht="16">
      <c r="A258" s="125"/>
      <c r="B258" s="115" t="s">
        <v>1036</v>
      </c>
      <c r="C258" s="94">
        <v>30.023</v>
      </c>
      <c r="D258" s="95" t="s">
        <v>727</v>
      </c>
      <c r="E258" s="96"/>
      <c r="F258" s="88"/>
      <c r="G258" s="89" t="b">
        <v>0</v>
      </c>
      <c r="H258" s="89"/>
      <c r="I258" s="90"/>
      <c r="J258" s="90"/>
      <c r="K258" s="90"/>
      <c r="L258" s="90"/>
      <c r="M258" s="90"/>
      <c r="N258" s="90"/>
      <c r="O258" s="90"/>
      <c r="P258" s="90"/>
      <c r="Q258" s="90"/>
      <c r="R258" s="90"/>
      <c r="S258" s="90"/>
      <c r="T258" s="90"/>
      <c r="U258" s="90"/>
      <c r="V258" s="90"/>
      <c r="W258" s="90"/>
      <c r="X258" s="90"/>
      <c r="Y258" s="90"/>
      <c r="Z258" s="90"/>
      <c r="AA258" s="90"/>
      <c r="AB258" s="90"/>
    </row>
    <row r="259" spans="1:28" ht="16">
      <c r="A259" s="125"/>
      <c r="B259" s="114" t="s">
        <v>1037</v>
      </c>
      <c r="C259" s="97">
        <v>23.927</v>
      </c>
      <c r="D259" s="98" t="s">
        <v>727</v>
      </c>
      <c r="E259" s="99"/>
      <c r="F259" s="92"/>
      <c r="G259" s="93" t="b">
        <v>0</v>
      </c>
      <c r="H259" s="93"/>
      <c r="I259" s="90"/>
      <c r="J259" s="90"/>
      <c r="K259" s="90"/>
      <c r="L259" s="90"/>
      <c r="M259" s="90"/>
      <c r="N259" s="90"/>
      <c r="O259" s="90"/>
      <c r="P259" s="90"/>
      <c r="Q259" s="90"/>
      <c r="R259" s="90"/>
      <c r="S259" s="90"/>
      <c r="T259" s="90"/>
      <c r="U259" s="90"/>
      <c r="V259" s="90"/>
      <c r="W259" s="90"/>
      <c r="X259" s="90"/>
      <c r="Y259" s="90"/>
      <c r="Z259" s="90"/>
      <c r="AA259" s="90"/>
      <c r="AB259" s="90"/>
    </row>
    <row r="260" spans="1:28" ht="16">
      <c r="A260" s="130"/>
      <c r="B260" s="115" t="s">
        <v>1038</v>
      </c>
      <c r="C260" s="94">
        <v>28</v>
      </c>
      <c r="D260" s="95" t="s">
        <v>727</v>
      </c>
      <c r="E260" s="96"/>
      <c r="F260" s="88"/>
      <c r="G260" s="89" t="b">
        <v>0</v>
      </c>
      <c r="H260" s="89"/>
      <c r="I260" s="90"/>
      <c r="J260" s="90"/>
      <c r="K260" s="90"/>
      <c r="L260" s="90"/>
      <c r="M260" s="90"/>
      <c r="N260" s="90"/>
      <c r="O260" s="90"/>
      <c r="P260" s="90"/>
      <c r="Q260" s="90"/>
      <c r="R260" s="90"/>
      <c r="S260" s="90"/>
      <c r="T260" s="90"/>
      <c r="U260" s="90"/>
      <c r="V260" s="90"/>
      <c r="W260" s="90"/>
      <c r="X260" s="90"/>
      <c r="Y260" s="90"/>
      <c r="Z260" s="90"/>
      <c r="AA260" s="90"/>
      <c r="AB260" s="90"/>
    </row>
    <row r="261" spans="1:28" ht="16">
      <c r="A261" s="128" t="s">
        <v>669</v>
      </c>
      <c r="B261" s="91" t="s">
        <v>1039</v>
      </c>
      <c r="C261" s="97">
        <v>70</v>
      </c>
      <c r="D261" s="98" t="s">
        <v>727</v>
      </c>
      <c r="E261" s="99"/>
      <c r="F261" s="92"/>
      <c r="G261" s="93" t="b">
        <v>0</v>
      </c>
      <c r="H261" s="93"/>
      <c r="I261" s="90"/>
      <c r="J261" s="90"/>
      <c r="K261" s="90"/>
      <c r="L261" s="90"/>
      <c r="M261" s="90"/>
      <c r="N261" s="90"/>
      <c r="O261" s="90"/>
      <c r="P261" s="90"/>
      <c r="Q261" s="90"/>
      <c r="R261" s="90"/>
      <c r="S261" s="90"/>
      <c r="T261" s="90"/>
      <c r="U261" s="90"/>
      <c r="V261" s="90"/>
      <c r="W261" s="90"/>
      <c r="X261" s="90"/>
      <c r="Y261" s="90"/>
      <c r="Z261" s="90"/>
      <c r="AA261" s="90"/>
      <c r="AB261" s="90"/>
    </row>
    <row r="262" spans="1:28" ht="16">
      <c r="A262" s="125"/>
      <c r="B262" s="87" t="s">
        <v>1035</v>
      </c>
      <c r="C262" s="94">
        <f>54+6</f>
        <v>60</v>
      </c>
      <c r="D262" s="95" t="s">
        <v>727</v>
      </c>
      <c r="E262" s="96"/>
      <c r="F262" s="88"/>
      <c r="G262" s="89" t="b">
        <v>0</v>
      </c>
      <c r="H262" s="89"/>
      <c r="I262" s="90"/>
      <c r="J262" s="90"/>
      <c r="K262" s="90"/>
      <c r="L262" s="90"/>
      <c r="M262" s="90"/>
      <c r="N262" s="90"/>
      <c r="O262" s="90"/>
      <c r="P262" s="90"/>
      <c r="Q262" s="90"/>
      <c r="R262" s="90"/>
      <c r="S262" s="90"/>
      <c r="T262" s="90"/>
      <c r="U262" s="90"/>
      <c r="V262" s="90"/>
      <c r="W262" s="90"/>
      <c r="X262" s="90"/>
      <c r="Y262" s="90"/>
      <c r="Z262" s="90"/>
      <c r="AA262" s="90"/>
      <c r="AB262" s="90"/>
    </row>
    <row r="263" spans="1:28" ht="16">
      <c r="A263" s="125"/>
      <c r="B263" s="91" t="s">
        <v>1040</v>
      </c>
      <c r="C263" s="97">
        <v>58</v>
      </c>
      <c r="D263" s="98" t="s">
        <v>727</v>
      </c>
      <c r="E263" s="99"/>
      <c r="F263" s="92"/>
      <c r="G263" s="93" t="b">
        <v>0</v>
      </c>
      <c r="H263" s="93"/>
      <c r="I263" s="90"/>
      <c r="J263" s="90"/>
      <c r="K263" s="90"/>
      <c r="L263" s="90"/>
      <c r="M263" s="90"/>
      <c r="N263" s="90"/>
      <c r="O263" s="90"/>
      <c r="P263" s="90"/>
      <c r="Q263" s="90"/>
      <c r="R263" s="90"/>
      <c r="S263" s="90"/>
      <c r="T263" s="90"/>
      <c r="U263" s="90"/>
      <c r="V263" s="90"/>
      <c r="W263" s="90"/>
      <c r="X263" s="90"/>
      <c r="Y263" s="90"/>
      <c r="Z263" s="90"/>
      <c r="AA263" s="90"/>
      <c r="AB263" s="90"/>
    </row>
    <row r="264" spans="1:28" ht="16">
      <c r="A264" s="125"/>
      <c r="B264" s="87" t="s">
        <v>1041</v>
      </c>
      <c r="C264" s="94">
        <f>C263+6</f>
        <v>64</v>
      </c>
      <c r="D264" s="95" t="s">
        <v>727</v>
      </c>
      <c r="E264" s="96"/>
      <c r="F264" s="88"/>
      <c r="G264" s="89" t="b">
        <v>0</v>
      </c>
      <c r="H264" s="89"/>
      <c r="I264" s="90"/>
      <c r="J264" s="90"/>
      <c r="K264" s="90"/>
      <c r="L264" s="90"/>
      <c r="M264" s="90"/>
      <c r="N264" s="90"/>
      <c r="O264" s="90"/>
      <c r="P264" s="90"/>
      <c r="Q264" s="90"/>
      <c r="R264" s="90"/>
      <c r="S264" s="90"/>
      <c r="T264" s="90"/>
      <c r="U264" s="90"/>
      <c r="V264" s="90"/>
      <c r="W264" s="90"/>
      <c r="X264" s="90"/>
      <c r="Y264" s="90"/>
      <c r="Z264" s="90"/>
      <c r="AA264" s="90"/>
      <c r="AB264" s="90"/>
    </row>
    <row r="265" spans="1:28" ht="16">
      <c r="A265" s="125"/>
      <c r="B265" s="91" t="s">
        <v>1042</v>
      </c>
      <c r="C265" s="97">
        <f>C263-6</f>
        <v>52</v>
      </c>
      <c r="D265" s="98" t="s">
        <v>727</v>
      </c>
      <c r="E265" s="99"/>
      <c r="F265" s="92"/>
      <c r="G265" s="93" t="b">
        <v>0</v>
      </c>
      <c r="H265" s="93"/>
      <c r="I265" s="90"/>
      <c r="J265" s="90"/>
      <c r="K265" s="90"/>
      <c r="L265" s="90"/>
      <c r="M265" s="90"/>
      <c r="N265" s="90"/>
      <c r="O265" s="90"/>
      <c r="P265" s="90"/>
      <c r="Q265" s="90"/>
      <c r="R265" s="90"/>
      <c r="S265" s="90"/>
      <c r="T265" s="90"/>
      <c r="U265" s="90"/>
      <c r="V265" s="90"/>
      <c r="W265" s="90"/>
      <c r="X265" s="90"/>
      <c r="Y265" s="90"/>
      <c r="Z265" s="90"/>
      <c r="AA265" s="90"/>
      <c r="AB265" s="90"/>
    </row>
    <row r="266" spans="1:28" ht="16">
      <c r="A266" s="125"/>
      <c r="B266" s="87" t="s">
        <v>1036</v>
      </c>
      <c r="C266" s="94">
        <v>30</v>
      </c>
      <c r="D266" s="95" t="s">
        <v>727</v>
      </c>
      <c r="E266" s="96"/>
      <c r="F266" s="88"/>
      <c r="G266" s="89" t="b">
        <v>0</v>
      </c>
      <c r="H266" s="89"/>
      <c r="I266" s="90"/>
      <c r="J266" s="90"/>
      <c r="K266" s="90"/>
      <c r="L266" s="90"/>
      <c r="M266" s="90"/>
      <c r="N266" s="90"/>
      <c r="O266" s="90"/>
      <c r="P266" s="90"/>
      <c r="Q266" s="90"/>
      <c r="R266" s="90"/>
      <c r="S266" s="90"/>
      <c r="T266" s="90"/>
      <c r="U266" s="90"/>
      <c r="V266" s="90"/>
      <c r="W266" s="90"/>
      <c r="X266" s="90"/>
      <c r="Y266" s="90"/>
      <c r="Z266" s="90"/>
      <c r="AA266" s="90"/>
      <c r="AB266" s="90"/>
    </row>
    <row r="267" spans="1:28" ht="16">
      <c r="A267" s="125"/>
      <c r="B267" s="91" t="s">
        <v>1037</v>
      </c>
      <c r="C267" s="97">
        <v>36</v>
      </c>
      <c r="D267" s="98" t="s">
        <v>727</v>
      </c>
      <c r="E267" s="99"/>
      <c r="F267" s="92"/>
      <c r="G267" s="93" t="b">
        <v>0</v>
      </c>
      <c r="H267" s="93"/>
      <c r="I267" s="90"/>
      <c r="J267" s="90"/>
      <c r="K267" s="90"/>
      <c r="L267" s="90"/>
      <c r="M267" s="90"/>
      <c r="N267" s="90"/>
      <c r="O267" s="90"/>
      <c r="P267" s="90"/>
      <c r="Q267" s="90"/>
      <c r="R267" s="90"/>
      <c r="S267" s="90"/>
      <c r="T267" s="90"/>
      <c r="U267" s="90"/>
      <c r="V267" s="90"/>
      <c r="W267" s="90"/>
      <c r="X267" s="90"/>
      <c r="Y267" s="90"/>
      <c r="Z267" s="90"/>
      <c r="AA267" s="90"/>
      <c r="AB267" s="90"/>
    </row>
    <row r="268" spans="1:28" ht="16">
      <c r="A268" s="125"/>
      <c r="B268" s="87" t="s">
        <v>1043</v>
      </c>
      <c r="C268" s="94">
        <v>4</v>
      </c>
      <c r="D268" s="95" t="s">
        <v>727</v>
      </c>
      <c r="E268" s="96"/>
      <c r="F268" s="88"/>
      <c r="G268" s="89" t="b">
        <v>0</v>
      </c>
      <c r="H268" s="89"/>
      <c r="I268" s="90"/>
      <c r="J268" s="90"/>
      <c r="K268" s="90"/>
      <c r="L268" s="90"/>
      <c r="M268" s="90"/>
      <c r="N268" s="90"/>
      <c r="O268" s="90"/>
      <c r="P268" s="90"/>
      <c r="Q268" s="90"/>
      <c r="R268" s="90"/>
      <c r="S268" s="90"/>
      <c r="T268" s="90"/>
      <c r="U268" s="90"/>
      <c r="V268" s="90"/>
      <c r="W268" s="90"/>
      <c r="X268" s="90"/>
      <c r="Y268" s="90"/>
      <c r="Z268" s="90"/>
      <c r="AA268" s="90"/>
      <c r="AB268" s="90"/>
    </row>
    <row r="269" spans="1:28" ht="16">
      <c r="A269" s="129"/>
      <c r="B269" s="91" t="s">
        <v>1038</v>
      </c>
      <c r="C269" s="97">
        <f>61.5-6</f>
        <v>55.5</v>
      </c>
      <c r="D269" s="98" t="s">
        <v>727</v>
      </c>
      <c r="E269" s="99"/>
      <c r="F269" s="92"/>
      <c r="G269" s="93" t="b">
        <v>0</v>
      </c>
      <c r="H269" s="93"/>
      <c r="I269" s="90"/>
      <c r="J269" s="90"/>
      <c r="K269" s="90"/>
      <c r="L269" s="90"/>
      <c r="M269" s="90"/>
      <c r="N269" s="90"/>
      <c r="O269" s="90"/>
      <c r="P269" s="90"/>
      <c r="Q269" s="90"/>
      <c r="R269" s="90"/>
      <c r="S269" s="90"/>
      <c r="T269" s="90"/>
      <c r="U269" s="90"/>
      <c r="V269" s="90"/>
      <c r="W269" s="90"/>
      <c r="X269" s="90"/>
      <c r="Y269" s="90"/>
      <c r="Z269" s="90"/>
      <c r="AA269" s="90"/>
      <c r="AB269" s="90"/>
    </row>
    <row r="270" spans="1:28" ht="16">
      <c r="A270" s="128" t="s">
        <v>673</v>
      </c>
      <c r="B270" s="87" t="s">
        <v>1044</v>
      </c>
      <c r="C270" s="94">
        <v>100.1</v>
      </c>
      <c r="D270" s="95" t="s">
        <v>727</v>
      </c>
      <c r="E270" s="96"/>
      <c r="F270" s="88"/>
      <c r="G270" s="89" t="b">
        <v>0</v>
      </c>
      <c r="H270" s="89"/>
      <c r="I270" s="90"/>
      <c r="J270" s="90"/>
      <c r="K270" s="90"/>
      <c r="L270" s="90"/>
      <c r="M270" s="90"/>
      <c r="N270" s="90"/>
      <c r="O270" s="90"/>
      <c r="P270" s="90"/>
      <c r="Q270" s="90"/>
      <c r="R270" s="90"/>
      <c r="S270" s="90"/>
      <c r="T270" s="90"/>
      <c r="U270" s="90"/>
      <c r="V270" s="90"/>
      <c r="W270" s="90"/>
      <c r="X270" s="90"/>
      <c r="Y270" s="90"/>
      <c r="Z270" s="90"/>
      <c r="AA270" s="90"/>
      <c r="AB270" s="90"/>
    </row>
    <row r="271" spans="1:28" ht="16">
      <c r="A271" s="125"/>
      <c r="B271" s="91" t="s">
        <v>1045</v>
      </c>
      <c r="C271" s="97">
        <v>97.2</v>
      </c>
      <c r="D271" s="98" t="s">
        <v>727</v>
      </c>
      <c r="E271" s="99"/>
      <c r="F271" s="92"/>
      <c r="G271" s="93" t="b">
        <v>0</v>
      </c>
      <c r="H271" s="93"/>
      <c r="I271" s="90"/>
      <c r="J271" s="90"/>
      <c r="K271" s="90"/>
      <c r="L271" s="90"/>
      <c r="M271" s="90"/>
      <c r="N271" s="90"/>
      <c r="O271" s="90"/>
      <c r="P271" s="90"/>
      <c r="Q271" s="90"/>
      <c r="R271" s="90"/>
      <c r="S271" s="90"/>
      <c r="T271" s="90"/>
      <c r="U271" s="90"/>
      <c r="V271" s="90"/>
      <c r="W271" s="90"/>
      <c r="X271" s="90"/>
      <c r="Y271" s="90"/>
      <c r="Z271" s="90"/>
      <c r="AA271" s="90"/>
      <c r="AB271" s="90"/>
    </row>
    <row r="272" spans="1:28" ht="16">
      <c r="A272" s="125"/>
      <c r="B272" s="87" t="s">
        <v>1046</v>
      </c>
      <c r="C272" s="94">
        <v>22.86</v>
      </c>
      <c r="D272" s="95" t="s">
        <v>727</v>
      </c>
      <c r="E272" s="96"/>
      <c r="F272" s="88"/>
      <c r="G272" s="89" t="b">
        <v>0</v>
      </c>
      <c r="H272" s="89"/>
      <c r="I272" s="90"/>
      <c r="J272" s="90"/>
      <c r="K272" s="90"/>
      <c r="L272" s="90"/>
      <c r="M272" s="90"/>
      <c r="N272" s="90"/>
      <c r="O272" s="90"/>
      <c r="P272" s="90"/>
      <c r="Q272" s="90"/>
      <c r="R272" s="90"/>
      <c r="S272" s="90"/>
      <c r="T272" s="90"/>
      <c r="U272" s="90"/>
      <c r="V272" s="90"/>
      <c r="W272" s="90"/>
      <c r="X272" s="90"/>
      <c r="Y272" s="90"/>
      <c r="Z272" s="90"/>
      <c r="AA272" s="90"/>
      <c r="AB272" s="90"/>
    </row>
    <row r="273" spans="1:28" ht="16">
      <c r="A273" s="129"/>
      <c r="B273" s="91" t="s">
        <v>1038</v>
      </c>
      <c r="C273" s="97">
        <v>6.5</v>
      </c>
      <c r="D273" s="98" t="s">
        <v>727</v>
      </c>
      <c r="E273" s="99"/>
      <c r="F273" s="92"/>
      <c r="G273" s="93" t="b">
        <v>0</v>
      </c>
      <c r="H273" s="93"/>
      <c r="I273" s="90"/>
      <c r="J273" s="90"/>
      <c r="K273" s="90"/>
      <c r="L273" s="90"/>
      <c r="M273" s="90"/>
      <c r="N273" s="90"/>
      <c r="O273" s="90"/>
      <c r="P273" s="90"/>
      <c r="Q273" s="90"/>
      <c r="R273" s="90"/>
      <c r="S273" s="90"/>
      <c r="T273" s="90"/>
      <c r="U273" s="90"/>
      <c r="V273" s="90"/>
      <c r="W273" s="90"/>
      <c r="X273" s="90"/>
      <c r="Y273" s="90"/>
      <c r="Z273" s="90"/>
      <c r="AA273" s="90"/>
      <c r="AB273" s="90"/>
    </row>
    <row r="274" spans="1:28" ht="16">
      <c r="A274" s="128" t="s">
        <v>675</v>
      </c>
      <c r="B274" s="87" t="s">
        <v>1047</v>
      </c>
      <c r="C274" s="94">
        <v>75</v>
      </c>
      <c r="D274" s="95" t="s">
        <v>727</v>
      </c>
      <c r="E274" s="96"/>
      <c r="F274" s="88"/>
      <c r="G274" s="89" t="b">
        <v>0</v>
      </c>
      <c r="H274" s="89"/>
      <c r="I274" s="90"/>
      <c r="J274" s="90"/>
      <c r="K274" s="90"/>
      <c r="L274" s="90"/>
      <c r="M274" s="90"/>
      <c r="N274" s="90"/>
      <c r="O274" s="90"/>
      <c r="P274" s="90"/>
      <c r="Q274" s="90"/>
      <c r="R274" s="90"/>
      <c r="S274" s="90"/>
      <c r="T274" s="90"/>
      <c r="U274" s="90"/>
      <c r="V274" s="90"/>
      <c r="W274" s="90"/>
      <c r="X274" s="90"/>
      <c r="Y274" s="90"/>
      <c r="Z274" s="90"/>
      <c r="AA274" s="90"/>
      <c r="AB274" s="90"/>
    </row>
    <row r="275" spans="1:28" ht="16">
      <c r="A275" s="125"/>
      <c r="B275" s="91" t="s">
        <v>1045</v>
      </c>
      <c r="C275" s="97">
        <v>72.900000000000006</v>
      </c>
      <c r="D275" s="98" t="s">
        <v>727</v>
      </c>
      <c r="E275" s="99"/>
      <c r="F275" s="92"/>
      <c r="G275" s="93" t="b">
        <v>0</v>
      </c>
      <c r="H275" s="93"/>
      <c r="I275" s="90"/>
      <c r="J275" s="90"/>
      <c r="K275" s="90"/>
      <c r="L275" s="90"/>
      <c r="M275" s="90"/>
      <c r="N275" s="90"/>
      <c r="O275" s="90"/>
      <c r="P275" s="90"/>
      <c r="Q275" s="90"/>
      <c r="R275" s="90"/>
      <c r="S275" s="90"/>
      <c r="T275" s="90"/>
      <c r="U275" s="90"/>
      <c r="V275" s="90"/>
      <c r="W275" s="90"/>
      <c r="X275" s="90"/>
      <c r="Y275" s="90"/>
      <c r="Z275" s="90"/>
      <c r="AA275" s="90"/>
      <c r="AB275" s="90"/>
    </row>
    <row r="276" spans="1:28" ht="16">
      <c r="A276" s="125"/>
      <c r="B276" s="87" t="s">
        <v>1046</v>
      </c>
      <c r="C276" s="94">
        <v>11.43</v>
      </c>
      <c r="D276" s="95" t="s">
        <v>727</v>
      </c>
      <c r="E276" s="96"/>
      <c r="F276" s="88"/>
      <c r="G276" s="89" t="b">
        <v>0</v>
      </c>
      <c r="H276" s="89"/>
      <c r="I276" s="90"/>
      <c r="J276" s="90"/>
      <c r="K276" s="90"/>
      <c r="L276" s="90"/>
      <c r="M276" s="90"/>
      <c r="N276" s="90"/>
      <c r="O276" s="90"/>
      <c r="P276" s="90"/>
      <c r="Q276" s="90"/>
      <c r="R276" s="90"/>
      <c r="S276" s="90"/>
      <c r="T276" s="90"/>
      <c r="U276" s="90"/>
      <c r="V276" s="90"/>
      <c r="W276" s="90"/>
      <c r="X276" s="90"/>
      <c r="Y276" s="90"/>
      <c r="Z276" s="90"/>
      <c r="AA276" s="90"/>
      <c r="AB276" s="90"/>
    </row>
    <row r="277" spans="1:28" ht="16">
      <c r="A277" s="129"/>
      <c r="B277" s="91" t="s">
        <v>1038</v>
      </c>
      <c r="C277" s="97">
        <v>4</v>
      </c>
      <c r="D277" s="98" t="s">
        <v>727</v>
      </c>
      <c r="E277" s="99"/>
      <c r="F277" s="92"/>
      <c r="G277" s="93" t="b">
        <v>0</v>
      </c>
      <c r="H277" s="93"/>
      <c r="I277" s="90"/>
      <c r="J277" s="90"/>
      <c r="K277" s="90"/>
      <c r="L277" s="90"/>
      <c r="M277" s="90"/>
      <c r="N277" s="90"/>
      <c r="O277" s="90"/>
      <c r="P277" s="90"/>
      <c r="Q277" s="90"/>
      <c r="R277" s="90"/>
      <c r="S277" s="90"/>
      <c r="T277" s="90"/>
      <c r="U277" s="90"/>
      <c r="V277" s="90"/>
      <c r="W277" s="90"/>
      <c r="X277" s="90"/>
      <c r="Y277" s="90"/>
      <c r="Z277" s="90"/>
      <c r="AA277" s="90"/>
      <c r="AB277" s="90"/>
    </row>
    <row r="278" spans="1:28" ht="16">
      <c r="A278" s="128" t="s">
        <v>677</v>
      </c>
      <c r="B278" s="87" t="s">
        <v>1048</v>
      </c>
      <c r="C278" s="94">
        <f>5/2</f>
        <v>2.5</v>
      </c>
      <c r="D278" s="95" t="s">
        <v>752</v>
      </c>
      <c r="E278" s="96"/>
      <c r="F278" s="88" t="s">
        <v>1049</v>
      </c>
      <c r="G278" s="89" t="b">
        <v>0</v>
      </c>
      <c r="H278" s="89"/>
      <c r="I278" s="90"/>
      <c r="J278" s="90"/>
      <c r="K278" s="90"/>
      <c r="L278" s="90"/>
      <c r="M278" s="90"/>
      <c r="N278" s="90"/>
      <c r="O278" s="90"/>
      <c r="P278" s="90"/>
      <c r="Q278" s="90"/>
      <c r="R278" s="90"/>
      <c r="S278" s="90"/>
      <c r="T278" s="90"/>
      <c r="U278" s="90"/>
      <c r="V278" s="90"/>
      <c r="W278" s="90"/>
      <c r="X278" s="90"/>
      <c r="Y278" s="90"/>
      <c r="Z278" s="90"/>
      <c r="AA278" s="90"/>
      <c r="AB278" s="90"/>
    </row>
    <row r="279" spans="1:28" ht="16">
      <c r="A279" s="125"/>
      <c r="B279" s="91" t="s">
        <v>1050</v>
      </c>
      <c r="C279" s="97">
        <v>7.6203820000000002</v>
      </c>
      <c r="D279" s="98" t="s">
        <v>727</v>
      </c>
      <c r="E279" s="99"/>
      <c r="F279" s="92"/>
      <c r="G279" s="93" t="b">
        <v>0</v>
      </c>
      <c r="H279" s="93"/>
      <c r="I279" s="90"/>
      <c r="J279" s="90"/>
      <c r="K279" s="90"/>
      <c r="L279" s="90"/>
      <c r="M279" s="90"/>
      <c r="N279" s="90"/>
      <c r="O279" s="90"/>
      <c r="P279" s="90"/>
      <c r="Q279" s="90"/>
      <c r="R279" s="90"/>
      <c r="S279" s="90"/>
      <c r="T279" s="90"/>
      <c r="U279" s="90"/>
      <c r="V279" s="90"/>
      <c r="W279" s="90"/>
      <c r="X279" s="90"/>
      <c r="Y279" s="90"/>
      <c r="Z279" s="90"/>
      <c r="AA279" s="90"/>
      <c r="AB279" s="90"/>
    </row>
    <row r="280" spans="1:28" ht="16">
      <c r="A280" s="125"/>
      <c r="B280" s="87" t="s">
        <v>1051</v>
      </c>
      <c r="C280" s="94">
        <v>8.89</v>
      </c>
      <c r="D280" s="95" t="s">
        <v>727</v>
      </c>
      <c r="E280" s="96"/>
      <c r="F280" s="88"/>
      <c r="G280" s="89" t="b">
        <v>0</v>
      </c>
      <c r="H280" s="89"/>
      <c r="I280" s="90"/>
      <c r="J280" s="90"/>
      <c r="K280" s="90"/>
      <c r="L280" s="90"/>
      <c r="M280" s="90"/>
      <c r="N280" s="90"/>
      <c r="O280" s="90"/>
      <c r="P280" s="90"/>
      <c r="Q280" s="90"/>
      <c r="R280" s="90"/>
      <c r="S280" s="90"/>
      <c r="T280" s="90"/>
      <c r="U280" s="90"/>
      <c r="V280" s="90"/>
      <c r="W280" s="90"/>
      <c r="X280" s="90"/>
      <c r="Y280" s="90"/>
      <c r="Z280" s="90"/>
      <c r="AA280" s="90"/>
      <c r="AB280" s="90"/>
    </row>
    <row r="281" spans="1:28" ht="16">
      <c r="A281" s="129"/>
      <c r="B281" s="91" t="s">
        <v>1052</v>
      </c>
      <c r="C281" s="97">
        <v>0.84</v>
      </c>
      <c r="D281" s="98" t="s">
        <v>727</v>
      </c>
      <c r="E281" s="99"/>
      <c r="F281" s="92" t="s">
        <v>1053</v>
      </c>
      <c r="G281" s="93" t="b">
        <v>0</v>
      </c>
      <c r="H281" s="93"/>
      <c r="I281" s="90"/>
      <c r="J281" s="90"/>
      <c r="K281" s="90"/>
      <c r="L281" s="90"/>
      <c r="M281" s="90"/>
      <c r="N281" s="90"/>
      <c r="O281" s="90"/>
      <c r="P281" s="90"/>
      <c r="Q281" s="90"/>
      <c r="R281" s="90"/>
      <c r="S281" s="90"/>
      <c r="T281" s="90"/>
      <c r="U281" s="90"/>
      <c r="V281" s="90"/>
      <c r="W281" s="90"/>
      <c r="X281" s="90"/>
      <c r="Y281" s="90"/>
      <c r="Z281" s="90"/>
      <c r="AA281" s="90"/>
      <c r="AB281" s="90"/>
    </row>
    <row r="282" spans="1:28" ht="16">
      <c r="A282" s="128" t="s">
        <v>679</v>
      </c>
      <c r="B282" s="87" t="s">
        <v>1054</v>
      </c>
      <c r="C282" s="94">
        <v>7.5</v>
      </c>
      <c r="D282" s="95" t="s">
        <v>727</v>
      </c>
      <c r="E282" s="96"/>
      <c r="F282" s="88" t="s">
        <v>1055</v>
      </c>
      <c r="G282" s="89" t="b">
        <v>0</v>
      </c>
      <c r="H282" s="89"/>
      <c r="I282" s="90"/>
      <c r="J282" s="90"/>
      <c r="K282" s="90"/>
      <c r="L282" s="90"/>
      <c r="M282" s="90"/>
      <c r="N282" s="90"/>
      <c r="O282" s="90"/>
      <c r="P282" s="90"/>
      <c r="Q282" s="90"/>
      <c r="R282" s="90"/>
      <c r="S282" s="90"/>
      <c r="T282" s="90"/>
      <c r="U282" s="90"/>
      <c r="V282" s="90"/>
      <c r="W282" s="90"/>
      <c r="X282" s="90"/>
      <c r="Y282" s="90"/>
      <c r="Z282" s="90"/>
      <c r="AA282" s="90"/>
      <c r="AB282" s="90"/>
    </row>
    <row r="283" spans="1:28" ht="16">
      <c r="A283" s="125"/>
      <c r="B283" s="91" t="s">
        <v>1056</v>
      </c>
      <c r="C283" s="97">
        <v>4.5</v>
      </c>
      <c r="D283" s="98" t="s">
        <v>727</v>
      </c>
      <c r="E283" s="99"/>
      <c r="F283" s="92"/>
      <c r="G283" s="93" t="b">
        <v>0</v>
      </c>
      <c r="H283" s="93"/>
      <c r="I283" s="90"/>
      <c r="J283" s="90"/>
      <c r="K283" s="90"/>
      <c r="L283" s="90"/>
      <c r="M283" s="90"/>
      <c r="N283" s="90"/>
      <c r="O283" s="90"/>
      <c r="P283" s="90"/>
      <c r="Q283" s="90"/>
      <c r="R283" s="90"/>
      <c r="S283" s="90"/>
      <c r="T283" s="90"/>
      <c r="U283" s="90"/>
      <c r="V283" s="90"/>
      <c r="W283" s="90"/>
      <c r="X283" s="90"/>
      <c r="Y283" s="90"/>
      <c r="Z283" s="90"/>
      <c r="AA283" s="90"/>
      <c r="AB283" s="90"/>
    </row>
    <row r="284" spans="1:28" ht="16">
      <c r="A284" s="130"/>
      <c r="B284" s="87" t="s">
        <v>1057</v>
      </c>
      <c r="C284" s="94">
        <v>0.46700000000000003</v>
      </c>
      <c r="D284" s="105" t="s">
        <v>1058</v>
      </c>
      <c r="E284" s="96"/>
      <c r="F284" s="88" t="s">
        <v>1059</v>
      </c>
      <c r="G284" s="89" t="b">
        <v>0</v>
      </c>
      <c r="H284" s="89"/>
      <c r="I284" s="90"/>
      <c r="J284" s="90"/>
      <c r="K284" s="90"/>
      <c r="L284" s="90"/>
      <c r="M284" s="90"/>
      <c r="N284" s="90"/>
      <c r="O284" s="90"/>
      <c r="P284" s="90"/>
      <c r="Q284" s="90"/>
      <c r="R284" s="90"/>
      <c r="S284" s="90"/>
      <c r="T284" s="90"/>
      <c r="U284" s="90"/>
      <c r="V284" s="90"/>
      <c r="W284" s="90"/>
      <c r="X284" s="90"/>
      <c r="Y284" s="90"/>
      <c r="Z284" s="90"/>
      <c r="AA284" s="90"/>
      <c r="AB284" s="90"/>
    </row>
    <row r="285" spans="1:28" ht="16">
      <c r="A285" s="128" t="s">
        <v>683</v>
      </c>
      <c r="B285" s="91" t="s">
        <v>1060</v>
      </c>
      <c r="C285" s="97">
        <v>3.1</v>
      </c>
      <c r="D285" s="98" t="s">
        <v>727</v>
      </c>
      <c r="E285" s="99"/>
      <c r="F285" s="92" t="s">
        <v>1061</v>
      </c>
      <c r="G285" s="93" t="b">
        <v>0</v>
      </c>
      <c r="H285" s="93"/>
      <c r="I285" s="90"/>
      <c r="J285" s="90"/>
      <c r="K285" s="90"/>
      <c r="L285" s="90"/>
      <c r="M285" s="90"/>
      <c r="N285" s="90"/>
      <c r="O285" s="90"/>
      <c r="P285" s="90"/>
      <c r="Q285" s="90"/>
      <c r="R285" s="90"/>
      <c r="S285" s="90"/>
      <c r="T285" s="90"/>
      <c r="U285" s="90"/>
      <c r="V285" s="90"/>
      <c r="W285" s="90"/>
      <c r="X285" s="90"/>
      <c r="Y285" s="90"/>
      <c r="Z285" s="90"/>
      <c r="AA285" s="90"/>
      <c r="AB285" s="90"/>
    </row>
    <row r="286" spans="1:28" ht="16">
      <c r="A286" s="125"/>
      <c r="B286" s="87" t="s">
        <v>1062</v>
      </c>
      <c r="C286" s="94">
        <v>3.84</v>
      </c>
      <c r="D286" s="95" t="s">
        <v>727</v>
      </c>
      <c r="E286" s="96"/>
      <c r="F286" s="88"/>
      <c r="G286" s="89" t="b">
        <v>0</v>
      </c>
      <c r="H286" s="89"/>
      <c r="I286" s="90"/>
      <c r="J286" s="90"/>
      <c r="K286" s="90"/>
      <c r="L286" s="90"/>
      <c r="M286" s="90"/>
      <c r="N286" s="90"/>
      <c r="O286" s="90"/>
      <c r="P286" s="90"/>
      <c r="Q286" s="90"/>
      <c r="R286" s="90"/>
      <c r="S286" s="90"/>
      <c r="T286" s="90"/>
      <c r="U286" s="90"/>
      <c r="V286" s="90"/>
      <c r="W286" s="90"/>
      <c r="X286" s="90"/>
      <c r="Y286" s="90"/>
      <c r="Z286" s="90"/>
      <c r="AA286" s="90"/>
      <c r="AB286" s="90"/>
    </row>
    <row r="287" spans="1:28" ht="16">
      <c r="A287" s="125"/>
      <c r="B287" s="91" t="s">
        <v>1063</v>
      </c>
      <c r="C287" s="97">
        <v>5</v>
      </c>
      <c r="D287" s="98" t="s">
        <v>727</v>
      </c>
      <c r="E287" s="99"/>
      <c r="F287" s="92"/>
      <c r="G287" s="93" t="b">
        <v>0</v>
      </c>
      <c r="H287" s="93"/>
      <c r="I287" s="90"/>
      <c r="J287" s="90"/>
      <c r="K287" s="90"/>
      <c r="L287" s="90"/>
      <c r="M287" s="90"/>
      <c r="N287" s="90"/>
      <c r="O287" s="90"/>
      <c r="P287" s="90"/>
      <c r="Q287" s="90"/>
      <c r="R287" s="90"/>
      <c r="S287" s="90"/>
      <c r="T287" s="90"/>
      <c r="U287" s="90"/>
      <c r="V287" s="90"/>
      <c r="W287" s="90"/>
      <c r="X287" s="90"/>
      <c r="Y287" s="90"/>
      <c r="Z287" s="90"/>
      <c r="AA287" s="90"/>
      <c r="AB287" s="90"/>
    </row>
    <row r="288" spans="1:28" ht="16">
      <c r="A288" s="125"/>
      <c r="B288" s="87" t="s">
        <v>1064</v>
      </c>
      <c r="C288" s="94">
        <v>1.8</v>
      </c>
      <c r="D288" s="95" t="s">
        <v>727</v>
      </c>
      <c r="E288" s="96"/>
      <c r="F288" s="88"/>
      <c r="G288" s="89" t="b">
        <v>0</v>
      </c>
      <c r="H288" s="89"/>
      <c r="I288" s="90"/>
      <c r="J288" s="90"/>
      <c r="K288" s="90"/>
      <c r="L288" s="90"/>
      <c r="M288" s="90"/>
      <c r="N288" s="90"/>
      <c r="O288" s="90"/>
      <c r="P288" s="90"/>
      <c r="Q288" s="90"/>
      <c r="R288" s="90"/>
      <c r="S288" s="90"/>
      <c r="T288" s="90"/>
      <c r="U288" s="90"/>
      <c r="V288" s="90"/>
      <c r="W288" s="90"/>
      <c r="X288" s="90"/>
      <c r="Y288" s="90"/>
      <c r="Z288" s="90"/>
      <c r="AA288" s="90"/>
      <c r="AB288" s="90"/>
    </row>
    <row r="289" spans="1:28" ht="16">
      <c r="A289" s="125"/>
      <c r="B289" s="91" t="s">
        <v>1065</v>
      </c>
      <c r="C289" s="97">
        <v>5.3</v>
      </c>
      <c r="D289" s="98" t="s">
        <v>727</v>
      </c>
      <c r="E289" s="99"/>
      <c r="F289" s="92"/>
      <c r="G289" s="93" t="b">
        <v>0</v>
      </c>
      <c r="H289" s="93"/>
      <c r="I289" s="90"/>
      <c r="J289" s="90"/>
      <c r="K289" s="90"/>
      <c r="L289" s="90"/>
      <c r="M289" s="90"/>
      <c r="N289" s="90"/>
      <c r="O289" s="90"/>
      <c r="P289" s="90"/>
      <c r="Q289" s="90"/>
      <c r="R289" s="90"/>
      <c r="S289" s="90"/>
      <c r="T289" s="90"/>
      <c r="U289" s="90"/>
      <c r="V289" s="90"/>
      <c r="W289" s="90"/>
      <c r="X289" s="90"/>
      <c r="Y289" s="90"/>
      <c r="Z289" s="90"/>
      <c r="AA289" s="90"/>
      <c r="AB289" s="90"/>
    </row>
    <row r="290" spans="1:28" ht="16">
      <c r="A290" s="125"/>
      <c r="B290" s="87" t="s">
        <v>1066</v>
      </c>
      <c r="C290" s="94">
        <f>PI()*C294*(C299/1000)/4/(C292/1000000)</f>
        <v>2.9890881558427154</v>
      </c>
      <c r="D290" s="95" t="s">
        <v>727</v>
      </c>
      <c r="E290" s="96" t="s">
        <v>1067</v>
      </c>
      <c r="F290" s="88" t="s">
        <v>1068</v>
      </c>
      <c r="G290" s="89" t="b">
        <v>1</v>
      </c>
      <c r="H290" s="89"/>
      <c r="I290" s="90"/>
      <c r="J290" s="90"/>
      <c r="K290" s="90"/>
      <c r="L290" s="90"/>
      <c r="M290" s="90"/>
      <c r="N290" s="90"/>
      <c r="O290" s="90"/>
      <c r="P290" s="90"/>
      <c r="Q290" s="90"/>
      <c r="R290" s="90"/>
      <c r="S290" s="90"/>
      <c r="T290" s="90"/>
      <c r="U290" s="90"/>
      <c r="V290" s="90"/>
      <c r="W290" s="90"/>
      <c r="X290" s="90"/>
      <c r="Y290" s="90"/>
      <c r="Z290" s="90"/>
      <c r="AA290" s="90"/>
      <c r="AB290" s="90"/>
    </row>
    <row r="291" spans="1:28" ht="16">
      <c r="A291" s="129"/>
      <c r="B291" s="91" t="s">
        <v>1069</v>
      </c>
      <c r="C291" s="97">
        <f>PI()*C294*(C300/1000)/4/(C292/1000000)</f>
        <v>4.3768790853411188</v>
      </c>
      <c r="D291" s="98" t="s">
        <v>727</v>
      </c>
      <c r="E291" s="99" t="s">
        <v>1070</v>
      </c>
      <c r="F291" s="92" t="s">
        <v>1071</v>
      </c>
      <c r="G291" s="93" t="b">
        <v>1</v>
      </c>
      <c r="H291" s="93"/>
      <c r="I291" s="90"/>
      <c r="J291" s="90"/>
      <c r="K291" s="90"/>
      <c r="L291" s="90"/>
      <c r="M291" s="90"/>
      <c r="N291" s="90"/>
      <c r="O291" s="90"/>
      <c r="P291" s="90"/>
      <c r="Q291" s="90"/>
      <c r="R291" s="90"/>
      <c r="S291" s="90"/>
      <c r="T291" s="90"/>
      <c r="U291" s="90"/>
      <c r="V291" s="90"/>
      <c r="W291" s="90"/>
      <c r="X291" s="90"/>
      <c r="Y291" s="90"/>
      <c r="Z291" s="90"/>
      <c r="AA291" s="90"/>
      <c r="AB291" s="90"/>
    </row>
    <row r="292" spans="1:28" ht="16">
      <c r="A292" s="128" t="s">
        <v>685</v>
      </c>
      <c r="B292" s="87" t="s">
        <v>1072</v>
      </c>
      <c r="C292" s="94">
        <v>515</v>
      </c>
      <c r="D292" s="105" t="s">
        <v>1073</v>
      </c>
      <c r="E292" s="116"/>
      <c r="F292" s="88" t="s">
        <v>1074</v>
      </c>
      <c r="G292" s="89" t="b">
        <v>0</v>
      </c>
      <c r="H292" s="89"/>
      <c r="I292" s="90"/>
      <c r="J292" s="90"/>
      <c r="K292" s="90"/>
      <c r="L292" s="90"/>
      <c r="M292" s="90"/>
      <c r="N292" s="90"/>
      <c r="O292" s="90"/>
      <c r="P292" s="90"/>
      <c r="Q292" s="90"/>
      <c r="R292" s="90"/>
      <c r="S292" s="90"/>
      <c r="T292" s="90"/>
      <c r="U292" s="90"/>
      <c r="V292" s="90"/>
      <c r="W292" s="90"/>
      <c r="X292" s="90"/>
      <c r="Y292" s="90"/>
      <c r="Z292" s="90"/>
      <c r="AA292" s="90"/>
      <c r="AB292" s="90"/>
    </row>
    <row r="293" spans="1:28" ht="16">
      <c r="A293" s="125"/>
      <c r="B293" s="91" t="s">
        <v>1075</v>
      </c>
      <c r="C293" s="97">
        <f>C292/PI()</f>
        <v>163.92959138465221</v>
      </c>
      <c r="D293" s="101" t="s">
        <v>1073</v>
      </c>
      <c r="E293" s="99"/>
      <c r="F293" s="92"/>
      <c r="G293" s="93" t="b">
        <v>1</v>
      </c>
      <c r="H293" s="93"/>
      <c r="I293" s="90"/>
      <c r="J293" s="90"/>
      <c r="K293" s="90"/>
      <c r="L293" s="90"/>
      <c r="M293" s="90"/>
      <c r="N293" s="90"/>
      <c r="O293" s="90"/>
      <c r="P293" s="90"/>
      <c r="Q293" s="90"/>
      <c r="R293" s="90"/>
      <c r="S293" s="90"/>
      <c r="T293" s="90"/>
      <c r="U293" s="90"/>
      <c r="V293" s="90"/>
      <c r="W293" s="90"/>
      <c r="X293" s="90"/>
      <c r="Y293" s="90"/>
      <c r="Z293" s="90"/>
      <c r="AA293" s="90"/>
      <c r="AB293" s="90"/>
    </row>
    <row r="294" spans="1:28" ht="16">
      <c r="A294" s="125"/>
      <c r="B294" s="87" t="s">
        <v>1076</v>
      </c>
      <c r="C294" s="94">
        <v>0.7</v>
      </c>
      <c r="D294" s="95" t="s">
        <v>727</v>
      </c>
      <c r="E294" s="116"/>
      <c r="F294" s="88" t="s">
        <v>1077</v>
      </c>
      <c r="G294" s="89" t="b">
        <v>0</v>
      </c>
      <c r="H294" s="89"/>
      <c r="I294" s="90"/>
      <c r="J294" s="90"/>
      <c r="K294" s="90"/>
      <c r="L294" s="90"/>
      <c r="M294" s="90"/>
      <c r="N294" s="90"/>
      <c r="O294" s="90"/>
      <c r="P294" s="90"/>
      <c r="Q294" s="90"/>
      <c r="R294" s="90"/>
      <c r="S294" s="90"/>
      <c r="T294" s="90"/>
      <c r="U294" s="90"/>
      <c r="V294" s="90"/>
      <c r="W294" s="90"/>
      <c r="X294" s="90"/>
      <c r="Y294" s="90"/>
      <c r="Z294" s="90"/>
      <c r="AA294" s="90"/>
      <c r="AB294" s="90"/>
    </row>
    <row r="295" spans="1:28" ht="16">
      <c r="A295" s="125"/>
      <c r="B295" s="91" t="s">
        <v>1078</v>
      </c>
      <c r="C295" s="97">
        <f>1.3/2</f>
        <v>0.65</v>
      </c>
      <c r="D295" s="101" t="s">
        <v>1058</v>
      </c>
      <c r="E295" s="99"/>
      <c r="F295" s="92" t="s">
        <v>1079</v>
      </c>
      <c r="G295" s="93" t="b">
        <v>0</v>
      </c>
      <c r="H295" s="93"/>
      <c r="I295" s="90"/>
      <c r="J295" s="90"/>
      <c r="K295" s="90"/>
      <c r="L295" s="90"/>
      <c r="M295" s="90"/>
      <c r="N295" s="90"/>
      <c r="O295" s="90"/>
      <c r="P295" s="90"/>
      <c r="Q295" s="90"/>
      <c r="R295" s="90"/>
      <c r="S295" s="90"/>
      <c r="T295" s="90"/>
      <c r="U295" s="90"/>
      <c r="V295" s="90"/>
      <c r="W295" s="90"/>
      <c r="X295" s="90"/>
      <c r="Y295" s="90"/>
      <c r="Z295" s="90"/>
      <c r="AA295" s="90"/>
      <c r="AB295" s="90"/>
    </row>
    <row r="296" spans="1:28" ht="16">
      <c r="A296" s="125"/>
      <c r="B296" s="87" t="s">
        <v>1080</v>
      </c>
      <c r="C296" s="94">
        <f>PI()*(PI()*(C294*1000/2)^2)*SIN(C295/1000)^2</f>
        <v>0.51081364084428726</v>
      </c>
      <c r="D296" s="105" t="s">
        <v>1081</v>
      </c>
      <c r="E296" s="96"/>
      <c r="F296" s="88" t="s">
        <v>1082</v>
      </c>
      <c r="G296" s="89" t="b">
        <v>1</v>
      </c>
      <c r="H296" s="89"/>
      <c r="I296" s="90"/>
      <c r="J296" s="90"/>
      <c r="K296" s="90"/>
      <c r="L296" s="90"/>
      <c r="M296" s="90"/>
      <c r="N296" s="90"/>
      <c r="O296" s="90"/>
      <c r="P296" s="90"/>
      <c r="Q296" s="90"/>
      <c r="R296" s="90"/>
      <c r="S296" s="90"/>
      <c r="T296" s="90"/>
      <c r="U296" s="90"/>
      <c r="V296" s="90"/>
      <c r="W296" s="90"/>
      <c r="X296" s="90"/>
      <c r="Y296" s="90"/>
      <c r="Z296" s="90"/>
      <c r="AA296" s="90"/>
      <c r="AB296" s="90"/>
    </row>
    <row r="297" spans="1:28" ht="16">
      <c r="A297" s="125"/>
      <c r="B297" s="91" t="s">
        <v>1083</v>
      </c>
      <c r="C297" s="97">
        <f>C295/1000*(C294/2)*1000*1000</f>
        <v>227.49999999999997</v>
      </c>
      <c r="D297" s="101" t="s">
        <v>1073</v>
      </c>
      <c r="E297" s="99"/>
      <c r="F297" s="92" t="s">
        <v>1084</v>
      </c>
      <c r="G297" s="93" t="b">
        <v>1</v>
      </c>
      <c r="H297" s="93"/>
      <c r="I297" s="90"/>
      <c r="J297" s="90"/>
      <c r="K297" s="90"/>
      <c r="L297" s="90"/>
      <c r="M297" s="90"/>
      <c r="N297" s="90"/>
      <c r="O297" s="90"/>
      <c r="P297" s="90"/>
      <c r="Q297" s="90"/>
      <c r="R297" s="90"/>
      <c r="S297" s="90"/>
      <c r="T297" s="90"/>
      <c r="U297" s="90"/>
      <c r="V297" s="90"/>
      <c r="W297" s="90"/>
      <c r="X297" s="90"/>
      <c r="Y297" s="90"/>
      <c r="Z297" s="90"/>
      <c r="AA297" s="90"/>
      <c r="AB297" s="90"/>
    </row>
    <row r="298" spans="1:28" ht="16">
      <c r="A298" s="130"/>
      <c r="B298" s="87" t="s">
        <v>1085</v>
      </c>
      <c r="C298" s="94">
        <f>C297/C293</f>
        <v>1.3877909294984034</v>
      </c>
      <c r="D298" s="95"/>
      <c r="E298" s="96"/>
      <c r="F298" s="88"/>
      <c r="G298" s="89" t="b">
        <v>1</v>
      </c>
      <c r="H298" s="89"/>
      <c r="I298" s="90"/>
      <c r="J298" s="90"/>
      <c r="K298" s="90"/>
      <c r="L298" s="90"/>
      <c r="M298" s="90"/>
      <c r="N298" s="90"/>
      <c r="O298" s="90"/>
      <c r="P298" s="90"/>
      <c r="Q298" s="90"/>
      <c r="R298" s="90"/>
      <c r="S298" s="90"/>
      <c r="T298" s="90"/>
      <c r="U298" s="90"/>
      <c r="V298" s="90"/>
      <c r="W298" s="90"/>
      <c r="X298" s="90"/>
      <c r="Y298" s="90"/>
      <c r="Z298" s="90"/>
      <c r="AA298" s="90"/>
      <c r="AB298" s="90"/>
    </row>
    <row r="299" spans="1:28" ht="16">
      <c r="A299" s="128" t="s">
        <v>681</v>
      </c>
      <c r="B299" s="91" t="s">
        <v>1086</v>
      </c>
      <c r="C299" s="97">
        <v>2.8</v>
      </c>
      <c r="D299" s="101" t="s">
        <v>1087</v>
      </c>
      <c r="E299" s="99"/>
      <c r="F299" s="92"/>
      <c r="G299" s="93" t="b">
        <v>0</v>
      </c>
      <c r="H299" s="93"/>
      <c r="I299" s="90"/>
      <c r="J299" s="90"/>
      <c r="K299" s="90"/>
      <c r="L299" s="90"/>
      <c r="M299" s="90"/>
      <c r="N299" s="90"/>
      <c r="O299" s="90"/>
      <c r="P299" s="90"/>
      <c r="Q299" s="90"/>
      <c r="R299" s="90"/>
      <c r="S299" s="90"/>
      <c r="T299" s="90"/>
      <c r="U299" s="90"/>
      <c r="V299" s="90"/>
      <c r="W299" s="90"/>
      <c r="X299" s="90"/>
      <c r="Y299" s="90"/>
      <c r="Z299" s="90"/>
      <c r="AA299" s="90"/>
      <c r="AB299" s="90"/>
    </row>
    <row r="300" spans="1:28" ht="16">
      <c r="A300" s="125"/>
      <c r="B300" s="87" t="s">
        <v>1088</v>
      </c>
      <c r="C300" s="94">
        <v>4.0999999999999996</v>
      </c>
      <c r="D300" s="105" t="s">
        <v>1087</v>
      </c>
      <c r="E300" s="96"/>
      <c r="F300" s="88"/>
      <c r="G300" s="89" t="b">
        <v>0</v>
      </c>
      <c r="H300" s="89"/>
      <c r="I300" s="90"/>
      <c r="J300" s="90"/>
      <c r="K300" s="90"/>
      <c r="L300" s="90"/>
      <c r="M300" s="90"/>
      <c r="N300" s="90"/>
      <c r="O300" s="90"/>
      <c r="P300" s="90"/>
      <c r="Q300" s="90"/>
      <c r="R300" s="90"/>
      <c r="S300" s="90"/>
      <c r="T300" s="90"/>
      <c r="U300" s="90"/>
      <c r="V300" s="90"/>
      <c r="W300" s="90"/>
      <c r="X300" s="90"/>
      <c r="Y300" s="90"/>
      <c r="Z300" s="90"/>
      <c r="AA300" s="90"/>
      <c r="AB300" s="90"/>
    </row>
    <row r="301" spans="1:28" ht="16">
      <c r="A301" s="129"/>
      <c r="B301" s="91" t="s">
        <v>1089</v>
      </c>
      <c r="C301" s="97">
        <f>DEGREES((C292/1000000)/PI()/((MEDIAN(C299:C300)/1000)/2))</f>
        <v>5.4449123035621527</v>
      </c>
      <c r="D301" s="98" t="s">
        <v>752</v>
      </c>
      <c r="E301" s="99"/>
      <c r="F301" s="92" t="s">
        <v>1090</v>
      </c>
      <c r="G301" s="93" t="b">
        <v>1</v>
      </c>
      <c r="H301" s="93"/>
      <c r="I301" s="90"/>
      <c r="J301" s="90"/>
      <c r="K301" s="90"/>
      <c r="L301" s="90"/>
      <c r="M301" s="90"/>
      <c r="N301" s="90"/>
      <c r="O301" s="90"/>
      <c r="P301" s="90"/>
      <c r="Q301" s="90"/>
      <c r="R301" s="90"/>
      <c r="S301" s="90"/>
      <c r="T301" s="90"/>
      <c r="U301" s="90"/>
      <c r="V301" s="90"/>
      <c r="W301" s="90"/>
      <c r="X301" s="90"/>
      <c r="Y301" s="90"/>
      <c r="Z301" s="90"/>
      <c r="AA301" s="90"/>
      <c r="AB301" s="90"/>
    </row>
    <row r="302" spans="1:28" ht="16">
      <c r="A302" s="128" t="s">
        <v>1091</v>
      </c>
      <c r="B302" s="87" t="s">
        <v>1092</v>
      </c>
      <c r="C302" s="94">
        <f>C256/C248</f>
        <v>4.4444444444444446</v>
      </c>
      <c r="D302" s="95"/>
      <c r="E302" s="96"/>
      <c r="F302" s="88"/>
      <c r="G302" s="89" t="b">
        <v>0</v>
      </c>
      <c r="H302" s="89"/>
      <c r="I302" s="90"/>
      <c r="J302" s="90"/>
      <c r="K302" s="90"/>
      <c r="L302" s="90"/>
      <c r="M302" s="90"/>
      <c r="N302" s="90"/>
      <c r="O302" s="90"/>
      <c r="P302" s="90"/>
      <c r="Q302" s="90"/>
      <c r="R302" s="90"/>
      <c r="S302" s="90"/>
      <c r="T302" s="90"/>
      <c r="U302" s="90"/>
      <c r="V302" s="90"/>
      <c r="W302" s="90"/>
      <c r="X302" s="90"/>
      <c r="Y302" s="90"/>
      <c r="Z302" s="90"/>
      <c r="AA302" s="90"/>
      <c r="AB302" s="90"/>
    </row>
    <row r="303" spans="1:28" ht="16">
      <c r="A303" s="125"/>
      <c r="B303" s="91" t="s">
        <v>1093</v>
      </c>
      <c r="C303" s="97">
        <f>C270/C261</f>
        <v>1.43</v>
      </c>
      <c r="D303" s="98"/>
      <c r="E303" s="99"/>
      <c r="F303" s="92"/>
      <c r="G303" s="93" t="b">
        <v>0</v>
      </c>
      <c r="H303" s="93"/>
      <c r="I303" s="90"/>
      <c r="J303" s="90"/>
      <c r="K303" s="90"/>
      <c r="L303" s="90"/>
      <c r="M303" s="90"/>
      <c r="N303" s="90"/>
      <c r="O303" s="90"/>
      <c r="P303" s="90"/>
      <c r="Q303" s="90"/>
      <c r="R303" s="90"/>
      <c r="S303" s="90"/>
      <c r="T303" s="90"/>
      <c r="U303" s="90"/>
      <c r="V303" s="90"/>
      <c r="W303" s="90"/>
      <c r="X303" s="90"/>
      <c r="Y303" s="90"/>
      <c r="Z303" s="90"/>
      <c r="AA303" s="90"/>
      <c r="AB303" s="90"/>
    </row>
    <row r="304" spans="1:28" ht="16">
      <c r="A304" s="125"/>
      <c r="B304" s="87" t="s">
        <v>1094</v>
      </c>
      <c r="C304" s="94">
        <f>C261/C256</f>
        <v>0.35</v>
      </c>
      <c r="D304" s="95"/>
      <c r="E304" s="96"/>
      <c r="F304" s="88"/>
      <c r="G304" s="89" t="b">
        <v>0</v>
      </c>
      <c r="H304" s="89"/>
      <c r="I304" s="90"/>
      <c r="J304" s="90"/>
      <c r="K304" s="90"/>
      <c r="L304" s="90"/>
      <c r="M304" s="90"/>
      <c r="N304" s="90"/>
      <c r="O304" s="90"/>
      <c r="P304" s="90"/>
      <c r="Q304" s="90"/>
      <c r="R304" s="90"/>
      <c r="S304" s="90"/>
      <c r="T304" s="90"/>
      <c r="U304" s="90"/>
      <c r="V304" s="90"/>
      <c r="W304" s="90"/>
      <c r="X304" s="90"/>
      <c r="Y304" s="90"/>
      <c r="Z304" s="90"/>
      <c r="AA304" s="90"/>
      <c r="AB304" s="90"/>
    </row>
    <row r="305" spans="1:28" ht="16">
      <c r="A305" s="129"/>
      <c r="B305" s="91" t="s">
        <v>1095</v>
      </c>
      <c r="C305" s="97">
        <f>C274/C270</f>
        <v>0.7492507492507493</v>
      </c>
      <c r="D305" s="98"/>
      <c r="E305" s="99"/>
      <c r="F305" s="92"/>
      <c r="G305" s="93" t="b">
        <v>0</v>
      </c>
      <c r="H305" s="93"/>
      <c r="I305" s="90"/>
      <c r="J305" s="90"/>
      <c r="K305" s="90"/>
      <c r="L305" s="90"/>
      <c r="M305" s="90"/>
      <c r="N305" s="90"/>
      <c r="O305" s="90"/>
      <c r="P305" s="90"/>
      <c r="Q305" s="90"/>
      <c r="R305" s="90"/>
      <c r="S305" s="90"/>
      <c r="T305" s="90"/>
      <c r="U305" s="90"/>
      <c r="V305" s="90"/>
      <c r="W305" s="90"/>
      <c r="X305" s="90"/>
      <c r="Y305" s="90"/>
      <c r="Z305" s="90"/>
      <c r="AA305" s="90"/>
      <c r="AB305" s="90"/>
    </row>
    <row r="306" spans="1:28" ht="16">
      <c r="A306" s="104" t="s">
        <v>875</v>
      </c>
      <c r="B306" s="87" t="s">
        <v>1096</v>
      </c>
      <c r="C306" s="94">
        <f>119.75+93.9+158</f>
        <v>371.65</v>
      </c>
      <c r="D306" s="95" t="s">
        <v>727</v>
      </c>
      <c r="E306" s="96"/>
      <c r="F306" s="88"/>
      <c r="G306" s="89" t="b">
        <v>0</v>
      </c>
      <c r="H306" s="89"/>
      <c r="I306" s="90"/>
      <c r="J306" s="90"/>
      <c r="K306" s="90"/>
      <c r="L306" s="90"/>
      <c r="M306" s="90"/>
      <c r="N306" s="90"/>
      <c r="O306" s="90"/>
      <c r="P306" s="90"/>
      <c r="Q306" s="90"/>
      <c r="R306" s="90"/>
      <c r="S306" s="90"/>
      <c r="T306" s="90"/>
      <c r="U306" s="90"/>
      <c r="V306" s="90"/>
      <c r="W306" s="90"/>
      <c r="X306" s="90"/>
      <c r="Y306" s="90"/>
      <c r="Z306" s="90"/>
      <c r="AA306" s="90"/>
      <c r="AB306" s="90"/>
    </row>
    <row r="307" spans="1:28" ht="16">
      <c r="A307" s="128" t="s">
        <v>352</v>
      </c>
      <c r="B307" s="91" t="s">
        <v>1097</v>
      </c>
      <c r="C307" s="97">
        <f>C295</f>
        <v>0.65</v>
      </c>
      <c r="D307" s="101" t="s">
        <v>1058</v>
      </c>
      <c r="E307" s="99"/>
      <c r="F307" s="92"/>
      <c r="G307" s="93" t="b">
        <v>1</v>
      </c>
      <c r="H307" s="93"/>
      <c r="I307" s="90"/>
      <c r="J307" s="90"/>
      <c r="K307" s="90"/>
      <c r="L307" s="90"/>
      <c r="M307" s="90"/>
      <c r="N307" s="90"/>
      <c r="O307" s="90"/>
      <c r="P307" s="90"/>
      <c r="Q307" s="90"/>
      <c r="R307" s="90"/>
      <c r="S307" s="90"/>
      <c r="T307" s="90"/>
      <c r="U307" s="90"/>
      <c r="V307" s="90"/>
      <c r="W307" s="90"/>
      <c r="X307" s="90"/>
      <c r="Y307" s="90"/>
      <c r="Z307" s="90"/>
      <c r="AA307" s="90"/>
      <c r="AB307" s="90"/>
    </row>
    <row r="308" spans="1:28" ht="16">
      <c r="A308" s="125"/>
      <c r="B308" s="87" t="s">
        <v>1098</v>
      </c>
      <c r="C308" s="94">
        <f>TAN(C307/1000)*C306</f>
        <v>0.24157253402146617</v>
      </c>
      <c r="D308" s="95" t="s">
        <v>727</v>
      </c>
      <c r="E308" s="96"/>
      <c r="F308" s="88"/>
      <c r="G308" s="89" t="b">
        <v>1</v>
      </c>
      <c r="H308" s="89"/>
      <c r="I308" s="90"/>
      <c r="J308" s="90"/>
      <c r="K308" s="90"/>
      <c r="L308" s="90"/>
      <c r="M308" s="90"/>
      <c r="N308" s="90"/>
      <c r="O308" s="90"/>
      <c r="P308" s="90"/>
      <c r="Q308" s="90"/>
      <c r="R308" s="90"/>
      <c r="S308" s="90"/>
      <c r="T308" s="90"/>
      <c r="U308" s="90"/>
      <c r="V308" s="90"/>
      <c r="W308" s="90"/>
      <c r="X308" s="90"/>
      <c r="Y308" s="90"/>
      <c r="Z308" s="90"/>
      <c r="AA308" s="90"/>
      <c r="AB308" s="90"/>
    </row>
    <row r="309" spans="1:28" ht="16">
      <c r="A309" s="129"/>
      <c r="B309" s="91" t="s">
        <v>1099</v>
      </c>
      <c r="C309" s="97">
        <f>C294+C308*2</f>
        <v>1.1831450680429323</v>
      </c>
      <c r="D309" s="98" t="s">
        <v>727</v>
      </c>
      <c r="E309" s="99"/>
      <c r="F309" s="92"/>
      <c r="G309" s="93" t="b">
        <v>1</v>
      </c>
      <c r="H309" s="93"/>
      <c r="I309" s="90"/>
      <c r="J309" s="90"/>
      <c r="K309" s="90"/>
      <c r="L309" s="90"/>
      <c r="M309" s="90"/>
      <c r="N309" s="90"/>
      <c r="O309" s="90"/>
      <c r="P309" s="90"/>
      <c r="Q309" s="90"/>
      <c r="R309" s="90"/>
      <c r="S309" s="90"/>
      <c r="T309" s="90"/>
      <c r="U309" s="90"/>
      <c r="V309" s="90"/>
      <c r="W309" s="90"/>
      <c r="X309" s="90"/>
      <c r="Y309" s="90"/>
      <c r="Z309" s="90"/>
      <c r="AA309" s="90"/>
      <c r="AB309" s="90"/>
    </row>
    <row r="310" spans="1:28" ht="16">
      <c r="A310" s="128" t="s">
        <v>717</v>
      </c>
      <c r="B310" s="87" t="s">
        <v>1100</v>
      </c>
      <c r="C310" s="94">
        <f>(4*(C292/1000000)*C285/PI()/C294)*1000</f>
        <v>2.9038956188138396</v>
      </c>
      <c r="D310" s="105" t="s">
        <v>1087</v>
      </c>
      <c r="E310" s="96"/>
      <c r="F310" s="88" t="s">
        <v>1101</v>
      </c>
      <c r="G310" s="89" t="b">
        <v>1</v>
      </c>
      <c r="H310" s="89"/>
      <c r="I310" s="90"/>
      <c r="J310" s="90"/>
      <c r="K310" s="90"/>
      <c r="L310" s="90"/>
      <c r="M310" s="90"/>
      <c r="N310" s="90"/>
      <c r="O310" s="90"/>
      <c r="P310" s="90"/>
      <c r="Q310" s="90"/>
      <c r="R310" s="90"/>
      <c r="S310" s="90"/>
      <c r="T310" s="90"/>
      <c r="U310" s="90"/>
      <c r="V310" s="90"/>
      <c r="W310" s="90"/>
      <c r="X310" s="90"/>
      <c r="Y310" s="90"/>
      <c r="Z310" s="90"/>
      <c r="AA310" s="90"/>
      <c r="AB310" s="90"/>
    </row>
    <row r="311" spans="1:28" ht="16">
      <c r="A311" s="125"/>
      <c r="B311" s="91" t="s">
        <v>1102</v>
      </c>
      <c r="C311" s="97">
        <f>DEGREES(ASIN(SQRT(C313/PI()/(PI()*(C310/2)^2))))</f>
        <v>9.014595408661993</v>
      </c>
      <c r="D311" s="98" t="s">
        <v>752</v>
      </c>
      <c r="E311" s="99"/>
      <c r="F311" s="92" t="s">
        <v>1103</v>
      </c>
      <c r="G311" s="93" t="b">
        <v>1</v>
      </c>
      <c r="H311" s="93"/>
      <c r="I311" s="90"/>
      <c r="J311" s="90"/>
      <c r="K311" s="90"/>
      <c r="L311" s="90"/>
      <c r="M311" s="90"/>
      <c r="N311" s="90"/>
      <c r="O311" s="90"/>
      <c r="P311" s="90"/>
      <c r="Q311" s="90"/>
      <c r="R311" s="90"/>
      <c r="S311" s="90"/>
      <c r="T311" s="90"/>
      <c r="U311" s="90"/>
      <c r="V311" s="90"/>
      <c r="W311" s="90"/>
      <c r="X311" s="90"/>
      <c r="Y311" s="90"/>
      <c r="Z311" s="90"/>
      <c r="AA311" s="90"/>
      <c r="AB311" s="90"/>
    </row>
    <row r="312" spans="1:28" ht="16">
      <c r="A312" s="125"/>
      <c r="B312" s="87" t="s">
        <v>1104</v>
      </c>
      <c r="C312" s="94">
        <f>SIN(RADIANS(C311))</f>
        <v>0.15668606165199292</v>
      </c>
      <c r="D312" s="95"/>
      <c r="E312" s="96"/>
      <c r="F312" s="88" t="s">
        <v>1105</v>
      </c>
      <c r="G312" s="89" t="b">
        <v>1</v>
      </c>
      <c r="H312" s="89"/>
      <c r="I312" s="90"/>
      <c r="J312" s="90"/>
      <c r="K312" s="90"/>
      <c r="L312" s="90"/>
      <c r="M312" s="90"/>
      <c r="N312" s="90"/>
      <c r="O312" s="90"/>
      <c r="P312" s="90"/>
      <c r="Q312" s="90"/>
      <c r="R312" s="90"/>
      <c r="S312" s="90"/>
      <c r="T312" s="90"/>
      <c r="U312" s="90"/>
      <c r="V312" s="90"/>
      <c r="W312" s="90"/>
      <c r="X312" s="90"/>
      <c r="Y312" s="90"/>
      <c r="Z312" s="90"/>
      <c r="AA312" s="90"/>
      <c r="AB312" s="90"/>
    </row>
    <row r="313" spans="1:28" ht="16">
      <c r="A313" s="129"/>
      <c r="B313" s="91" t="s">
        <v>1106</v>
      </c>
      <c r="C313" s="97">
        <f>C296</f>
        <v>0.51081364084428726</v>
      </c>
      <c r="D313" s="101" t="s">
        <v>1081</v>
      </c>
      <c r="E313" s="99"/>
      <c r="F313" s="92" t="s">
        <v>1107</v>
      </c>
      <c r="G313" s="93" t="b">
        <v>1</v>
      </c>
      <c r="H313" s="93"/>
      <c r="I313" s="90"/>
      <c r="J313" s="90"/>
      <c r="K313" s="90"/>
      <c r="L313" s="90"/>
      <c r="M313" s="90"/>
      <c r="N313" s="90"/>
      <c r="O313" s="90"/>
      <c r="P313" s="90"/>
      <c r="Q313" s="90"/>
      <c r="R313" s="90"/>
      <c r="S313" s="90"/>
      <c r="T313" s="90"/>
      <c r="U313" s="90"/>
      <c r="V313" s="90"/>
      <c r="W313" s="90"/>
      <c r="X313" s="90"/>
      <c r="Y313" s="90"/>
      <c r="Z313" s="90"/>
      <c r="AA313" s="90"/>
      <c r="AB313" s="90"/>
    </row>
    <row r="314" spans="1:28" ht="16">
      <c r="A314" s="128" t="s">
        <v>715</v>
      </c>
      <c r="B314" s="87" t="s">
        <v>1108</v>
      </c>
      <c r="C314" s="94">
        <f>C301</f>
        <v>5.4449123035621527</v>
      </c>
      <c r="D314" s="95" t="s">
        <v>752</v>
      </c>
      <c r="E314" s="116"/>
      <c r="F314" s="88" t="s">
        <v>1109</v>
      </c>
      <c r="G314" s="89" t="b">
        <v>1</v>
      </c>
      <c r="H314" s="89"/>
      <c r="I314" s="90"/>
      <c r="J314" s="90"/>
      <c r="K314" s="90"/>
      <c r="L314" s="90"/>
      <c r="M314" s="90"/>
      <c r="N314" s="90"/>
      <c r="O314" s="90"/>
      <c r="P314" s="90"/>
      <c r="Q314" s="90"/>
      <c r="R314" s="90"/>
      <c r="S314" s="90"/>
      <c r="T314" s="90"/>
      <c r="U314" s="90"/>
      <c r="V314" s="90"/>
      <c r="W314" s="90"/>
      <c r="X314" s="90"/>
      <c r="Y314" s="90"/>
      <c r="Z314" s="90"/>
      <c r="AA314" s="90"/>
      <c r="AB314" s="90"/>
    </row>
    <row r="315" spans="1:28" ht="16">
      <c r="A315" s="129"/>
      <c r="B315" s="91" t="s">
        <v>1110</v>
      </c>
      <c r="C315" s="97">
        <f>MEDIAN(C299:C300)</f>
        <v>3.4499999999999997</v>
      </c>
      <c r="D315" s="101" t="s">
        <v>1087</v>
      </c>
      <c r="E315" s="117"/>
      <c r="F315" s="92" t="s">
        <v>1111</v>
      </c>
      <c r="G315" s="93" t="b">
        <v>1</v>
      </c>
      <c r="H315" s="93"/>
      <c r="I315" s="90"/>
      <c r="J315" s="90"/>
      <c r="K315" s="90"/>
      <c r="L315" s="90"/>
      <c r="M315" s="90"/>
      <c r="N315" s="90"/>
      <c r="O315" s="90"/>
      <c r="P315" s="90"/>
      <c r="Q315" s="90"/>
      <c r="R315" s="90"/>
      <c r="S315" s="90"/>
      <c r="T315" s="90"/>
      <c r="U315" s="90"/>
      <c r="V315" s="90"/>
      <c r="W315" s="90"/>
      <c r="X315" s="90"/>
      <c r="Y315" s="90"/>
      <c r="Z315" s="90"/>
      <c r="AA315" s="90"/>
      <c r="AB315" s="90"/>
    </row>
    <row r="316" spans="1:28" ht="16">
      <c r="A316" s="128" t="s">
        <v>713</v>
      </c>
      <c r="B316" s="87" t="s">
        <v>1112</v>
      </c>
      <c r="C316" s="94">
        <v>1.5</v>
      </c>
      <c r="D316" s="95" t="s">
        <v>727</v>
      </c>
      <c r="E316" s="116"/>
      <c r="F316" s="88" t="s">
        <v>1113</v>
      </c>
      <c r="G316" s="89" t="b">
        <v>0</v>
      </c>
      <c r="H316" s="89"/>
      <c r="I316" s="90"/>
      <c r="J316" s="90"/>
      <c r="K316" s="90"/>
      <c r="L316" s="90"/>
      <c r="M316" s="90"/>
      <c r="N316" s="90"/>
      <c r="O316" s="90"/>
      <c r="P316" s="90"/>
      <c r="Q316" s="90"/>
      <c r="R316" s="90"/>
      <c r="S316" s="90"/>
      <c r="T316" s="90"/>
      <c r="U316" s="90"/>
      <c r="V316" s="90"/>
      <c r="W316" s="90"/>
      <c r="X316" s="90"/>
      <c r="Y316" s="90"/>
      <c r="Z316" s="90"/>
      <c r="AA316" s="90"/>
      <c r="AB316" s="90"/>
    </row>
    <row r="317" spans="1:28" ht="16">
      <c r="A317" s="125"/>
      <c r="B317" s="91" t="s">
        <v>1114</v>
      </c>
      <c r="C317" s="97">
        <f>4*(C292/1000000)*C282/PI()/(C315/1000)</f>
        <v>1.4254747076926282</v>
      </c>
      <c r="D317" s="98" t="s">
        <v>727</v>
      </c>
      <c r="E317" s="99"/>
      <c r="F317" s="92" t="s">
        <v>1115</v>
      </c>
      <c r="G317" s="93" t="b">
        <v>1</v>
      </c>
      <c r="H317" s="93"/>
      <c r="I317" s="90"/>
      <c r="J317" s="90"/>
      <c r="K317" s="90"/>
      <c r="L317" s="90"/>
      <c r="M317" s="90"/>
      <c r="N317" s="90"/>
      <c r="O317" s="90"/>
      <c r="P317" s="90"/>
      <c r="Q317" s="90"/>
      <c r="R317" s="90"/>
      <c r="S317" s="90"/>
      <c r="T317" s="90"/>
      <c r="U317" s="90"/>
      <c r="V317" s="90"/>
      <c r="W317" s="90"/>
      <c r="X317" s="90"/>
      <c r="Y317" s="90"/>
      <c r="Z317" s="90"/>
      <c r="AA317" s="90"/>
      <c r="AB317" s="90"/>
    </row>
    <row r="318" spans="1:28" ht="16">
      <c r="A318" s="125"/>
      <c r="B318" s="87" t="s">
        <v>1116</v>
      </c>
      <c r="C318" s="94">
        <f>C284</f>
        <v>0.46700000000000003</v>
      </c>
      <c r="D318" s="105" t="s">
        <v>1058</v>
      </c>
      <c r="E318" s="96"/>
      <c r="F318" s="88"/>
      <c r="G318" s="89" t="b">
        <v>1</v>
      </c>
      <c r="H318" s="89"/>
      <c r="I318" s="90"/>
      <c r="J318" s="90"/>
      <c r="K318" s="90"/>
      <c r="L318" s="90"/>
      <c r="M318" s="90"/>
      <c r="N318" s="90"/>
      <c r="O318" s="90"/>
      <c r="P318" s="90"/>
      <c r="Q318" s="90"/>
      <c r="R318" s="90"/>
      <c r="S318" s="90"/>
      <c r="T318" s="90"/>
      <c r="U318" s="90"/>
      <c r="V318" s="90"/>
      <c r="W318" s="90"/>
      <c r="X318" s="90"/>
      <c r="Y318" s="90"/>
      <c r="Z318" s="90"/>
      <c r="AA318" s="90"/>
      <c r="AB318" s="90"/>
    </row>
    <row r="319" spans="1:28" ht="16">
      <c r="A319" s="125"/>
      <c r="B319" s="91" t="s">
        <v>1117</v>
      </c>
      <c r="C319" s="97">
        <f>PI()*(PI()*(C317*1000/2)^2)*SIN(C318/1000)^2</f>
        <v>1.093433852931025</v>
      </c>
      <c r="D319" s="101" t="s">
        <v>1081</v>
      </c>
      <c r="E319" s="99"/>
      <c r="F319" s="92"/>
      <c r="G319" s="93" t="b">
        <v>1</v>
      </c>
      <c r="H319" s="93"/>
      <c r="I319" s="90"/>
      <c r="J319" s="90"/>
      <c r="K319" s="90"/>
      <c r="L319" s="90"/>
      <c r="M319" s="90"/>
      <c r="N319" s="90"/>
      <c r="O319" s="90"/>
      <c r="P319" s="90"/>
      <c r="Q319" s="90"/>
      <c r="R319" s="90"/>
      <c r="S319" s="90"/>
      <c r="T319" s="90"/>
      <c r="U319" s="90"/>
      <c r="V319" s="90"/>
      <c r="W319" s="90"/>
      <c r="X319" s="90"/>
      <c r="Y319" s="90"/>
      <c r="Z319" s="90"/>
      <c r="AA319" s="90"/>
      <c r="AB319" s="90"/>
    </row>
    <row r="320" spans="1:28" ht="16">
      <c r="A320" s="125"/>
      <c r="B320" s="87" t="s">
        <v>1118</v>
      </c>
      <c r="C320" s="94">
        <f>C284/1000*(C317*1000000/2)</f>
        <v>332.84834424622869</v>
      </c>
      <c r="D320" s="105" t="s">
        <v>1073</v>
      </c>
      <c r="E320" s="96"/>
      <c r="F320" s="88"/>
      <c r="G320" s="89" t="b">
        <v>1</v>
      </c>
      <c r="H320" s="89"/>
      <c r="I320" s="90"/>
      <c r="J320" s="90"/>
      <c r="K320" s="90"/>
      <c r="L320" s="90"/>
      <c r="M320" s="90"/>
      <c r="N320" s="90"/>
      <c r="O320" s="90"/>
      <c r="P320" s="90"/>
      <c r="Q320" s="90"/>
      <c r="R320" s="90"/>
      <c r="S320" s="90"/>
      <c r="T320" s="90"/>
      <c r="U320" s="90"/>
      <c r="V320" s="90"/>
      <c r="W320" s="90"/>
      <c r="X320" s="90"/>
      <c r="Y320" s="90"/>
      <c r="Z320" s="90"/>
      <c r="AA320" s="90"/>
      <c r="AB320" s="90"/>
    </row>
    <row r="321" spans="1:28" ht="16">
      <c r="A321" s="129"/>
      <c r="B321" s="91" t="s">
        <v>1119</v>
      </c>
      <c r="C321" s="97">
        <f>C320/$C$293</f>
        <v>2.0304347826086961</v>
      </c>
      <c r="D321" s="98"/>
      <c r="E321" s="99"/>
      <c r="F321" s="92"/>
      <c r="G321" s="93" t="b">
        <v>1</v>
      </c>
      <c r="H321" s="93"/>
      <c r="I321" s="90"/>
      <c r="J321" s="90"/>
      <c r="K321" s="90"/>
      <c r="L321" s="90"/>
      <c r="M321" s="90"/>
      <c r="N321" s="90"/>
      <c r="O321" s="90"/>
      <c r="P321" s="90"/>
      <c r="Q321" s="90"/>
      <c r="R321" s="90"/>
      <c r="S321" s="90"/>
      <c r="T321" s="90"/>
      <c r="U321" s="90"/>
      <c r="V321" s="90"/>
      <c r="W321" s="90"/>
      <c r="X321" s="90"/>
      <c r="Y321" s="90"/>
      <c r="Z321" s="90"/>
      <c r="AA321" s="90"/>
      <c r="AB321" s="90"/>
    </row>
    <row r="322" spans="1:28" ht="16">
      <c r="A322" s="104" t="s">
        <v>875</v>
      </c>
      <c r="B322" s="87" t="s">
        <v>1120</v>
      </c>
      <c r="C322" s="94">
        <v>50</v>
      </c>
      <c r="D322" s="95" t="s">
        <v>727</v>
      </c>
      <c r="E322" s="96"/>
      <c r="F322" s="88"/>
      <c r="G322" s="89" t="b">
        <v>0</v>
      </c>
      <c r="H322" s="89"/>
      <c r="I322" s="90"/>
      <c r="J322" s="90"/>
      <c r="K322" s="90"/>
      <c r="L322" s="90"/>
      <c r="M322" s="90"/>
      <c r="N322" s="90"/>
      <c r="O322" s="90"/>
      <c r="P322" s="90"/>
      <c r="Q322" s="90"/>
      <c r="R322" s="90"/>
      <c r="S322" s="90"/>
      <c r="T322" s="90"/>
      <c r="U322" s="90"/>
      <c r="V322" s="90"/>
      <c r="W322" s="90"/>
      <c r="X322" s="90"/>
      <c r="Y322" s="90"/>
      <c r="Z322" s="90"/>
      <c r="AA322" s="90"/>
      <c r="AB322" s="90"/>
    </row>
    <row r="323" spans="1:28" ht="16">
      <c r="A323" s="128" t="s">
        <v>1121</v>
      </c>
      <c r="B323" s="91" t="s">
        <v>1122</v>
      </c>
      <c r="C323" s="97">
        <f>TAN(C318/1000)*C322</f>
        <v>2.3350001697459533E-2</v>
      </c>
      <c r="D323" s="98" t="s">
        <v>727</v>
      </c>
      <c r="E323" s="99"/>
      <c r="F323" s="92"/>
      <c r="G323" s="93" t="b">
        <v>1</v>
      </c>
      <c r="H323" s="93"/>
      <c r="I323" s="90"/>
      <c r="J323" s="90"/>
      <c r="K323" s="90"/>
      <c r="L323" s="90"/>
      <c r="M323" s="90"/>
      <c r="N323" s="90"/>
      <c r="O323" s="90"/>
      <c r="P323" s="90"/>
      <c r="Q323" s="90"/>
      <c r="R323" s="90"/>
      <c r="S323" s="90"/>
      <c r="T323" s="90"/>
      <c r="U323" s="90"/>
      <c r="V323" s="90"/>
      <c r="W323" s="90"/>
      <c r="X323" s="90"/>
      <c r="Y323" s="90"/>
      <c r="Z323" s="90"/>
      <c r="AA323" s="90"/>
      <c r="AB323" s="90"/>
    </row>
    <row r="324" spans="1:28" ht="16">
      <c r="A324" s="130"/>
      <c r="B324" s="87" t="s">
        <v>1123</v>
      </c>
      <c r="C324" s="94">
        <f>C323*2+C317</f>
        <v>1.4721747110875472</v>
      </c>
      <c r="D324" s="95" t="s">
        <v>727</v>
      </c>
      <c r="E324" s="96"/>
      <c r="F324" s="88"/>
      <c r="G324" s="89" t="b">
        <v>1</v>
      </c>
      <c r="H324" s="89"/>
      <c r="I324" s="90"/>
      <c r="J324" s="90"/>
      <c r="K324" s="90"/>
      <c r="L324" s="90"/>
      <c r="M324" s="90"/>
      <c r="N324" s="90"/>
      <c r="O324" s="90"/>
      <c r="P324" s="90"/>
      <c r="Q324" s="90"/>
      <c r="R324" s="90"/>
      <c r="S324" s="90"/>
      <c r="T324" s="90"/>
      <c r="U324" s="90"/>
      <c r="V324" s="90"/>
      <c r="W324" s="90"/>
      <c r="X324" s="90"/>
      <c r="Y324" s="90"/>
      <c r="Z324" s="90"/>
      <c r="AA324" s="90"/>
      <c r="AB324" s="90"/>
    </row>
    <row r="325" spans="1:28" ht="16">
      <c r="A325" s="128" t="s">
        <v>357</v>
      </c>
      <c r="B325" s="91" t="s">
        <v>1124</v>
      </c>
      <c r="C325" s="97">
        <f>C281</f>
        <v>0.84</v>
      </c>
      <c r="D325" s="98" t="s">
        <v>727</v>
      </c>
      <c r="E325" s="99"/>
      <c r="F325" s="92"/>
      <c r="G325" s="93" t="b">
        <v>1</v>
      </c>
      <c r="H325" s="93"/>
      <c r="I325" s="90"/>
      <c r="J325" s="90"/>
      <c r="K325" s="90"/>
      <c r="L325" s="90"/>
      <c r="M325" s="90"/>
      <c r="N325" s="90"/>
      <c r="O325" s="90"/>
      <c r="P325" s="90"/>
      <c r="Q325" s="90"/>
      <c r="R325" s="90"/>
      <c r="S325" s="90"/>
      <c r="T325" s="90"/>
      <c r="U325" s="90"/>
      <c r="V325" s="90"/>
      <c r="W325" s="90"/>
      <c r="X325" s="90"/>
      <c r="Y325" s="90"/>
      <c r="Z325" s="90"/>
      <c r="AA325" s="90"/>
      <c r="AB325" s="90"/>
    </row>
    <row r="326" spans="1:28" ht="16">
      <c r="A326" s="125"/>
      <c r="B326" s="87" t="s">
        <v>1125</v>
      </c>
      <c r="C326" s="94">
        <f>C324</f>
        <v>1.4721747110875472</v>
      </c>
      <c r="D326" s="95" t="s">
        <v>727</v>
      </c>
      <c r="E326" s="96"/>
      <c r="F326" s="88"/>
      <c r="G326" s="89" t="b">
        <v>1</v>
      </c>
      <c r="H326" s="89"/>
      <c r="I326" s="90"/>
      <c r="J326" s="90"/>
      <c r="K326" s="90"/>
      <c r="L326" s="90"/>
      <c r="M326" s="90"/>
      <c r="N326" s="90"/>
      <c r="O326" s="90"/>
      <c r="P326" s="90"/>
      <c r="Q326" s="90"/>
      <c r="R326" s="90"/>
      <c r="S326" s="90"/>
      <c r="T326" s="90"/>
      <c r="U326" s="90"/>
      <c r="V326" s="90"/>
      <c r="W326" s="90"/>
      <c r="X326" s="90"/>
      <c r="Y326" s="90"/>
      <c r="Z326" s="90"/>
      <c r="AA326" s="90"/>
      <c r="AB326" s="90"/>
    </row>
    <row r="327" spans="1:28" ht="16">
      <c r="A327" s="125"/>
      <c r="B327" s="91" t="s">
        <v>1126</v>
      </c>
      <c r="C327" s="97">
        <f>C278</f>
        <v>2.5</v>
      </c>
      <c r="D327" s="98" t="s">
        <v>752</v>
      </c>
      <c r="E327" s="99"/>
      <c r="F327" s="92"/>
      <c r="G327" s="93" t="b">
        <v>1</v>
      </c>
      <c r="H327" s="93"/>
      <c r="I327" s="90"/>
      <c r="J327" s="90"/>
      <c r="K327" s="90"/>
      <c r="L327" s="90"/>
      <c r="M327" s="90"/>
      <c r="N327" s="90"/>
      <c r="O327" s="90"/>
      <c r="P327" s="90"/>
      <c r="Q327" s="90"/>
      <c r="R327" s="90"/>
      <c r="S327" s="90"/>
      <c r="T327" s="90"/>
      <c r="U327" s="90"/>
      <c r="V327" s="90"/>
      <c r="W327" s="90"/>
      <c r="X327" s="90"/>
      <c r="Y327" s="90"/>
      <c r="Z327" s="90"/>
      <c r="AA327" s="90"/>
      <c r="AB327" s="90"/>
    </row>
    <row r="328" spans="1:28" ht="16">
      <c r="A328" s="125"/>
      <c r="B328" s="87" t="s">
        <v>1127</v>
      </c>
      <c r="C328" s="94">
        <f>C318</f>
        <v>0.46700000000000003</v>
      </c>
      <c r="D328" s="105" t="s">
        <v>1058</v>
      </c>
      <c r="E328" s="96"/>
      <c r="F328" s="88"/>
      <c r="G328" s="89" t="b">
        <v>1</v>
      </c>
      <c r="H328" s="89"/>
      <c r="I328" s="90"/>
      <c r="J328" s="90"/>
      <c r="K328" s="90"/>
      <c r="L328" s="90"/>
      <c r="M328" s="90"/>
      <c r="N328" s="90"/>
      <c r="O328" s="90"/>
      <c r="P328" s="90"/>
      <c r="Q328" s="90"/>
      <c r="R328" s="90"/>
      <c r="S328" s="90"/>
      <c r="T328" s="90"/>
      <c r="U328" s="90"/>
      <c r="V328" s="90"/>
      <c r="W328" s="90"/>
      <c r="X328" s="90"/>
      <c r="Y328" s="90"/>
      <c r="Z328" s="90"/>
      <c r="AA328" s="90"/>
      <c r="AB328" s="90"/>
    </row>
    <row r="329" spans="1:28" ht="16">
      <c r="A329" s="125"/>
      <c r="B329" s="91" t="s">
        <v>1128</v>
      </c>
      <c r="C329" s="97">
        <f>C325/2*RADIANS(C278)*1000000/C293</f>
        <v>111.79163561104448</v>
      </c>
      <c r="D329" s="101"/>
      <c r="E329" s="99"/>
      <c r="F329" s="92"/>
      <c r="G329" s="93" t="b">
        <v>1</v>
      </c>
      <c r="H329" s="93"/>
      <c r="I329" s="90"/>
      <c r="J329" s="90"/>
      <c r="K329" s="90"/>
      <c r="L329" s="90"/>
      <c r="M329" s="90"/>
      <c r="N329" s="90"/>
      <c r="O329" s="90"/>
      <c r="P329" s="90"/>
      <c r="Q329" s="90"/>
      <c r="R329" s="90"/>
      <c r="S329" s="90"/>
      <c r="T329" s="90"/>
      <c r="U329" s="90"/>
      <c r="V329" s="90"/>
      <c r="W329" s="90"/>
      <c r="X329" s="90"/>
      <c r="Y329" s="90"/>
      <c r="Z329" s="90"/>
      <c r="AA329" s="90"/>
      <c r="AB329" s="90"/>
    </row>
    <row r="330" spans="1:28" ht="16">
      <c r="A330" s="130"/>
      <c r="B330" s="87" t="s">
        <v>1129</v>
      </c>
      <c r="C330" s="94">
        <f>C321</f>
        <v>2.0304347826086961</v>
      </c>
      <c r="D330" s="95"/>
      <c r="E330" s="96"/>
      <c r="F330" s="88"/>
      <c r="G330" s="89" t="b">
        <v>1</v>
      </c>
      <c r="H330" s="89"/>
      <c r="I330" s="90"/>
      <c r="J330" s="90"/>
      <c r="K330" s="90"/>
      <c r="L330" s="90"/>
      <c r="M330" s="90"/>
      <c r="N330" s="90"/>
      <c r="O330" s="90"/>
      <c r="P330" s="90"/>
      <c r="Q330" s="90"/>
      <c r="R330" s="90"/>
      <c r="S330" s="90"/>
      <c r="T330" s="90"/>
      <c r="U330" s="90"/>
      <c r="V330" s="90"/>
      <c r="W330" s="90"/>
      <c r="X330" s="90"/>
      <c r="Y330" s="90"/>
      <c r="Z330" s="90"/>
      <c r="AA330" s="90"/>
      <c r="AB330" s="90"/>
    </row>
    <row r="331" spans="1:28" ht="16">
      <c r="A331" s="104" t="s">
        <v>875</v>
      </c>
      <c r="B331" s="91" t="s">
        <v>1130</v>
      </c>
      <c r="C331" s="97">
        <v>75</v>
      </c>
      <c r="D331" s="98" t="s">
        <v>727</v>
      </c>
      <c r="E331" s="99"/>
      <c r="F331" s="92"/>
      <c r="G331" s="93" t="b">
        <v>0</v>
      </c>
      <c r="H331" s="93"/>
      <c r="I331" s="90"/>
      <c r="J331" s="90"/>
      <c r="K331" s="90"/>
      <c r="L331" s="90"/>
      <c r="M331" s="90"/>
      <c r="N331" s="90"/>
      <c r="O331" s="90"/>
      <c r="P331" s="90"/>
      <c r="Q331" s="90"/>
      <c r="R331" s="90"/>
      <c r="S331" s="90"/>
      <c r="T331" s="90"/>
      <c r="U331" s="90"/>
      <c r="V331" s="90"/>
      <c r="W331" s="90"/>
      <c r="X331" s="90"/>
      <c r="Y331" s="90"/>
      <c r="Z331" s="90"/>
      <c r="AA331" s="90"/>
      <c r="AB331" s="90"/>
    </row>
    <row r="332" spans="1:28" ht="16">
      <c r="A332" s="128" t="s">
        <v>1131</v>
      </c>
      <c r="B332" s="87" t="s">
        <v>1132</v>
      </c>
      <c r="C332" s="94">
        <f>TAN(RADIANS(C327))*C331</f>
        <v>3.2745707181384045</v>
      </c>
      <c r="D332" s="95" t="s">
        <v>727</v>
      </c>
      <c r="E332" s="96"/>
      <c r="F332" s="88"/>
      <c r="G332" s="89" t="b">
        <v>1</v>
      </c>
      <c r="H332" s="89"/>
      <c r="I332" s="90"/>
      <c r="J332" s="90"/>
      <c r="K332" s="90"/>
      <c r="L332" s="90"/>
      <c r="M332" s="90"/>
      <c r="N332" s="90"/>
      <c r="O332" s="90"/>
      <c r="P332" s="90"/>
      <c r="Q332" s="90"/>
      <c r="R332" s="90"/>
      <c r="S332" s="90"/>
      <c r="T332" s="90"/>
      <c r="U332" s="90"/>
      <c r="V332" s="90"/>
      <c r="W332" s="90"/>
      <c r="X332" s="90"/>
      <c r="Y332" s="90"/>
      <c r="Z332" s="90"/>
      <c r="AA332" s="90"/>
      <c r="AB332" s="90"/>
    </row>
    <row r="333" spans="1:28" ht="16">
      <c r="A333" s="125"/>
      <c r="B333" s="91" t="s">
        <v>1133</v>
      </c>
      <c r="C333" s="97">
        <f>TAN(C328/1000)*C331</f>
        <v>3.5025002546189302E-2</v>
      </c>
      <c r="D333" s="98" t="s">
        <v>727</v>
      </c>
      <c r="E333" s="99"/>
      <c r="F333" s="92"/>
      <c r="G333" s="93" t="b">
        <v>1</v>
      </c>
      <c r="H333" s="93"/>
      <c r="I333" s="90"/>
      <c r="J333" s="90"/>
      <c r="K333" s="90"/>
      <c r="L333" s="90"/>
      <c r="M333" s="90"/>
      <c r="N333" s="90"/>
      <c r="O333" s="90"/>
      <c r="P333" s="90"/>
      <c r="Q333" s="90"/>
      <c r="R333" s="90"/>
      <c r="S333" s="90"/>
      <c r="T333" s="90"/>
      <c r="U333" s="90"/>
      <c r="V333" s="90"/>
      <c r="W333" s="90"/>
      <c r="X333" s="90"/>
      <c r="Y333" s="90"/>
      <c r="Z333" s="90"/>
      <c r="AA333" s="90"/>
      <c r="AB333" s="90"/>
    </row>
    <row r="334" spans="1:28" ht="16">
      <c r="A334" s="125"/>
      <c r="B334" s="87" t="s">
        <v>1134</v>
      </c>
      <c r="C334" s="94">
        <f t="shared" ref="C334:C335" si="4">2*C332+C325</f>
        <v>7.3891414362768089</v>
      </c>
      <c r="D334" s="95" t="s">
        <v>727</v>
      </c>
      <c r="E334" s="96"/>
      <c r="F334" s="88"/>
      <c r="G334" s="89" t="b">
        <v>1</v>
      </c>
      <c r="H334" s="89"/>
      <c r="I334" s="90"/>
      <c r="J334" s="90"/>
      <c r="K334" s="90"/>
      <c r="L334" s="90"/>
      <c r="M334" s="90"/>
      <c r="N334" s="90"/>
      <c r="O334" s="90"/>
      <c r="P334" s="90"/>
      <c r="Q334" s="90"/>
      <c r="R334" s="90"/>
      <c r="S334" s="90"/>
      <c r="T334" s="90"/>
      <c r="U334" s="90"/>
      <c r="V334" s="90"/>
      <c r="W334" s="90"/>
      <c r="X334" s="90"/>
      <c r="Y334" s="90"/>
      <c r="Z334" s="90"/>
      <c r="AA334" s="90"/>
      <c r="AB334" s="90"/>
    </row>
    <row r="335" spans="1:28" ht="16">
      <c r="A335" s="129"/>
      <c r="B335" s="91" t="s">
        <v>1135</v>
      </c>
      <c r="C335" s="97">
        <f t="shared" si="4"/>
        <v>1.5422247161799258</v>
      </c>
      <c r="D335" s="98" t="s">
        <v>727</v>
      </c>
      <c r="E335" s="99"/>
      <c r="F335" s="92"/>
      <c r="G335" s="93" t="b">
        <v>1</v>
      </c>
      <c r="H335" s="93"/>
      <c r="I335" s="90"/>
      <c r="J335" s="90"/>
      <c r="K335" s="90"/>
      <c r="L335" s="90"/>
      <c r="M335" s="90"/>
      <c r="N335" s="90"/>
      <c r="O335" s="90"/>
      <c r="P335" s="90"/>
      <c r="Q335" s="90"/>
      <c r="R335" s="90"/>
      <c r="S335" s="90"/>
      <c r="T335" s="90"/>
      <c r="U335" s="90"/>
      <c r="V335" s="90"/>
      <c r="W335" s="90"/>
      <c r="X335" s="90"/>
      <c r="Y335" s="90"/>
      <c r="Z335" s="90"/>
      <c r="AA335" s="90"/>
      <c r="AB335" s="90"/>
    </row>
    <row r="336" spans="1:28" ht="16">
      <c r="A336" s="128" t="s">
        <v>1136</v>
      </c>
      <c r="B336" s="87" t="s">
        <v>1137</v>
      </c>
      <c r="C336" s="94">
        <f>C275*TAN(RADIANS(C344))</f>
        <v>0.40824426752233178</v>
      </c>
      <c r="D336" s="95" t="s">
        <v>727</v>
      </c>
      <c r="E336" s="96"/>
      <c r="F336" s="88"/>
      <c r="G336" s="89" t="b">
        <v>1</v>
      </c>
      <c r="H336" s="89"/>
      <c r="I336" s="90"/>
      <c r="J336" s="90"/>
      <c r="K336" s="90"/>
      <c r="L336" s="90"/>
      <c r="M336" s="90"/>
      <c r="N336" s="90"/>
      <c r="O336" s="90"/>
      <c r="P336" s="90"/>
      <c r="Q336" s="90"/>
      <c r="R336" s="90"/>
      <c r="S336" s="90"/>
      <c r="T336" s="90"/>
      <c r="U336" s="90"/>
      <c r="V336" s="90"/>
      <c r="W336" s="90"/>
      <c r="X336" s="90"/>
      <c r="Y336" s="90"/>
      <c r="Z336" s="90"/>
      <c r="AA336" s="90"/>
      <c r="AB336" s="90"/>
    </row>
    <row r="337" spans="1:28" ht="16">
      <c r="A337" s="125"/>
      <c r="B337" s="91" t="s">
        <v>1138</v>
      </c>
      <c r="C337" s="97">
        <f>C275*TAN(RADIANS(C345))</f>
        <v>1.3857282803151849</v>
      </c>
      <c r="D337" s="98" t="s">
        <v>727</v>
      </c>
      <c r="E337" s="99"/>
      <c r="F337" s="92"/>
      <c r="G337" s="93" t="b">
        <v>1</v>
      </c>
      <c r="H337" s="93"/>
      <c r="I337" s="90"/>
      <c r="J337" s="90"/>
      <c r="K337" s="90"/>
      <c r="L337" s="90"/>
      <c r="M337" s="90"/>
      <c r="N337" s="90"/>
      <c r="O337" s="90"/>
      <c r="P337" s="90"/>
      <c r="Q337" s="90"/>
      <c r="R337" s="90"/>
      <c r="S337" s="90"/>
      <c r="T337" s="90"/>
      <c r="U337" s="90"/>
      <c r="V337" s="90"/>
      <c r="W337" s="90"/>
      <c r="X337" s="90"/>
      <c r="Y337" s="90"/>
      <c r="Z337" s="90"/>
      <c r="AA337" s="90"/>
      <c r="AB337" s="90"/>
    </row>
    <row r="338" spans="1:28" ht="16">
      <c r="A338" s="125"/>
      <c r="B338" s="87" t="s">
        <v>1139</v>
      </c>
      <c r="C338" s="94">
        <f t="shared" ref="C338:C339" si="5">C340+C336</f>
        <v>6.9532289625010675</v>
      </c>
      <c r="D338" s="95" t="s">
        <v>727</v>
      </c>
      <c r="E338" s="96"/>
      <c r="F338" s="88"/>
      <c r="G338" s="89" t="b">
        <v>1</v>
      </c>
      <c r="H338" s="89"/>
      <c r="I338" s="90"/>
      <c r="J338" s="90"/>
      <c r="K338" s="90"/>
      <c r="L338" s="90"/>
      <c r="M338" s="90"/>
      <c r="N338" s="90"/>
      <c r="O338" s="90"/>
      <c r="P338" s="90"/>
      <c r="Q338" s="90"/>
      <c r="R338" s="90"/>
      <c r="S338" s="90"/>
      <c r="T338" s="90"/>
      <c r="U338" s="90"/>
      <c r="V338" s="90"/>
      <c r="W338" s="90"/>
      <c r="X338" s="90"/>
      <c r="Y338" s="90"/>
      <c r="Z338" s="90"/>
      <c r="AA338" s="90"/>
      <c r="AB338" s="90"/>
    </row>
    <row r="339" spans="1:28" ht="16">
      <c r="A339" s="129"/>
      <c r="B339" s="91" t="s">
        <v>1140</v>
      </c>
      <c r="C339" s="97">
        <f t="shared" si="5"/>
        <v>1.420753280315185</v>
      </c>
      <c r="D339" s="98" t="s">
        <v>727</v>
      </c>
      <c r="E339" s="99"/>
      <c r="F339" s="92"/>
      <c r="G339" s="93" t="b">
        <v>1</v>
      </c>
      <c r="H339" s="93"/>
      <c r="I339" s="90"/>
      <c r="J339" s="90"/>
      <c r="K339" s="90"/>
      <c r="L339" s="90"/>
      <c r="M339" s="90"/>
      <c r="N339" s="90"/>
      <c r="O339" s="90"/>
      <c r="P339" s="90"/>
      <c r="Q339" s="90"/>
      <c r="R339" s="90"/>
      <c r="S339" s="90"/>
      <c r="T339" s="90"/>
      <c r="U339" s="90"/>
      <c r="V339" s="90"/>
      <c r="W339" s="90"/>
      <c r="X339" s="90"/>
      <c r="Y339" s="90"/>
      <c r="Z339" s="90"/>
      <c r="AA339" s="90"/>
      <c r="AB339" s="90"/>
    </row>
    <row r="340" spans="1:28" ht="16">
      <c r="A340" s="128" t="s">
        <v>701</v>
      </c>
      <c r="B340" s="87" t="s">
        <v>1141</v>
      </c>
      <c r="C340" s="94">
        <f>C274*RADIANS(C327)*2</f>
        <v>6.5449846949787354</v>
      </c>
      <c r="D340" s="95" t="s">
        <v>727</v>
      </c>
      <c r="E340" s="96"/>
      <c r="F340" s="88"/>
      <c r="G340" s="89" t="b">
        <v>1</v>
      </c>
      <c r="H340" s="89"/>
      <c r="I340" s="90"/>
      <c r="J340" s="90"/>
      <c r="K340" s="90"/>
      <c r="L340" s="90"/>
      <c r="M340" s="90"/>
      <c r="N340" s="90"/>
      <c r="O340" s="90"/>
      <c r="P340" s="90"/>
      <c r="Q340" s="90"/>
      <c r="R340" s="90"/>
      <c r="S340" s="90"/>
      <c r="T340" s="90"/>
      <c r="U340" s="90"/>
      <c r="V340" s="90"/>
      <c r="W340" s="90"/>
      <c r="X340" s="90"/>
      <c r="Y340" s="90"/>
      <c r="Z340" s="90"/>
      <c r="AA340" s="90"/>
      <c r="AB340" s="90"/>
    </row>
    <row r="341" spans="1:28" ht="16">
      <c r="A341" s="125"/>
      <c r="B341" s="91" t="s">
        <v>1142</v>
      </c>
      <c r="C341" s="97">
        <f>C274*C328/1000</f>
        <v>3.5025000000000001E-2</v>
      </c>
      <c r="D341" s="98" t="s">
        <v>727</v>
      </c>
      <c r="E341" s="99"/>
      <c r="F341" s="92"/>
      <c r="G341" s="93" t="b">
        <v>1</v>
      </c>
      <c r="H341" s="93"/>
      <c r="I341" s="90"/>
      <c r="J341" s="90"/>
      <c r="K341" s="90"/>
      <c r="L341" s="90"/>
      <c r="M341" s="90"/>
      <c r="N341" s="90"/>
      <c r="O341" s="90"/>
      <c r="P341" s="90"/>
      <c r="Q341" s="90"/>
      <c r="R341" s="90"/>
      <c r="S341" s="90"/>
      <c r="T341" s="90"/>
      <c r="U341" s="90"/>
      <c r="V341" s="90"/>
      <c r="W341" s="90"/>
      <c r="X341" s="90"/>
      <c r="Y341" s="90"/>
      <c r="Z341" s="90"/>
      <c r="AA341" s="90"/>
      <c r="AB341" s="90"/>
    </row>
    <row r="342" spans="1:28" ht="16">
      <c r="A342" s="125"/>
      <c r="B342" s="87" t="s">
        <v>1143</v>
      </c>
      <c r="C342" s="94">
        <f t="shared" ref="C342:C343" si="6">C329</f>
        <v>111.79163561104448</v>
      </c>
      <c r="D342" s="95"/>
      <c r="E342" s="96"/>
      <c r="F342" s="88"/>
      <c r="G342" s="89" t="b">
        <v>1</v>
      </c>
      <c r="H342" s="89"/>
      <c r="I342" s="90"/>
      <c r="J342" s="90"/>
      <c r="K342" s="90"/>
      <c r="L342" s="90"/>
      <c r="M342" s="90"/>
      <c r="N342" s="90"/>
      <c r="O342" s="90"/>
      <c r="P342" s="90"/>
      <c r="Q342" s="90"/>
      <c r="R342" s="90"/>
      <c r="S342" s="90"/>
      <c r="T342" s="90"/>
      <c r="U342" s="90"/>
      <c r="V342" s="90"/>
      <c r="W342" s="90"/>
      <c r="X342" s="90"/>
      <c r="Y342" s="90"/>
      <c r="Z342" s="90"/>
      <c r="AA342" s="90"/>
      <c r="AB342" s="90"/>
    </row>
    <row r="343" spans="1:28" ht="16">
      <c r="A343" s="125"/>
      <c r="B343" s="91" t="s">
        <v>1144</v>
      </c>
      <c r="C343" s="97">
        <f t="shared" si="6"/>
        <v>2.0304347826086961</v>
      </c>
      <c r="D343" s="98"/>
      <c r="E343" s="99"/>
      <c r="F343" s="92"/>
      <c r="G343" s="93" t="b">
        <v>1</v>
      </c>
      <c r="H343" s="93"/>
      <c r="I343" s="90"/>
      <c r="J343" s="90"/>
      <c r="K343" s="90"/>
      <c r="L343" s="90"/>
      <c r="M343" s="90"/>
      <c r="N343" s="90"/>
      <c r="O343" s="90"/>
      <c r="P343" s="90"/>
      <c r="Q343" s="90"/>
      <c r="R343" s="90"/>
      <c r="S343" s="90"/>
      <c r="T343" s="90"/>
      <c r="U343" s="90"/>
      <c r="V343" s="90"/>
      <c r="W343" s="90"/>
      <c r="X343" s="90"/>
      <c r="Y343" s="90"/>
      <c r="Z343" s="90"/>
      <c r="AA343" s="90"/>
      <c r="AB343" s="90"/>
    </row>
    <row r="344" spans="1:28" ht="16">
      <c r="A344" s="125"/>
      <c r="B344" s="87" t="s">
        <v>1145</v>
      </c>
      <c r="C344" s="94">
        <f>DEGREES(2*C342*C293/1000000/C340)</f>
        <v>0.320856365273261</v>
      </c>
      <c r="D344" s="95" t="s">
        <v>752</v>
      </c>
      <c r="E344" s="96"/>
      <c r="F344" s="88"/>
      <c r="G344" s="89" t="b">
        <v>1</v>
      </c>
      <c r="H344" s="89"/>
      <c r="I344" s="90"/>
      <c r="J344" s="90"/>
      <c r="K344" s="90"/>
      <c r="L344" s="90"/>
      <c r="M344" s="90"/>
      <c r="N344" s="90"/>
      <c r="O344" s="90"/>
      <c r="P344" s="90"/>
      <c r="Q344" s="90"/>
      <c r="R344" s="90"/>
      <c r="S344" s="90"/>
      <c r="T344" s="90"/>
      <c r="U344" s="90"/>
      <c r="V344" s="90"/>
      <c r="W344" s="90"/>
      <c r="X344" s="90"/>
      <c r="Y344" s="90"/>
      <c r="Z344" s="90"/>
      <c r="AA344" s="90"/>
      <c r="AB344" s="90"/>
    </row>
    <row r="345" spans="1:28" ht="16">
      <c r="A345" s="129"/>
      <c r="B345" s="91" t="s">
        <v>1146</v>
      </c>
      <c r="C345" s="97">
        <f>DEGREES(2*C343*C293/1000000/C341)</f>
        <v>1.0889824607124308</v>
      </c>
      <c r="D345" s="98" t="s">
        <v>752</v>
      </c>
      <c r="E345" s="99"/>
      <c r="F345" s="92"/>
      <c r="G345" s="93" t="b">
        <v>1</v>
      </c>
      <c r="H345" s="93"/>
      <c r="I345" s="90"/>
      <c r="J345" s="90"/>
      <c r="K345" s="90"/>
      <c r="L345" s="90"/>
      <c r="M345" s="90"/>
      <c r="N345" s="90"/>
      <c r="O345" s="90"/>
      <c r="P345" s="90"/>
      <c r="Q345" s="90"/>
      <c r="R345" s="90"/>
      <c r="S345" s="90"/>
      <c r="T345" s="90"/>
      <c r="U345" s="90"/>
      <c r="V345" s="90"/>
      <c r="W345" s="90"/>
      <c r="X345" s="90"/>
      <c r="Y345" s="90"/>
      <c r="Z345" s="90"/>
      <c r="AA345" s="90"/>
      <c r="AB345" s="90"/>
    </row>
    <row r="346" spans="1:28" ht="16">
      <c r="A346" s="128" t="s">
        <v>1147</v>
      </c>
      <c r="B346" s="87" t="s">
        <v>1148</v>
      </c>
      <c r="C346" s="94">
        <f t="shared" ref="C346:C347" si="7">C270*TAN(RADIANS(C344))</f>
        <v>0.5605658597940385</v>
      </c>
      <c r="D346" s="95" t="s">
        <v>727</v>
      </c>
      <c r="E346" s="96"/>
      <c r="F346" s="88"/>
      <c r="G346" s="89" t="b">
        <v>1</v>
      </c>
      <c r="H346" s="89"/>
      <c r="I346" s="90"/>
      <c r="J346" s="90"/>
      <c r="K346" s="90"/>
      <c r="L346" s="90"/>
      <c r="M346" s="90"/>
      <c r="N346" s="90"/>
      <c r="O346" s="90"/>
      <c r="P346" s="90"/>
      <c r="Q346" s="90"/>
      <c r="R346" s="90"/>
      <c r="S346" s="90"/>
      <c r="T346" s="90"/>
      <c r="U346" s="90"/>
      <c r="V346" s="90"/>
      <c r="W346" s="90"/>
      <c r="X346" s="90"/>
      <c r="Y346" s="90"/>
      <c r="Z346" s="90"/>
      <c r="AA346" s="90"/>
      <c r="AB346" s="90"/>
    </row>
    <row r="347" spans="1:28" ht="16">
      <c r="A347" s="125"/>
      <c r="B347" s="91" t="s">
        <v>1149</v>
      </c>
      <c r="C347" s="97">
        <f t="shared" si="7"/>
        <v>1.847637707086913</v>
      </c>
      <c r="D347" s="98" t="s">
        <v>727</v>
      </c>
      <c r="E347" s="99"/>
      <c r="F347" s="92"/>
      <c r="G347" s="93" t="b">
        <v>1</v>
      </c>
      <c r="H347" s="93"/>
      <c r="I347" s="90"/>
      <c r="J347" s="90"/>
      <c r="K347" s="90"/>
      <c r="L347" s="90"/>
      <c r="M347" s="90"/>
      <c r="N347" s="90"/>
      <c r="O347" s="90"/>
      <c r="P347" s="90"/>
      <c r="Q347" s="90"/>
      <c r="R347" s="90"/>
      <c r="S347" s="90"/>
      <c r="T347" s="90"/>
      <c r="U347" s="90"/>
      <c r="V347" s="90"/>
      <c r="W347" s="90"/>
      <c r="X347" s="90"/>
      <c r="Y347" s="90"/>
      <c r="Z347" s="90"/>
      <c r="AA347" s="90"/>
      <c r="AB347" s="90"/>
    </row>
    <row r="348" spans="1:28" ht="16">
      <c r="A348" s="125"/>
      <c r="B348" s="87" t="s">
        <v>1150</v>
      </c>
      <c r="C348" s="94">
        <f t="shared" ref="C348:C349" si="8">C340+C346</f>
        <v>7.1055505547727735</v>
      </c>
      <c r="D348" s="95" t="s">
        <v>727</v>
      </c>
      <c r="E348" s="96"/>
      <c r="F348" s="88"/>
      <c r="G348" s="89" t="b">
        <v>1</v>
      </c>
      <c r="H348" s="89"/>
      <c r="I348" s="90"/>
      <c r="J348" s="90"/>
      <c r="K348" s="90"/>
      <c r="L348" s="90"/>
      <c r="M348" s="90"/>
      <c r="N348" s="90"/>
      <c r="O348" s="90"/>
      <c r="P348" s="90"/>
      <c r="Q348" s="90"/>
      <c r="R348" s="90"/>
      <c r="S348" s="90"/>
      <c r="T348" s="90"/>
      <c r="U348" s="90"/>
      <c r="V348" s="90"/>
      <c r="W348" s="90"/>
      <c r="X348" s="90"/>
      <c r="Y348" s="90"/>
      <c r="Z348" s="90"/>
      <c r="AA348" s="90"/>
      <c r="AB348" s="90"/>
    </row>
    <row r="349" spans="1:28" ht="16">
      <c r="A349" s="129"/>
      <c r="B349" s="91" t="s">
        <v>1151</v>
      </c>
      <c r="C349" s="97">
        <f t="shared" si="8"/>
        <v>1.8826627070869131</v>
      </c>
      <c r="D349" s="98" t="s">
        <v>727</v>
      </c>
      <c r="E349" s="99"/>
      <c r="F349" s="92"/>
      <c r="G349" s="93" t="b">
        <v>1</v>
      </c>
      <c r="H349" s="93"/>
      <c r="I349" s="90"/>
      <c r="J349" s="90"/>
      <c r="K349" s="90"/>
      <c r="L349" s="90"/>
      <c r="M349" s="90"/>
      <c r="N349" s="90"/>
      <c r="O349" s="90"/>
      <c r="P349" s="90"/>
      <c r="Q349" s="90"/>
      <c r="R349" s="90"/>
      <c r="S349" s="90"/>
      <c r="T349" s="90"/>
      <c r="U349" s="90"/>
      <c r="V349" s="90"/>
      <c r="W349" s="90"/>
      <c r="X349" s="90"/>
      <c r="Y349" s="90"/>
      <c r="Z349" s="90"/>
      <c r="AA349" s="90"/>
      <c r="AB349" s="90"/>
    </row>
    <row r="350" spans="1:28" ht="16">
      <c r="A350" s="128" t="s">
        <v>1152</v>
      </c>
      <c r="B350" s="87" t="s">
        <v>1153</v>
      </c>
      <c r="C350" s="94">
        <f>TAN(RADIANS(C358))*C355</f>
        <v>3.2703883180947573</v>
      </c>
      <c r="D350" s="95" t="s">
        <v>727</v>
      </c>
      <c r="E350" s="96"/>
      <c r="F350" s="88"/>
      <c r="G350" s="89" t="b">
        <v>1</v>
      </c>
      <c r="H350" s="89"/>
      <c r="I350" s="90"/>
      <c r="J350" s="90"/>
      <c r="K350" s="90"/>
      <c r="L350" s="90"/>
      <c r="M350" s="90"/>
      <c r="N350" s="90"/>
      <c r="O350" s="90"/>
      <c r="P350" s="90"/>
      <c r="Q350" s="90"/>
      <c r="R350" s="90"/>
      <c r="S350" s="90"/>
      <c r="T350" s="90"/>
      <c r="U350" s="90"/>
      <c r="V350" s="90"/>
      <c r="W350" s="90"/>
      <c r="X350" s="90"/>
      <c r="Y350" s="90"/>
      <c r="Z350" s="90"/>
      <c r="AA350" s="90"/>
      <c r="AB350" s="90"/>
    </row>
    <row r="351" spans="1:28" ht="16">
      <c r="A351" s="125"/>
      <c r="B351" s="91" t="s">
        <v>1154</v>
      </c>
      <c r="C351" s="97">
        <f>C355*TAN(C359/1000)</f>
        <v>1.9411847094516013E-3</v>
      </c>
      <c r="D351" s="98" t="s">
        <v>727</v>
      </c>
      <c r="E351" s="99"/>
      <c r="F351" s="92"/>
      <c r="G351" s="93" t="b">
        <v>1</v>
      </c>
      <c r="H351" s="93"/>
      <c r="I351" s="90"/>
      <c r="J351" s="90"/>
      <c r="K351" s="90"/>
      <c r="L351" s="90"/>
      <c r="M351" s="90"/>
      <c r="N351" s="90"/>
      <c r="O351" s="90"/>
      <c r="P351" s="90"/>
      <c r="Q351" s="90"/>
      <c r="R351" s="90"/>
      <c r="S351" s="90"/>
      <c r="T351" s="90"/>
      <c r="U351" s="90"/>
      <c r="V351" s="90"/>
      <c r="W351" s="90"/>
      <c r="X351" s="90"/>
      <c r="Y351" s="90"/>
      <c r="Z351" s="90"/>
      <c r="AA351" s="90"/>
      <c r="AB351" s="90"/>
    </row>
    <row r="352" spans="1:28" ht="16">
      <c r="A352" s="125"/>
      <c r="B352" s="87" t="s">
        <v>1155</v>
      </c>
      <c r="C352" s="94">
        <f t="shared" ref="C352:C353" si="9">C356+2*C350</f>
        <v>7.661896636189514</v>
      </c>
      <c r="D352" s="95" t="s">
        <v>727</v>
      </c>
      <c r="E352" s="96"/>
      <c r="F352" s="88"/>
      <c r="G352" s="89" t="b">
        <v>1</v>
      </c>
      <c r="H352" s="89"/>
      <c r="I352" s="90"/>
      <c r="J352" s="90"/>
      <c r="K352" s="90"/>
      <c r="L352" s="90"/>
      <c r="M352" s="90"/>
      <c r="N352" s="90"/>
      <c r="O352" s="90"/>
      <c r="P352" s="90"/>
      <c r="Q352" s="90"/>
      <c r="R352" s="90"/>
      <c r="S352" s="90"/>
      <c r="T352" s="90"/>
      <c r="U352" s="90"/>
      <c r="V352" s="90"/>
      <c r="W352" s="90"/>
      <c r="X352" s="90"/>
      <c r="Y352" s="90"/>
      <c r="Z352" s="90"/>
      <c r="AA352" s="90"/>
      <c r="AB352" s="90"/>
    </row>
    <row r="353" spans="1:28" ht="16">
      <c r="A353" s="125"/>
      <c r="B353" s="91" t="s">
        <v>1156</v>
      </c>
      <c r="C353" s="97">
        <f t="shared" si="9"/>
        <v>1.9687448838170827</v>
      </c>
      <c r="D353" s="98" t="s">
        <v>727</v>
      </c>
      <c r="E353" s="99"/>
      <c r="F353" s="92"/>
      <c r="G353" s="93" t="b">
        <v>1</v>
      </c>
      <c r="H353" s="93"/>
      <c r="I353" s="90"/>
      <c r="J353" s="90"/>
      <c r="K353" s="90"/>
      <c r="L353" s="90"/>
      <c r="M353" s="90"/>
      <c r="N353" s="90"/>
      <c r="O353" s="90"/>
      <c r="P353" s="90"/>
      <c r="Q353" s="90"/>
      <c r="R353" s="90"/>
      <c r="S353" s="90"/>
      <c r="T353" s="90"/>
      <c r="U353" s="90"/>
      <c r="V353" s="90"/>
      <c r="W353" s="90"/>
      <c r="X353" s="90"/>
      <c r="Y353" s="90"/>
      <c r="Z353" s="90"/>
      <c r="AA353" s="90"/>
      <c r="AB353" s="90"/>
    </row>
    <row r="354" spans="1:28" ht="16">
      <c r="A354" s="130"/>
      <c r="B354" s="87" t="s">
        <v>1157</v>
      </c>
      <c r="C354" s="94">
        <f>SQRT(C352^2+C353^2)</f>
        <v>7.9107911412960545</v>
      </c>
      <c r="D354" s="95" t="s">
        <v>727</v>
      </c>
      <c r="E354" s="96"/>
      <c r="F354" s="88"/>
      <c r="G354" s="89" t="b">
        <v>1</v>
      </c>
      <c r="H354" s="89"/>
      <c r="I354" s="90"/>
      <c r="J354" s="90"/>
      <c r="K354" s="90"/>
      <c r="L354" s="90"/>
      <c r="M354" s="90"/>
      <c r="N354" s="90"/>
      <c r="O354" s="90"/>
      <c r="P354" s="90"/>
      <c r="Q354" s="90"/>
      <c r="R354" s="90"/>
      <c r="S354" s="90"/>
      <c r="T354" s="90"/>
      <c r="U354" s="90"/>
      <c r="V354" s="90"/>
      <c r="W354" s="90"/>
      <c r="X354" s="90"/>
      <c r="Y354" s="90"/>
      <c r="Z354" s="90"/>
      <c r="AA354" s="90"/>
      <c r="AB354" s="90"/>
    </row>
    <row r="355" spans="1:28" ht="16">
      <c r="A355" s="104" t="s">
        <v>875</v>
      </c>
      <c r="B355" s="91" t="s">
        <v>1158</v>
      </c>
      <c r="C355" s="97">
        <v>100</v>
      </c>
      <c r="D355" s="98" t="s">
        <v>727</v>
      </c>
      <c r="E355" s="99"/>
      <c r="F355" s="92"/>
      <c r="G355" s="93" t="b">
        <v>0</v>
      </c>
      <c r="H355" s="93"/>
      <c r="I355" s="90"/>
      <c r="J355" s="90"/>
      <c r="K355" s="90"/>
      <c r="L355" s="90"/>
      <c r="M355" s="90"/>
      <c r="N355" s="90"/>
      <c r="O355" s="90"/>
      <c r="P355" s="90"/>
      <c r="Q355" s="90"/>
      <c r="R355" s="90"/>
      <c r="S355" s="90"/>
      <c r="T355" s="90"/>
      <c r="U355" s="90"/>
      <c r="V355" s="90"/>
      <c r="W355" s="90"/>
      <c r="X355" s="90"/>
      <c r="Y355" s="90"/>
      <c r="Z355" s="90"/>
      <c r="AA355" s="90"/>
      <c r="AB355" s="90"/>
    </row>
    <row r="356" spans="1:28" ht="16">
      <c r="A356" s="128" t="s">
        <v>710</v>
      </c>
      <c r="B356" s="87" t="s">
        <v>1159</v>
      </c>
      <c r="C356" s="94">
        <f>C325/C305</f>
        <v>1.1211199999999999</v>
      </c>
      <c r="D356" s="95" t="s">
        <v>727</v>
      </c>
      <c r="E356" s="96"/>
      <c r="F356" s="88"/>
      <c r="G356" s="89" t="b">
        <v>1</v>
      </c>
      <c r="H356" s="89"/>
      <c r="I356" s="90"/>
      <c r="J356" s="90"/>
      <c r="K356" s="90"/>
      <c r="L356" s="90"/>
      <c r="M356" s="90"/>
      <c r="N356" s="90"/>
      <c r="O356" s="90"/>
      <c r="P356" s="90"/>
      <c r="Q356" s="90"/>
      <c r="R356" s="90"/>
      <c r="S356" s="90"/>
      <c r="T356" s="90"/>
      <c r="U356" s="90"/>
      <c r="V356" s="90"/>
      <c r="W356" s="90"/>
      <c r="X356" s="90"/>
      <c r="Y356" s="90"/>
      <c r="Z356" s="90"/>
      <c r="AA356" s="90"/>
      <c r="AB356" s="90"/>
    </row>
    <row r="357" spans="1:28" ht="16">
      <c r="A357" s="125"/>
      <c r="B357" s="91" t="s">
        <v>1160</v>
      </c>
      <c r="C357" s="97">
        <f>C326/C305</f>
        <v>1.9648625143981795</v>
      </c>
      <c r="D357" s="98" t="s">
        <v>727</v>
      </c>
      <c r="E357" s="99"/>
      <c r="F357" s="92"/>
      <c r="G357" s="93" t="b">
        <v>1</v>
      </c>
      <c r="H357" s="93"/>
      <c r="I357" s="90"/>
      <c r="J357" s="90"/>
      <c r="K357" s="90"/>
      <c r="L357" s="90"/>
      <c r="M357" s="90"/>
      <c r="N357" s="90"/>
      <c r="O357" s="90"/>
      <c r="P357" s="90"/>
      <c r="Q357" s="90"/>
      <c r="R357" s="90"/>
      <c r="S357" s="90"/>
      <c r="T357" s="90"/>
      <c r="U357" s="90"/>
      <c r="V357" s="90"/>
      <c r="W357" s="90"/>
      <c r="X357" s="90"/>
      <c r="Y357" s="90"/>
      <c r="Z357" s="90"/>
      <c r="AA357" s="90"/>
      <c r="AB357" s="90"/>
    </row>
    <row r="358" spans="1:28" ht="16">
      <c r="A358" s="125"/>
      <c r="B358" s="87" t="s">
        <v>1161</v>
      </c>
      <c r="C358" s="94">
        <f>DEGREES(2*C360*C293/1000000/C356)</f>
        <v>1.8731268731268731</v>
      </c>
      <c r="D358" s="95" t="s">
        <v>752</v>
      </c>
      <c r="E358" s="96"/>
      <c r="F358" s="88"/>
      <c r="G358" s="89" t="b">
        <v>1</v>
      </c>
      <c r="H358" s="89"/>
      <c r="I358" s="90"/>
      <c r="J358" s="90"/>
      <c r="K358" s="90"/>
      <c r="L358" s="90"/>
      <c r="M358" s="90"/>
      <c r="N358" s="90"/>
      <c r="O358" s="90"/>
      <c r="P358" s="90"/>
      <c r="Q358" s="90"/>
      <c r="R358" s="90"/>
      <c r="S358" s="90"/>
      <c r="T358" s="90"/>
      <c r="U358" s="90"/>
      <c r="V358" s="90"/>
      <c r="W358" s="90"/>
      <c r="X358" s="90"/>
      <c r="Y358" s="90"/>
      <c r="Z358" s="90"/>
      <c r="AA358" s="90"/>
      <c r="AB358" s="90"/>
    </row>
    <row r="359" spans="1:28" ht="16">
      <c r="A359" s="125"/>
      <c r="B359" s="91" t="s">
        <v>1162</v>
      </c>
      <c r="C359" s="97">
        <f>DEGREES(2*C361*C293/1000000/C357)</f>
        <v>1.9411847092077755E-2</v>
      </c>
      <c r="D359" s="98" t="s">
        <v>752</v>
      </c>
      <c r="E359" s="99"/>
      <c r="F359" s="92"/>
      <c r="G359" s="93" t="b">
        <v>1</v>
      </c>
      <c r="H359" s="93"/>
      <c r="I359" s="90"/>
      <c r="J359" s="90"/>
      <c r="K359" s="90"/>
      <c r="L359" s="90"/>
      <c r="M359" s="90"/>
      <c r="N359" s="90"/>
      <c r="O359" s="90"/>
      <c r="P359" s="90"/>
      <c r="Q359" s="90"/>
      <c r="R359" s="90"/>
      <c r="S359" s="90"/>
      <c r="T359" s="90"/>
      <c r="U359" s="90"/>
      <c r="V359" s="90"/>
      <c r="W359" s="90"/>
      <c r="X359" s="90"/>
      <c r="Y359" s="90"/>
      <c r="Z359" s="90"/>
      <c r="AA359" s="90"/>
      <c r="AB359" s="90"/>
    </row>
    <row r="360" spans="1:28" ht="16">
      <c r="A360" s="125"/>
      <c r="B360" s="87" t="s">
        <v>1163</v>
      </c>
      <c r="C360" s="94">
        <f t="shared" ref="C360:C361" si="10">C329</f>
        <v>111.79163561104448</v>
      </c>
      <c r="D360" s="95"/>
      <c r="E360" s="96"/>
      <c r="F360" s="88"/>
      <c r="G360" s="89" t="b">
        <v>1</v>
      </c>
      <c r="H360" s="89"/>
      <c r="I360" s="90"/>
      <c r="J360" s="90"/>
      <c r="K360" s="90"/>
      <c r="L360" s="90"/>
      <c r="M360" s="90"/>
      <c r="N360" s="90"/>
      <c r="O360" s="90"/>
      <c r="P360" s="90"/>
      <c r="Q360" s="90"/>
      <c r="R360" s="90"/>
      <c r="S360" s="90"/>
      <c r="T360" s="90"/>
      <c r="U360" s="90"/>
      <c r="V360" s="90"/>
      <c r="W360" s="90"/>
      <c r="X360" s="90"/>
      <c r="Y360" s="90"/>
      <c r="Z360" s="90"/>
      <c r="AA360" s="90"/>
      <c r="AB360" s="90"/>
    </row>
    <row r="361" spans="1:28" ht="16">
      <c r="A361" s="125"/>
      <c r="B361" s="91" t="s">
        <v>1164</v>
      </c>
      <c r="C361" s="97">
        <f t="shared" si="10"/>
        <v>2.0304347826086961</v>
      </c>
      <c r="D361" s="98"/>
      <c r="E361" s="99"/>
      <c r="F361" s="92"/>
      <c r="G361" s="93" t="b">
        <v>1</v>
      </c>
      <c r="H361" s="93"/>
      <c r="I361" s="90"/>
      <c r="J361" s="90"/>
      <c r="K361" s="90"/>
      <c r="L361" s="90"/>
      <c r="M361" s="90"/>
      <c r="N361" s="90"/>
      <c r="O361" s="90"/>
      <c r="P361" s="90"/>
      <c r="Q361" s="90"/>
      <c r="R361" s="90"/>
      <c r="S361" s="90"/>
      <c r="T361" s="90"/>
      <c r="U361" s="90"/>
      <c r="V361" s="90"/>
      <c r="W361" s="90"/>
      <c r="X361" s="90"/>
      <c r="Y361" s="90"/>
      <c r="Z361" s="90"/>
      <c r="AA361" s="90"/>
      <c r="AB361" s="90"/>
    </row>
    <row r="362" spans="1:28" ht="16">
      <c r="A362" s="125"/>
      <c r="B362" s="87" t="s">
        <v>1165</v>
      </c>
      <c r="C362" s="94">
        <f>C408/C304</f>
        <v>0.54567409060078398</v>
      </c>
      <c r="D362" s="95" t="s">
        <v>752</v>
      </c>
      <c r="E362" s="96" t="s">
        <v>1166</v>
      </c>
      <c r="F362" s="88"/>
      <c r="G362" s="89" t="b">
        <v>1</v>
      </c>
      <c r="H362" s="89"/>
      <c r="I362" s="90"/>
      <c r="J362" s="90"/>
      <c r="K362" s="90"/>
      <c r="L362" s="90"/>
      <c r="M362" s="90"/>
      <c r="N362" s="90"/>
      <c r="O362" s="90"/>
      <c r="P362" s="90"/>
      <c r="Q362" s="90"/>
      <c r="R362" s="90"/>
      <c r="S362" s="90"/>
      <c r="T362" s="90"/>
      <c r="U362" s="90"/>
      <c r="V362" s="90"/>
      <c r="W362" s="90"/>
      <c r="X362" s="90"/>
      <c r="Y362" s="90"/>
      <c r="Z362" s="90"/>
      <c r="AA362" s="90"/>
      <c r="AB362" s="90"/>
    </row>
    <row r="363" spans="1:28" ht="16">
      <c r="A363" s="129"/>
      <c r="B363" s="91" t="s">
        <v>1167</v>
      </c>
      <c r="C363" s="97">
        <f>RADIANS(C362)*C357/2*1000000/C293</f>
        <v>57.076261123876918</v>
      </c>
      <c r="D363" s="98"/>
      <c r="E363" s="99"/>
      <c r="F363" s="92"/>
      <c r="G363" s="93" t="b">
        <v>1</v>
      </c>
      <c r="H363" s="93"/>
      <c r="I363" s="90"/>
      <c r="J363" s="90"/>
      <c r="K363" s="90"/>
      <c r="L363" s="90"/>
      <c r="M363" s="90"/>
      <c r="N363" s="90"/>
      <c r="O363" s="90"/>
      <c r="P363" s="90"/>
      <c r="Q363" s="90"/>
      <c r="R363" s="90"/>
      <c r="S363" s="90"/>
      <c r="T363" s="90"/>
      <c r="U363" s="90"/>
      <c r="V363" s="90"/>
      <c r="W363" s="90"/>
      <c r="X363" s="90"/>
      <c r="Y363" s="90"/>
      <c r="Z363" s="90"/>
      <c r="AA363" s="90"/>
      <c r="AB363" s="90"/>
    </row>
    <row r="364" spans="1:28" ht="16">
      <c r="A364" s="104" t="s">
        <v>875</v>
      </c>
      <c r="B364" s="87" t="s">
        <v>1168</v>
      </c>
      <c r="C364" s="94">
        <v>58</v>
      </c>
      <c r="D364" s="95" t="s">
        <v>727</v>
      </c>
      <c r="E364" s="96"/>
      <c r="F364" s="88"/>
      <c r="G364" s="89" t="b">
        <v>0</v>
      </c>
      <c r="H364" s="89"/>
      <c r="I364" s="90"/>
      <c r="J364" s="90"/>
      <c r="K364" s="90"/>
      <c r="L364" s="90"/>
      <c r="M364" s="90"/>
      <c r="N364" s="90"/>
      <c r="O364" s="90"/>
      <c r="P364" s="90"/>
      <c r="Q364" s="90"/>
      <c r="R364" s="90"/>
      <c r="S364" s="90"/>
      <c r="T364" s="90"/>
      <c r="U364" s="90"/>
      <c r="V364" s="90"/>
      <c r="W364" s="90"/>
      <c r="X364" s="90"/>
      <c r="Y364" s="90"/>
      <c r="Z364" s="90"/>
      <c r="AA364" s="90"/>
      <c r="AB364" s="90"/>
    </row>
    <row r="365" spans="1:28" ht="16">
      <c r="A365" s="128" t="s">
        <v>1169</v>
      </c>
      <c r="B365" s="91" t="s">
        <v>1170</v>
      </c>
      <c r="C365" s="97">
        <f>C364*TAN(RADIANS(C358))</f>
        <v>1.8968252244949593</v>
      </c>
      <c r="D365" s="98" t="s">
        <v>727</v>
      </c>
      <c r="E365" s="99"/>
      <c r="F365" s="92"/>
      <c r="G365" s="93" t="b">
        <v>1</v>
      </c>
      <c r="H365" s="93"/>
      <c r="I365" s="90"/>
      <c r="J365" s="90"/>
      <c r="K365" s="90"/>
      <c r="L365" s="90"/>
      <c r="M365" s="90"/>
      <c r="N365" s="90"/>
      <c r="O365" s="90"/>
      <c r="P365" s="90"/>
      <c r="Q365" s="90"/>
      <c r="R365" s="90"/>
      <c r="S365" s="90"/>
      <c r="T365" s="90"/>
      <c r="U365" s="90"/>
      <c r="V365" s="90"/>
      <c r="W365" s="90"/>
      <c r="X365" s="90"/>
      <c r="Y365" s="90"/>
      <c r="Z365" s="90"/>
      <c r="AA365" s="90"/>
      <c r="AB365" s="90"/>
    </row>
    <row r="366" spans="1:28" ht="16">
      <c r="A366" s="125"/>
      <c r="B366" s="87" t="s">
        <v>1171</v>
      </c>
      <c r="C366" s="94">
        <f>C364*TAN(C359/1000)</f>
        <v>1.1258871314819288E-3</v>
      </c>
      <c r="D366" s="95" t="s">
        <v>727</v>
      </c>
      <c r="E366" s="96"/>
      <c r="F366" s="88"/>
      <c r="G366" s="89" t="b">
        <v>1</v>
      </c>
      <c r="H366" s="89"/>
      <c r="I366" s="90"/>
      <c r="J366" s="90"/>
      <c r="K366" s="90"/>
      <c r="L366" s="90"/>
      <c r="M366" s="90"/>
      <c r="N366" s="90"/>
      <c r="O366" s="90"/>
      <c r="P366" s="90"/>
      <c r="Q366" s="90"/>
      <c r="R366" s="90"/>
      <c r="S366" s="90"/>
      <c r="T366" s="90"/>
      <c r="U366" s="90"/>
      <c r="V366" s="90"/>
      <c r="W366" s="90"/>
      <c r="X366" s="90"/>
      <c r="Y366" s="90"/>
      <c r="Z366" s="90"/>
      <c r="AA366" s="90"/>
      <c r="AB366" s="90"/>
    </row>
    <row r="367" spans="1:28" ht="16">
      <c r="A367" s="125"/>
      <c r="B367" s="91" t="s">
        <v>1172</v>
      </c>
      <c r="C367" s="97">
        <f>TAN(RADIANS(C362))*C364</f>
        <v>0.55239765384713979</v>
      </c>
      <c r="D367" s="98" t="s">
        <v>727</v>
      </c>
      <c r="E367" s="99"/>
      <c r="F367" s="92"/>
      <c r="G367" s="93" t="b">
        <v>1</v>
      </c>
      <c r="H367" s="93"/>
      <c r="I367" s="90"/>
      <c r="J367" s="90"/>
      <c r="K367" s="90"/>
      <c r="L367" s="90"/>
      <c r="M367" s="90"/>
      <c r="N367" s="90"/>
      <c r="O367" s="90"/>
      <c r="P367" s="90"/>
      <c r="Q367" s="90"/>
      <c r="R367" s="90"/>
      <c r="S367" s="90"/>
      <c r="T367" s="90"/>
      <c r="U367" s="90"/>
      <c r="V367" s="90"/>
      <c r="W367" s="90"/>
      <c r="X367" s="90"/>
      <c r="Y367" s="90"/>
      <c r="Z367" s="90"/>
      <c r="AA367" s="90"/>
      <c r="AB367" s="90"/>
    </row>
    <row r="368" spans="1:28" ht="16">
      <c r="A368" s="125"/>
      <c r="B368" s="87" t="s">
        <v>1173</v>
      </c>
      <c r="C368" s="94">
        <f>C366+C367</f>
        <v>0.55352354097862178</v>
      </c>
      <c r="D368" s="95" t="s">
        <v>727</v>
      </c>
      <c r="E368" s="96"/>
      <c r="F368" s="88"/>
      <c r="G368" s="89" t="b">
        <v>1</v>
      </c>
      <c r="H368" s="89"/>
      <c r="I368" s="90"/>
      <c r="J368" s="90"/>
      <c r="K368" s="90"/>
      <c r="L368" s="90"/>
      <c r="M368" s="90"/>
      <c r="N368" s="90"/>
      <c r="O368" s="90"/>
      <c r="P368" s="90"/>
      <c r="Q368" s="90"/>
      <c r="R368" s="90"/>
      <c r="S368" s="90"/>
      <c r="T368" s="90"/>
      <c r="U368" s="90"/>
      <c r="V368" s="90"/>
      <c r="W368" s="90"/>
      <c r="X368" s="90"/>
      <c r="Y368" s="90"/>
      <c r="Z368" s="90"/>
      <c r="AA368" s="90"/>
      <c r="AB368" s="90"/>
    </row>
    <row r="369" spans="1:28" ht="16">
      <c r="A369" s="125"/>
      <c r="B369" s="91" t="s">
        <v>1174</v>
      </c>
      <c r="C369" s="97">
        <f t="shared" ref="C369:C370" si="11">C356+2*C365</f>
        <v>4.914770448989918</v>
      </c>
      <c r="D369" s="98" t="s">
        <v>727</v>
      </c>
      <c r="E369" s="99"/>
      <c r="F369" s="92"/>
      <c r="G369" s="93" t="b">
        <v>1</v>
      </c>
      <c r="H369" s="93"/>
      <c r="I369" s="90"/>
      <c r="J369" s="90"/>
      <c r="K369" s="90"/>
      <c r="L369" s="90"/>
      <c r="M369" s="90"/>
      <c r="N369" s="90"/>
      <c r="O369" s="90"/>
      <c r="P369" s="90"/>
      <c r="Q369" s="90"/>
      <c r="R369" s="90"/>
      <c r="S369" s="90"/>
      <c r="T369" s="90"/>
      <c r="U369" s="90"/>
      <c r="V369" s="90"/>
      <c r="W369" s="90"/>
      <c r="X369" s="90"/>
      <c r="Y369" s="90"/>
      <c r="Z369" s="90"/>
      <c r="AA369" s="90"/>
      <c r="AB369" s="90"/>
    </row>
    <row r="370" spans="1:28" ht="16">
      <c r="A370" s="125"/>
      <c r="B370" s="87" t="s">
        <v>1175</v>
      </c>
      <c r="C370" s="94">
        <f t="shared" si="11"/>
        <v>1.9671142886611435</v>
      </c>
      <c r="D370" s="95" t="s">
        <v>727</v>
      </c>
      <c r="E370" s="96"/>
      <c r="F370" s="88"/>
      <c r="G370" s="89" t="b">
        <v>1</v>
      </c>
      <c r="H370" s="89"/>
      <c r="I370" s="90"/>
      <c r="J370" s="90"/>
      <c r="K370" s="90"/>
      <c r="L370" s="90"/>
      <c r="M370" s="90"/>
      <c r="N370" s="90"/>
      <c r="O370" s="90"/>
      <c r="P370" s="90"/>
      <c r="Q370" s="90"/>
      <c r="R370" s="90"/>
      <c r="S370" s="90"/>
      <c r="T370" s="90"/>
      <c r="U370" s="90"/>
      <c r="V370" s="90"/>
      <c r="W370" s="90"/>
      <c r="X370" s="90"/>
      <c r="Y370" s="90"/>
      <c r="Z370" s="90"/>
      <c r="AA370" s="90"/>
      <c r="AB370" s="90"/>
    </row>
    <row r="371" spans="1:28" ht="16">
      <c r="A371" s="125"/>
      <c r="B371" s="91" t="s">
        <v>1176</v>
      </c>
      <c r="C371" s="97">
        <f>2*C367</f>
        <v>1.1047953076942796</v>
      </c>
      <c r="D371" s="98" t="s">
        <v>727</v>
      </c>
      <c r="E371" s="99"/>
      <c r="F371" s="92"/>
      <c r="G371" s="93" t="b">
        <v>1</v>
      </c>
      <c r="H371" s="93"/>
      <c r="I371" s="90"/>
      <c r="J371" s="90"/>
      <c r="K371" s="90"/>
      <c r="L371" s="90"/>
      <c r="M371" s="90"/>
      <c r="N371" s="90"/>
      <c r="O371" s="90"/>
      <c r="P371" s="90"/>
      <c r="Q371" s="90"/>
      <c r="R371" s="90"/>
      <c r="S371" s="90"/>
      <c r="T371" s="90"/>
      <c r="U371" s="90"/>
      <c r="V371" s="90"/>
      <c r="W371" s="90"/>
      <c r="X371" s="90"/>
      <c r="Y371" s="90"/>
      <c r="Z371" s="90"/>
      <c r="AA371" s="90"/>
      <c r="AB371" s="90"/>
    </row>
    <row r="372" spans="1:28" ht="16">
      <c r="A372" s="130"/>
      <c r="B372" s="87" t="s">
        <v>1177</v>
      </c>
      <c r="C372" s="94">
        <f>C371+C370</f>
        <v>3.071909596355423</v>
      </c>
      <c r="D372" s="95" t="s">
        <v>727</v>
      </c>
      <c r="E372" s="96"/>
      <c r="F372" s="88"/>
      <c r="G372" s="89" t="b">
        <v>1</v>
      </c>
      <c r="H372" s="89"/>
      <c r="I372" s="90"/>
      <c r="J372" s="90"/>
      <c r="K372" s="90"/>
      <c r="L372" s="90"/>
      <c r="M372" s="90"/>
      <c r="N372" s="90"/>
      <c r="O372" s="90"/>
      <c r="P372" s="90"/>
      <c r="Q372" s="90"/>
      <c r="R372" s="90"/>
      <c r="S372" s="90"/>
      <c r="T372" s="90"/>
      <c r="U372" s="90"/>
      <c r="V372" s="90"/>
      <c r="W372" s="90"/>
      <c r="X372" s="90"/>
      <c r="Y372" s="90"/>
      <c r="Z372" s="90"/>
      <c r="AA372" s="90"/>
      <c r="AB372" s="90"/>
    </row>
    <row r="373" spans="1:28" ht="16">
      <c r="A373" s="128" t="s">
        <v>1178</v>
      </c>
      <c r="B373" s="91" t="s">
        <v>1179</v>
      </c>
      <c r="C373" s="97">
        <f>C262*TAN(RADIANS(C388))</f>
        <v>0.48049027101419445</v>
      </c>
      <c r="D373" s="98" t="s">
        <v>727</v>
      </c>
      <c r="E373" s="99"/>
      <c r="F373" s="92"/>
      <c r="G373" s="93" t="b">
        <v>1</v>
      </c>
      <c r="H373" s="93"/>
      <c r="I373" s="90"/>
      <c r="J373" s="90"/>
      <c r="K373" s="90"/>
      <c r="L373" s="90"/>
      <c r="M373" s="90"/>
      <c r="N373" s="90"/>
      <c r="O373" s="90"/>
      <c r="P373" s="90"/>
      <c r="Q373" s="90"/>
      <c r="R373" s="90"/>
      <c r="S373" s="90"/>
      <c r="T373" s="90"/>
      <c r="U373" s="90"/>
      <c r="V373" s="90"/>
      <c r="W373" s="90"/>
      <c r="X373" s="90"/>
      <c r="Y373" s="90"/>
      <c r="Z373" s="90"/>
      <c r="AA373" s="90"/>
      <c r="AB373" s="90"/>
    </row>
    <row r="374" spans="1:28" ht="16">
      <c r="A374" s="125"/>
      <c r="B374" s="87" t="s">
        <v>1171</v>
      </c>
      <c r="C374" s="94">
        <f>TAN(RADIANS(C389))*C262</f>
        <v>1.6311447280298144</v>
      </c>
      <c r="D374" s="95" t="s">
        <v>727</v>
      </c>
      <c r="E374" s="96"/>
      <c r="F374" s="88"/>
      <c r="G374" s="89" t="b">
        <v>1</v>
      </c>
      <c r="H374" s="89"/>
      <c r="I374" s="90"/>
      <c r="J374" s="90"/>
      <c r="K374" s="90"/>
      <c r="L374" s="90"/>
      <c r="M374" s="90"/>
      <c r="N374" s="90"/>
      <c r="O374" s="90"/>
      <c r="P374" s="90"/>
      <c r="Q374" s="90"/>
      <c r="R374" s="90"/>
      <c r="S374" s="90"/>
      <c r="T374" s="90"/>
      <c r="U374" s="90"/>
      <c r="V374" s="90"/>
      <c r="W374" s="90"/>
      <c r="X374" s="90"/>
      <c r="Y374" s="90"/>
      <c r="Z374" s="90"/>
      <c r="AA374" s="90"/>
      <c r="AB374" s="90"/>
    </row>
    <row r="375" spans="1:28" ht="16">
      <c r="A375" s="125"/>
      <c r="B375" s="91" t="s">
        <v>1174</v>
      </c>
      <c r="C375" s="97">
        <f t="shared" ref="C375:C376" si="12">2*C373+C380</f>
        <v>5.5378929161393922</v>
      </c>
      <c r="D375" s="98" t="s">
        <v>727</v>
      </c>
      <c r="E375" s="99"/>
      <c r="F375" s="92"/>
      <c r="G375" s="93" t="b">
        <v>1</v>
      </c>
      <c r="H375" s="93"/>
      <c r="I375" s="90"/>
      <c r="J375" s="90"/>
      <c r="K375" s="90"/>
      <c r="L375" s="90"/>
      <c r="M375" s="90"/>
      <c r="N375" s="90"/>
      <c r="O375" s="90"/>
      <c r="P375" s="90"/>
      <c r="Q375" s="90"/>
      <c r="R375" s="90"/>
      <c r="S375" s="90"/>
      <c r="T375" s="90"/>
      <c r="U375" s="90"/>
      <c r="V375" s="90"/>
      <c r="W375" s="90"/>
      <c r="X375" s="90"/>
      <c r="Y375" s="90"/>
      <c r="Z375" s="90"/>
      <c r="AA375" s="90"/>
      <c r="AB375" s="90"/>
    </row>
    <row r="376" spans="1:28" ht="16">
      <c r="A376" s="125"/>
      <c r="B376" s="87" t="s">
        <v>1175</v>
      </c>
      <c r="C376" s="94">
        <f t="shared" si="12"/>
        <v>3.2867824630526359</v>
      </c>
      <c r="D376" s="95" t="s">
        <v>727</v>
      </c>
      <c r="E376" s="96"/>
      <c r="F376" s="88"/>
      <c r="G376" s="89" t="b">
        <v>1</v>
      </c>
      <c r="H376" s="89"/>
      <c r="I376" s="90"/>
      <c r="J376" s="90"/>
      <c r="K376" s="90"/>
      <c r="L376" s="90"/>
      <c r="M376" s="90"/>
      <c r="N376" s="90"/>
      <c r="O376" s="90"/>
      <c r="P376" s="90"/>
      <c r="Q376" s="90"/>
      <c r="R376" s="90"/>
      <c r="S376" s="90"/>
      <c r="T376" s="90"/>
      <c r="U376" s="90"/>
      <c r="V376" s="90"/>
      <c r="W376" s="90"/>
      <c r="X376" s="90"/>
      <c r="Y376" s="90"/>
      <c r="Z376" s="90"/>
      <c r="AA376" s="90"/>
      <c r="AB376" s="90"/>
    </row>
    <row r="377" spans="1:28" ht="16">
      <c r="A377" s="125"/>
      <c r="B377" s="91" t="s">
        <v>1176</v>
      </c>
      <c r="C377" s="97">
        <f>C382</f>
        <v>1.3333333333333333</v>
      </c>
      <c r="D377" s="98" t="s">
        <v>727</v>
      </c>
      <c r="E377" s="99"/>
      <c r="F377" s="92"/>
      <c r="G377" s="93" t="b">
        <v>1</v>
      </c>
      <c r="H377" s="93"/>
      <c r="I377" s="90"/>
      <c r="J377" s="90"/>
      <c r="K377" s="90"/>
      <c r="L377" s="90"/>
      <c r="M377" s="90"/>
      <c r="N377" s="90"/>
      <c r="O377" s="90"/>
      <c r="P377" s="90"/>
      <c r="Q377" s="90"/>
      <c r="R377" s="90"/>
      <c r="S377" s="90"/>
      <c r="T377" s="90"/>
      <c r="U377" s="90"/>
      <c r="V377" s="90"/>
      <c r="W377" s="90"/>
      <c r="X377" s="90"/>
      <c r="Y377" s="90"/>
      <c r="Z377" s="90"/>
      <c r="AA377" s="90"/>
      <c r="AB377" s="90"/>
    </row>
    <row r="378" spans="1:28" ht="16">
      <c r="A378" s="125"/>
      <c r="B378" s="87" t="s">
        <v>1177</v>
      </c>
      <c r="C378" s="94">
        <f>C383+C376</f>
        <v>4.6446088033789756</v>
      </c>
      <c r="D378" s="95" t="s">
        <v>727</v>
      </c>
      <c r="E378" s="96"/>
      <c r="F378" s="88"/>
      <c r="G378" s="89" t="b">
        <v>1</v>
      </c>
      <c r="H378" s="89"/>
      <c r="I378" s="90"/>
      <c r="J378" s="90"/>
      <c r="K378" s="90"/>
      <c r="L378" s="90"/>
      <c r="M378" s="90"/>
      <c r="N378" s="90"/>
      <c r="O378" s="90"/>
      <c r="P378" s="90"/>
      <c r="Q378" s="90"/>
      <c r="R378" s="90"/>
      <c r="S378" s="90"/>
      <c r="T378" s="90"/>
      <c r="U378" s="90"/>
      <c r="V378" s="90"/>
      <c r="W378" s="90"/>
      <c r="X378" s="90"/>
      <c r="Y378" s="90"/>
      <c r="Z378" s="90"/>
      <c r="AA378" s="90"/>
      <c r="AB378" s="90"/>
    </row>
    <row r="379" spans="1:28" ht="16">
      <c r="A379" s="129"/>
      <c r="B379" s="91" t="s">
        <v>1180</v>
      </c>
      <c r="C379" s="97">
        <f>SQRT(C378^2+C375^2)</f>
        <v>7.2277692884493998</v>
      </c>
      <c r="D379" s="98" t="s">
        <v>727</v>
      </c>
      <c r="E379" s="99"/>
      <c r="F379" s="92"/>
      <c r="G379" s="93" t="b">
        <v>1</v>
      </c>
      <c r="H379" s="93"/>
      <c r="I379" s="90"/>
      <c r="J379" s="90"/>
      <c r="K379" s="90"/>
      <c r="L379" s="90"/>
      <c r="M379" s="90"/>
      <c r="N379" s="90"/>
      <c r="O379" s="90"/>
      <c r="P379" s="90"/>
      <c r="Q379" s="90"/>
      <c r="R379" s="90"/>
      <c r="S379" s="90"/>
      <c r="T379" s="90"/>
      <c r="U379" s="90"/>
      <c r="V379" s="90"/>
      <c r="W379" s="90"/>
      <c r="X379" s="90"/>
      <c r="Y379" s="90"/>
      <c r="Z379" s="90"/>
      <c r="AA379" s="90"/>
      <c r="AB379" s="90"/>
    </row>
    <row r="380" spans="1:28" ht="16">
      <c r="A380" s="128" t="s">
        <v>699</v>
      </c>
      <c r="B380" s="87" t="s">
        <v>1181</v>
      </c>
      <c r="C380" s="94">
        <f>C340/C303</f>
        <v>4.5769123741110036</v>
      </c>
      <c r="D380" s="95" t="s">
        <v>727</v>
      </c>
      <c r="E380" s="96"/>
      <c r="F380" s="88"/>
      <c r="G380" s="89" t="b">
        <v>1</v>
      </c>
      <c r="H380" s="89"/>
      <c r="I380" s="90"/>
      <c r="J380" s="90"/>
      <c r="K380" s="90"/>
      <c r="L380" s="90"/>
      <c r="M380" s="90"/>
      <c r="N380" s="90"/>
      <c r="O380" s="90"/>
      <c r="P380" s="90"/>
      <c r="Q380" s="90"/>
      <c r="R380" s="90"/>
      <c r="S380" s="90"/>
      <c r="T380" s="90"/>
      <c r="U380" s="90"/>
      <c r="V380" s="90"/>
      <c r="W380" s="90"/>
      <c r="X380" s="90"/>
      <c r="Y380" s="90"/>
      <c r="Z380" s="90"/>
      <c r="AA380" s="90"/>
      <c r="AB380" s="90"/>
    </row>
    <row r="381" spans="1:28" ht="16">
      <c r="A381" s="125"/>
      <c r="B381" s="91" t="s">
        <v>1182</v>
      </c>
      <c r="C381" s="97">
        <f>C341/C303</f>
        <v>2.4493006993006994E-2</v>
      </c>
      <c r="D381" s="98" t="s">
        <v>727</v>
      </c>
      <c r="E381" s="99"/>
      <c r="F381" s="92"/>
      <c r="G381" s="93" t="b">
        <v>1</v>
      </c>
      <c r="H381" s="93"/>
      <c r="I381" s="90"/>
      <c r="J381" s="90"/>
      <c r="K381" s="90"/>
      <c r="L381" s="90"/>
      <c r="M381" s="90"/>
      <c r="N381" s="90"/>
      <c r="O381" s="90"/>
      <c r="P381" s="90"/>
      <c r="Q381" s="90"/>
      <c r="R381" s="90"/>
      <c r="S381" s="90"/>
      <c r="T381" s="90"/>
      <c r="U381" s="90"/>
      <c r="V381" s="90"/>
      <c r="W381" s="90"/>
      <c r="X381" s="90"/>
      <c r="Y381" s="90"/>
      <c r="Z381" s="90"/>
      <c r="AA381" s="90"/>
      <c r="AB381" s="90"/>
    </row>
    <row r="382" spans="1:28" ht="16">
      <c r="A382" s="125"/>
      <c r="B382" s="87" t="s">
        <v>1183</v>
      </c>
      <c r="C382" s="94">
        <f>RADIANS(C362)*C261*2</f>
        <v>1.3333333333333333</v>
      </c>
      <c r="D382" s="95" t="s">
        <v>727</v>
      </c>
      <c r="E382" s="96"/>
      <c r="F382" s="88"/>
      <c r="G382" s="89" t="b">
        <v>1</v>
      </c>
      <c r="H382" s="89"/>
      <c r="I382" s="90"/>
      <c r="J382" s="90"/>
      <c r="K382" s="90"/>
      <c r="L382" s="90"/>
      <c r="M382" s="90"/>
      <c r="N382" s="90"/>
      <c r="O382" s="90"/>
      <c r="P382" s="90"/>
      <c r="Q382" s="90"/>
      <c r="R382" s="90"/>
      <c r="S382" s="90"/>
      <c r="T382" s="90"/>
      <c r="U382" s="90"/>
      <c r="V382" s="90"/>
      <c r="W382" s="90"/>
      <c r="X382" s="90"/>
      <c r="Y382" s="90"/>
      <c r="Z382" s="90"/>
      <c r="AA382" s="90"/>
      <c r="AB382" s="90"/>
    </row>
    <row r="383" spans="1:28" ht="16">
      <c r="A383" s="125"/>
      <c r="B383" s="91" t="s">
        <v>1184</v>
      </c>
      <c r="C383" s="97">
        <f>C381+C382</f>
        <v>1.3578263403263402</v>
      </c>
      <c r="D383" s="98" t="s">
        <v>727</v>
      </c>
      <c r="E383" s="99"/>
      <c r="F383" s="92"/>
      <c r="G383" s="93" t="b">
        <v>1</v>
      </c>
      <c r="H383" s="93"/>
      <c r="I383" s="90"/>
      <c r="J383" s="90"/>
      <c r="K383" s="90"/>
      <c r="L383" s="90"/>
      <c r="M383" s="90"/>
      <c r="N383" s="90"/>
      <c r="O383" s="90"/>
      <c r="P383" s="90"/>
      <c r="Q383" s="90"/>
      <c r="R383" s="90"/>
      <c r="S383" s="90"/>
      <c r="T383" s="90"/>
      <c r="U383" s="90"/>
      <c r="V383" s="90"/>
      <c r="W383" s="90"/>
      <c r="X383" s="90"/>
      <c r="Y383" s="90"/>
      <c r="Z383" s="90"/>
      <c r="AA383" s="90"/>
      <c r="AB383" s="90"/>
    </row>
    <row r="384" spans="1:28" ht="16">
      <c r="A384" s="125"/>
      <c r="B384" s="87" t="s">
        <v>1185</v>
      </c>
      <c r="C384" s="94">
        <f>SQRT(C383^2+C380^2)</f>
        <v>4.7740778429739121</v>
      </c>
      <c r="D384" s="95" t="s">
        <v>727</v>
      </c>
      <c r="E384" s="96"/>
      <c r="F384" s="88"/>
      <c r="G384" s="89" t="b">
        <v>1</v>
      </c>
      <c r="H384" s="89"/>
      <c r="I384" s="90"/>
      <c r="J384" s="90"/>
      <c r="K384" s="90"/>
      <c r="L384" s="90"/>
      <c r="M384" s="90"/>
      <c r="N384" s="90"/>
      <c r="O384" s="90"/>
      <c r="P384" s="90"/>
      <c r="Q384" s="90"/>
      <c r="R384" s="90"/>
      <c r="S384" s="90"/>
      <c r="T384" s="90"/>
      <c r="U384" s="90"/>
      <c r="V384" s="90"/>
      <c r="W384" s="90"/>
      <c r="X384" s="90"/>
      <c r="Y384" s="90"/>
      <c r="Z384" s="90"/>
      <c r="AA384" s="90"/>
      <c r="AB384" s="90"/>
    </row>
    <row r="385" spans="1:28" ht="16">
      <c r="A385" s="125"/>
      <c r="B385" s="91" t="s">
        <v>1143</v>
      </c>
      <c r="C385" s="97">
        <f t="shared" ref="C385:C386" si="13">C360</f>
        <v>111.79163561104448</v>
      </c>
      <c r="D385" s="98"/>
      <c r="E385" s="99"/>
      <c r="F385" s="92"/>
      <c r="G385" s="93" t="b">
        <v>1</v>
      </c>
      <c r="H385" s="93"/>
      <c r="I385" s="90"/>
      <c r="J385" s="90"/>
      <c r="K385" s="90"/>
      <c r="L385" s="90"/>
      <c r="M385" s="90"/>
      <c r="N385" s="90"/>
      <c r="O385" s="90"/>
      <c r="P385" s="90"/>
      <c r="Q385" s="90"/>
      <c r="R385" s="90"/>
      <c r="S385" s="90"/>
      <c r="T385" s="90"/>
      <c r="U385" s="90"/>
      <c r="V385" s="90"/>
      <c r="W385" s="90"/>
      <c r="X385" s="90"/>
      <c r="Y385" s="90"/>
      <c r="Z385" s="90"/>
      <c r="AA385" s="90"/>
      <c r="AB385" s="90"/>
    </row>
    <row r="386" spans="1:28" ht="16">
      <c r="A386" s="125"/>
      <c r="B386" s="87" t="s">
        <v>1186</v>
      </c>
      <c r="C386" s="94">
        <f t="shared" si="13"/>
        <v>2.0304347826086961</v>
      </c>
      <c r="D386" s="95"/>
      <c r="E386" s="96"/>
      <c r="F386" s="88"/>
      <c r="G386" s="89" t="b">
        <v>1</v>
      </c>
      <c r="H386" s="89"/>
      <c r="I386" s="90"/>
      <c r="J386" s="90"/>
      <c r="K386" s="90"/>
      <c r="L386" s="90"/>
      <c r="M386" s="90"/>
      <c r="N386" s="90"/>
      <c r="O386" s="90"/>
      <c r="P386" s="90"/>
      <c r="Q386" s="90"/>
      <c r="R386" s="90"/>
      <c r="S386" s="90"/>
      <c r="T386" s="90"/>
      <c r="U386" s="90"/>
      <c r="V386" s="90"/>
      <c r="W386" s="90"/>
      <c r="X386" s="90"/>
      <c r="Y386" s="90"/>
      <c r="Z386" s="90"/>
      <c r="AA386" s="90"/>
      <c r="AB386" s="90"/>
    </row>
    <row r="387" spans="1:28" ht="16">
      <c r="A387" s="125"/>
      <c r="B387" s="91" t="s">
        <v>1187</v>
      </c>
      <c r="C387" s="97">
        <f>C363</f>
        <v>57.076261123876918</v>
      </c>
      <c r="D387" s="98"/>
      <c r="E387" s="99"/>
      <c r="F387" s="92"/>
      <c r="G387" s="93" t="b">
        <v>1</v>
      </c>
      <c r="H387" s="93"/>
      <c r="I387" s="90"/>
      <c r="J387" s="90"/>
      <c r="K387" s="90"/>
      <c r="L387" s="90"/>
      <c r="M387" s="90"/>
      <c r="N387" s="90"/>
      <c r="O387" s="90"/>
      <c r="P387" s="90"/>
      <c r="Q387" s="90"/>
      <c r="R387" s="90"/>
      <c r="S387" s="90"/>
      <c r="T387" s="90"/>
      <c r="U387" s="90"/>
      <c r="V387" s="90"/>
      <c r="W387" s="90"/>
      <c r="X387" s="90"/>
      <c r="Y387" s="90"/>
      <c r="Z387" s="90"/>
      <c r="AA387" s="90"/>
      <c r="AB387" s="90"/>
    </row>
    <row r="388" spans="1:28" ht="16">
      <c r="A388" s="125"/>
      <c r="B388" s="87" t="s">
        <v>1145</v>
      </c>
      <c r="C388" s="94">
        <f>DEGREES(2*C385*C293/1000000/C380)</f>
        <v>0.45882460234076322</v>
      </c>
      <c r="D388" s="95" t="s">
        <v>752</v>
      </c>
      <c r="E388" s="96"/>
      <c r="F388" s="88"/>
      <c r="G388" s="89" t="b">
        <v>1</v>
      </c>
      <c r="H388" s="89"/>
      <c r="I388" s="90"/>
      <c r="J388" s="90"/>
      <c r="K388" s="90"/>
      <c r="L388" s="90"/>
      <c r="M388" s="90"/>
      <c r="N388" s="90"/>
      <c r="O388" s="90"/>
      <c r="P388" s="90"/>
      <c r="Q388" s="90"/>
      <c r="R388" s="90"/>
      <c r="S388" s="90"/>
      <c r="T388" s="90"/>
      <c r="U388" s="90"/>
      <c r="V388" s="90"/>
      <c r="W388" s="90"/>
      <c r="X388" s="90"/>
      <c r="Y388" s="90"/>
      <c r="Z388" s="90"/>
      <c r="AA388" s="90"/>
      <c r="AB388" s="90"/>
    </row>
    <row r="389" spans="1:28" ht="16">
      <c r="A389" s="125"/>
      <c r="B389" s="91" t="s">
        <v>1188</v>
      </c>
      <c r="C389" s="97">
        <f>DEGREES(2*C386*C293/1000000/C381)</f>
        <v>1.5572449188187758</v>
      </c>
      <c r="D389" s="98" t="s">
        <v>752</v>
      </c>
      <c r="E389" s="99"/>
      <c r="F389" s="92"/>
      <c r="G389" s="93" t="b">
        <v>1</v>
      </c>
      <c r="H389" s="93"/>
      <c r="I389" s="90"/>
      <c r="J389" s="90"/>
      <c r="K389" s="90"/>
      <c r="L389" s="90"/>
      <c r="M389" s="90"/>
      <c r="N389" s="90"/>
      <c r="O389" s="90"/>
      <c r="P389" s="90"/>
      <c r="Q389" s="90"/>
      <c r="R389" s="90"/>
      <c r="S389" s="90"/>
      <c r="T389" s="90"/>
      <c r="U389" s="90"/>
      <c r="V389" s="90"/>
      <c r="W389" s="90"/>
      <c r="X389" s="90"/>
      <c r="Y389" s="90"/>
      <c r="Z389" s="90"/>
      <c r="AA389" s="90"/>
      <c r="AB389" s="90"/>
    </row>
    <row r="390" spans="1:28" ht="16">
      <c r="A390" s="130"/>
      <c r="B390" s="87" t="s">
        <v>1189</v>
      </c>
      <c r="C390" s="94">
        <f>DEGREES(2*C387*C293/1000000/C382)</f>
        <v>0.80413092427484734</v>
      </c>
      <c r="D390" s="95" t="s">
        <v>752</v>
      </c>
      <c r="E390" s="96"/>
      <c r="F390" s="88"/>
      <c r="G390" s="89" t="b">
        <v>1</v>
      </c>
      <c r="H390" s="89"/>
      <c r="I390" s="90"/>
      <c r="J390" s="90"/>
      <c r="K390" s="90"/>
      <c r="L390" s="90"/>
      <c r="M390" s="90"/>
      <c r="N390" s="90"/>
      <c r="O390" s="90"/>
      <c r="P390" s="90"/>
      <c r="Q390" s="90"/>
      <c r="R390" s="90"/>
      <c r="S390" s="90"/>
      <c r="T390" s="90"/>
      <c r="U390" s="90"/>
      <c r="V390" s="90"/>
      <c r="W390" s="90"/>
      <c r="X390" s="90"/>
      <c r="Y390" s="90"/>
      <c r="Z390" s="90"/>
      <c r="AA390" s="90"/>
      <c r="AB390" s="90"/>
    </row>
    <row r="391" spans="1:28" ht="16">
      <c r="A391" s="128" t="s">
        <v>1190</v>
      </c>
      <c r="B391" s="91" t="s">
        <v>1179</v>
      </c>
      <c r="C391" s="97">
        <f>C257*TAN(RADIANS(C388))</f>
        <v>1.1852093351683464</v>
      </c>
      <c r="D391" s="98" t="s">
        <v>727</v>
      </c>
      <c r="E391" s="99"/>
      <c r="F391" s="92"/>
      <c r="G391" s="93" t="b">
        <v>1</v>
      </c>
      <c r="H391" s="93"/>
      <c r="I391" s="90"/>
      <c r="J391" s="90"/>
      <c r="K391" s="90"/>
      <c r="L391" s="90"/>
      <c r="M391" s="90"/>
      <c r="N391" s="90"/>
      <c r="O391" s="90"/>
      <c r="P391" s="90"/>
      <c r="Q391" s="90"/>
      <c r="R391" s="90"/>
      <c r="S391" s="90"/>
      <c r="T391" s="90"/>
      <c r="U391" s="90"/>
      <c r="V391" s="90"/>
      <c r="W391" s="90"/>
      <c r="X391" s="90"/>
      <c r="Y391" s="90"/>
      <c r="Z391" s="90"/>
      <c r="AA391" s="90"/>
      <c r="AB391" s="90"/>
    </row>
    <row r="392" spans="1:28" ht="16">
      <c r="A392" s="125"/>
      <c r="B392" s="87" t="s">
        <v>1171</v>
      </c>
      <c r="C392" s="94">
        <f>TAN(RADIANS(C389))*C257</f>
        <v>4.0234903291402091</v>
      </c>
      <c r="D392" s="95" t="s">
        <v>727</v>
      </c>
      <c r="E392" s="96"/>
      <c r="F392" s="88"/>
      <c r="G392" s="89" t="b">
        <v>1</v>
      </c>
      <c r="H392" s="89"/>
      <c r="I392" s="90"/>
      <c r="J392" s="90"/>
      <c r="K392" s="90"/>
      <c r="L392" s="90"/>
      <c r="M392" s="90"/>
      <c r="N392" s="90"/>
      <c r="O392" s="90"/>
      <c r="P392" s="90"/>
      <c r="Q392" s="90"/>
      <c r="R392" s="90"/>
      <c r="S392" s="90"/>
      <c r="T392" s="90"/>
      <c r="U392" s="90"/>
      <c r="V392" s="90"/>
      <c r="W392" s="90"/>
      <c r="X392" s="90"/>
      <c r="Y392" s="90"/>
      <c r="Z392" s="90"/>
      <c r="AA392" s="90"/>
      <c r="AB392" s="90"/>
    </row>
    <row r="393" spans="1:28" ht="16">
      <c r="A393" s="125"/>
      <c r="B393" s="91" t="s">
        <v>1172</v>
      </c>
      <c r="C393" s="97">
        <f>TAN(RADIANS(C390))*C257</f>
        <v>2.0772767637912404</v>
      </c>
      <c r="D393" s="98" t="s">
        <v>727</v>
      </c>
      <c r="E393" s="99"/>
      <c r="F393" s="92"/>
      <c r="G393" s="93" t="b">
        <v>1</v>
      </c>
      <c r="H393" s="93"/>
      <c r="I393" s="90"/>
      <c r="J393" s="90"/>
      <c r="K393" s="90"/>
      <c r="L393" s="90"/>
      <c r="M393" s="90"/>
      <c r="N393" s="90"/>
      <c r="O393" s="90"/>
      <c r="P393" s="90"/>
      <c r="Q393" s="90"/>
      <c r="R393" s="90"/>
      <c r="S393" s="90"/>
      <c r="T393" s="90"/>
      <c r="U393" s="90"/>
      <c r="V393" s="90"/>
      <c r="W393" s="90"/>
      <c r="X393" s="90"/>
      <c r="Y393" s="90"/>
      <c r="Z393" s="90"/>
      <c r="AA393" s="90"/>
      <c r="AB393" s="90"/>
    </row>
    <row r="394" spans="1:28" ht="16">
      <c r="A394" s="125"/>
      <c r="B394" s="87" t="s">
        <v>1174</v>
      </c>
      <c r="C394" s="94">
        <f>C380+2*C391</f>
        <v>6.9473310444476963</v>
      </c>
      <c r="D394" s="95" t="s">
        <v>727</v>
      </c>
      <c r="E394" s="96"/>
      <c r="F394" s="88"/>
      <c r="G394" s="89" t="b">
        <v>1</v>
      </c>
      <c r="H394" s="89"/>
      <c r="I394" s="90"/>
      <c r="J394" s="90"/>
      <c r="K394" s="90"/>
      <c r="L394" s="90"/>
      <c r="M394" s="90"/>
      <c r="N394" s="90"/>
      <c r="O394" s="90"/>
      <c r="P394" s="90"/>
      <c r="Q394" s="90"/>
      <c r="R394" s="90"/>
      <c r="S394" s="90"/>
      <c r="T394" s="90"/>
      <c r="U394" s="90"/>
      <c r="V394" s="90"/>
      <c r="W394" s="90"/>
      <c r="X394" s="90"/>
      <c r="Y394" s="90"/>
      <c r="Z394" s="90"/>
      <c r="AA394" s="90"/>
      <c r="AB394" s="90"/>
    </row>
    <row r="395" spans="1:28" ht="16">
      <c r="A395" s="125"/>
      <c r="B395" s="91" t="s">
        <v>1175</v>
      </c>
      <c r="C395" s="97">
        <f t="shared" ref="C395:C396" si="14">2*C392+C381</f>
        <v>8.0714736652734249</v>
      </c>
      <c r="D395" s="98" t="s">
        <v>727</v>
      </c>
      <c r="E395" s="99"/>
      <c r="F395" s="92"/>
      <c r="G395" s="93" t="b">
        <v>1</v>
      </c>
      <c r="H395" s="93"/>
      <c r="I395" s="90"/>
      <c r="J395" s="90"/>
      <c r="K395" s="90"/>
      <c r="L395" s="90"/>
      <c r="M395" s="90"/>
      <c r="N395" s="90"/>
      <c r="O395" s="90"/>
      <c r="P395" s="90"/>
      <c r="Q395" s="90"/>
      <c r="R395" s="90"/>
      <c r="S395" s="90"/>
      <c r="T395" s="90"/>
      <c r="U395" s="90"/>
      <c r="V395" s="90"/>
      <c r="W395" s="90"/>
      <c r="X395" s="90"/>
      <c r="Y395" s="90"/>
      <c r="Z395" s="90"/>
      <c r="AA395" s="90"/>
      <c r="AB395" s="90"/>
    </row>
    <row r="396" spans="1:28" ht="16">
      <c r="A396" s="125"/>
      <c r="B396" s="87" t="s">
        <v>1176</v>
      </c>
      <c r="C396" s="94">
        <f t="shared" si="14"/>
        <v>5.4878868609158138</v>
      </c>
      <c r="D396" s="95" t="s">
        <v>727</v>
      </c>
      <c r="E396" s="96"/>
      <c r="F396" s="88"/>
      <c r="G396" s="89" t="b">
        <v>1</v>
      </c>
      <c r="H396" s="89"/>
      <c r="I396" s="90"/>
      <c r="J396" s="90"/>
      <c r="K396" s="90"/>
      <c r="L396" s="90"/>
      <c r="M396" s="90"/>
      <c r="N396" s="90"/>
      <c r="O396" s="90"/>
      <c r="P396" s="90"/>
      <c r="Q396" s="90"/>
      <c r="R396" s="90"/>
      <c r="S396" s="90"/>
      <c r="T396" s="90"/>
      <c r="U396" s="90"/>
      <c r="V396" s="90"/>
      <c r="W396" s="90"/>
      <c r="X396" s="90"/>
      <c r="Y396" s="90"/>
      <c r="Z396" s="90"/>
      <c r="AA396" s="90"/>
      <c r="AB396" s="90"/>
    </row>
    <row r="397" spans="1:28" ht="16">
      <c r="A397" s="125"/>
      <c r="B397" s="91" t="s">
        <v>1177</v>
      </c>
      <c r="C397" s="97">
        <f>C383+2*MAX(C392:C393)</f>
        <v>9.4048069986067588</v>
      </c>
      <c r="D397" s="98" t="s">
        <v>727</v>
      </c>
      <c r="E397" s="99"/>
      <c r="F397" s="92"/>
      <c r="G397" s="93" t="b">
        <v>1</v>
      </c>
      <c r="H397" s="93"/>
      <c r="I397" s="90"/>
      <c r="J397" s="90"/>
      <c r="K397" s="90"/>
      <c r="L397" s="90"/>
      <c r="M397" s="90"/>
      <c r="N397" s="90"/>
      <c r="O397" s="90"/>
      <c r="P397" s="90"/>
      <c r="Q397" s="90"/>
      <c r="R397" s="90"/>
      <c r="S397" s="90"/>
      <c r="T397" s="90"/>
      <c r="U397" s="90"/>
      <c r="V397" s="90"/>
      <c r="W397" s="90"/>
      <c r="X397" s="90"/>
      <c r="Y397" s="90"/>
      <c r="Z397" s="90"/>
      <c r="AA397" s="90"/>
      <c r="AB397" s="90"/>
    </row>
    <row r="398" spans="1:28" ht="16">
      <c r="A398" s="130"/>
      <c r="B398" s="87" t="s">
        <v>1180</v>
      </c>
      <c r="C398" s="94">
        <f>SQRT(C397^2+C394^2)</f>
        <v>11.692553327746229</v>
      </c>
      <c r="D398" s="95" t="s">
        <v>727</v>
      </c>
      <c r="E398" s="96"/>
      <c r="F398" s="88"/>
      <c r="G398" s="89" t="b">
        <v>1</v>
      </c>
      <c r="H398" s="89"/>
      <c r="I398" s="90"/>
      <c r="J398" s="90"/>
      <c r="K398" s="90"/>
      <c r="L398" s="90"/>
      <c r="M398" s="90"/>
      <c r="N398" s="90"/>
      <c r="O398" s="90"/>
      <c r="P398" s="90"/>
      <c r="Q398" s="90"/>
      <c r="R398" s="90"/>
      <c r="S398" s="90"/>
      <c r="T398" s="90"/>
      <c r="U398" s="90"/>
      <c r="V398" s="90"/>
      <c r="W398" s="90"/>
      <c r="X398" s="90"/>
      <c r="Y398" s="90"/>
      <c r="Z398" s="90"/>
      <c r="AA398" s="90"/>
      <c r="AB398" s="90"/>
    </row>
    <row r="399" spans="1:28" ht="16">
      <c r="A399" s="131" t="s">
        <v>875</v>
      </c>
      <c r="B399" s="91" t="s">
        <v>1191</v>
      </c>
      <c r="C399" s="97">
        <v>160</v>
      </c>
      <c r="D399" s="98" t="s">
        <v>727</v>
      </c>
      <c r="E399" s="99"/>
      <c r="F399" s="92"/>
      <c r="G399" s="93" t="b">
        <v>0</v>
      </c>
      <c r="H399" s="93"/>
      <c r="I399" s="90"/>
      <c r="J399" s="90"/>
      <c r="K399" s="90"/>
      <c r="L399" s="90"/>
      <c r="M399" s="90"/>
      <c r="N399" s="90"/>
      <c r="O399" s="90"/>
      <c r="P399" s="90"/>
      <c r="Q399" s="90"/>
      <c r="R399" s="90"/>
      <c r="S399" s="90"/>
      <c r="T399" s="90"/>
      <c r="U399" s="90"/>
      <c r="V399" s="90"/>
      <c r="W399" s="90"/>
      <c r="X399" s="90"/>
      <c r="Y399" s="90"/>
      <c r="Z399" s="90"/>
      <c r="AA399" s="90"/>
      <c r="AB399" s="90"/>
    </row>
    <row r="400" spans="1:28" ht="16">
      <c r="A400" s="130"/>
      <c r="B400" s="87" t="s">
        <v>1192</v>
      </c>
      <c r="C400" s="94">
        <f>((C394-C401)/2)/TAN(RADIANS(C406))</f>
        <v>163.60232995021937</v>
      </c>
      <c r="D400" s="95" t="s">
        <v>727</v>
      </c>
      <c r="E400" s="96"/>
      <c r="F400" s="88"/>
      <c r="G400" s="89" t="b">
        <v>1</v>
      </c>
      <c r="H400" s="89"/>
      <c r="I400" s="90"/>
      <c r="J400" s="90"/>
      <c r="K400" s="90"/>
      <c r="L400" s="90"/>
      <c r="M400" s="90"/>
      <c r="N400" s="90"/>
      <c r="O400" s="90"/>
      <c r="P400" s="90"/>
      <c r="Q400" s="90"/>
      <c r="R400" s="90"/>
      <c r="S400" s="90"/>
      <c r="T400" s="90"/>
      <c r="U400" s="90"/>
      <c r="V400" s="90"/>
      <c r="W400" s="90"/>
      <c r="X400" s="90"/>
      <c r="Y400" s="90"/>
      <c r="Z400" s="90"/>
      <c r="AA400" s="90"/>
      <c r="AB400" s="90"/>
    </row>
    <row r="401" spans="1:28" ht="16">
      <c r="A401" s="128" t="s">
        <v>354</v>
      </c>
      <c r="B401" s="91" t="s">
        <v>1193</v>
      </c>
      <c r="C401" s="97">
        <f>C356/C304</f>
        <v>3.2031999999999998</v>
      </c>
      <c r="D401" s="98" t="s">
        <v>727</v>
      </c>
      <c r="E401" s="99"/>
      <c r="F401" s="92"/>
      <c r="G401" s="93" t="b">
        <v>1</v>
      </c>
      <c r="H401" s="93"/>
      <c r="I401" s="90"/>
      <c r="J401" s="90"/>
      <c r="K401" s="90"/>
      <c r="L401" s="90"/>
      <c r="M401" s="90"/>
      <c r="N401" s="90"/>
      <c r="O401" s="90"/>
      <c r="P401" s="90"/>
      <c r="Q401" s="90"/>
      <c r="R401" s="90"/>
      <c r="S401" s="90"/>
      <c r="T401" s="90"/>
      <c r="U401" s="90"/>
      <c r="V401" s="90"/>
      <c r="W401" s="90"/>
      <c r="X401" s="90"/>
      <c r="Y401" s="90"/>
      <c r="Z401" s="90"/>
      <c r="AA401" s="90"/>
      <c r="AB401" s="90"/>
    </row>
    <row r="402" spans="1:28" ht="16">
      <c r="A402" s="125"/>
      <c r="B402" s="87" t="s">
        <v>1194</v>
      </c>
      <c r="C402" s="94">
        <f>C357/C304</f>
        <v>5.613892898280513</v>
      </c>
      <c r="D402" s="95" t="s">
        <v>727</v>
      </c>
      <c r="E402" s="96"/>
      <c r="F402" s="88"/>
      <c r="G402" s="89" t="b">
        <v>1</v>
      </c>
      <c r="H402" s="89"/>
      <c r="I402" s="90"/>
      <c r="J402" s="90"/>
      <c r="K402" s="90"/>
      <c r="L402" s="90"/>
      <c r="M402" s="90"/>
      <c r="N402" s="90"/>
      <c r="O402" s="90"/>
      <c r="P402" s="90"/>
      <c r="Q402" s="90"/>
      <c r="R402" s="90"/>
      <c r="S402" s="90"/>
      <c r="T402" s="90"/>
      <c r="U402" s="90"/>
      <c r="V402" s="90"/>
      <c r="W402" s="90"/>
      <c r="X402" s="90"/>
      <c r="Y402" s="90"/>
      <c r="Z402" s="90"/>
      <c r="AA402" s="90"/>
      <c r="AB402" s="90"/>
    </row>
    <row r="403" spans="1:28" ht="16">
      <c r="A403" s="125"/>
      <c r="B403" s="91" t="s">
        <v>1163</v>
      </c>
      <c r="C403" s="97">
        <f t="shared" ref="C403:C404" si="15">C360</f>
        <v>111.79163561104448</v>
      </c>
      <c r="D403" s="98"/>
      <c r="E403" s="99"/>
      <c r="F403" s="92"/>
      <c r="G403" s="93" t="b">
        <v>1</v>
      </c>
      <c r="H403" s="93"/>
      <c r="I403" s="90"/>
      <c r="J403" s="90"/>
      <c r="K403" s="90"/>
      <c r="L403" s="90"/>
      <c r="M403" s="90"/>
      <c r="N403" s="90"/>
      <c r="O403" s="90"/>
      <c r="P403" s="90"/>
      <c r="Q403" s="90"/>
      <c r="R403" s="90"/>
      <c r="S403" s="90"/>
      <c r="T403" s="90"/>
      <c r="U403" s="90"/>
      <c r="V403" s="90"/>
      <c r="W403" s="90"/>
      <c r="X403" s="90"/>
      <c r="Y403" s="90"/>
      <c r="Z403" s="90"/>
      <c r="AA403" s="90"/>
      <c r="AB403" s="90"/>
    </row>
    <row r="404" spans="1:28" ht="16">
      <c r="A404" s="125"/>
      <c r="B404" s="87" t="s">
        <v>1164</v>
      </c>
      <c r="C404" s="94">
        <f t="shared" si="15"/>
        <v>2.0304347826086961</v>
      </c>
      <c r="D404" s="95"/>
      <c r="E404" s="96"/>
      <c r="F404" s="88"/>
      <c r="G404" s="89" t="b">
        <v>1</v>
      </c>
      <c r="H404" s="89"/>
      <c r="I404" s="90"/>
      <c r="J404" s="90"/>
      <c r="K404" s="90"/>
      <c r="L404" s="90"/>
      <c r="M404" s="90"/>
      <c r="N404" s="90"/>
      <c r="O404" s="90"/>
      <c r="P404" s="90"/>
      <c r="Q404" s="90"/>
      <c r="R404" s="90"/>
      <c r="S404" s="90"/>
      <c r="T404" s="90"/>
      <c r="U404" s="90"/>
      <c r="V404" s="90"/>
      <c r="W404" s="90"/>
      <c r="X404" s="90"/>
      <c r="Y404" s="90"/>
      <c r="Z404" s="90"/>
      <c r="AA404" s="90"/>
      <c r="AB404" s="90"/>
    </row>
    <row r="405" spans="1:28" ht="16">
      <c r="A405" s="125"/>
      <c r="B405" s="91" t="s">
        <v>1167</v>
      </c>
      <c r="C405" s="97">
        <f>C363</f>
        <v>57.076261123876918</v>
      </c>
      <c r="D405" s="98"/>
      <c r="E405" s="99"/>
      <c r="F405" s="92"/>
      <c r="G405" s="93" t="b">
        <v>1</v>
      </c>
      <c r="H405" s="93"/>
      <c r="I405" s="90"/>
      <c r="J405" s="90"/>
      <c r="K405" s="90"/>
      <c r="L405" s="90"/>
      <c r="M405" s="90"/>
      <c r="N405" s="90"/>
      <c r="O405" s="90"/>
      <c r="P405" s="90"/>
      <c r="Q405" s="90"/>
      <c r="R405" s="90"/>
      <c r="S405" s="90"/>
      <c r="T405" s="90"/>
      <c r="U405" s="90"/>
      <c r="V405" s="90"/>
      <c r="W405" s="90"/>
      <c r="X405" s="90"/>
      <c r="Y405" s="90"/>
      <c r="Z405" s="90"/>
      <c r="AA405" s="90"/>
      <c r="AB405" s="90"/>
    </row>
    <row r="406" spans="1:28" ht="16">
      <c r="A406" s="125"/>
      <c r="B406" s="87" t="s">
        <v>1195</v>
      </c>
      <c r="C406" s="94">
        <f>DEGREES(2*C403*C293/1000000/C401)</f>
        <v>0.65559440559440552</v>
      </c>
      <c r="D406" s="95" t="s">
        <v>752</v>
      </c>
      <c r="E406" s="96"/>
      <c r="F406" s="88"/>
      <c r="G406" s="89" t="b">
        <v>1</v>
      </c>
      <c r="H406" s="89"/>
      <c r="I406" s="90"/>
      <c r="J406" s="90"/>
      <c r="K406" s="90"/>
      <c r="L406" s="90"/>
      <c r="M406" s="90"/>
      <c r="N406" s="90"/>
      <c r="O406" s="90"/>
      <c r="P406" s="90"/>
      <c r="Q406" s="90"/>
      <c r="R406" s="90"/>
      <c r="S406" s="90"/>
      <c r="T406" s="90"/>
      <c r="U406" s="90"/>
      <c r="V406" s="90"/>
      <c r="W406" s="90"/>
      <c r="X406" s="90"/>
      <c r="Y406" s="90"/>
      <c r="Z406" s="90"/>
      <c r="AA406" s="90"/>
      <c r="AB406" s="90"/>
    </row>
    <row r="407" spans="1:28" ht="16">
      <c r="A407" s="125"/>
      <c r="B407" s="91" t="s">
        <v>1196</v>
      </c>
      <c r="C407" s="97">
        <f>DEGREES(2*C404*C293/1000000/C402)</f>
        <v>6.7941464822272139E-3</v>
      </c>
      <c r="D407" s="98" t="s">
        <v>752</v>
      </c>
      <c r="E407" s="99"/>
      <c r="F407" s="92"/>
      <c r="G407" s="93" t="b">
        <v>1</v>
      </c>
      <c r="H407" s="93"/>
      <c r="I407" s="90"/>
      <c r="J407" s="90"/>
      <c r="K407" s="90"/>
      <c r="L407" s="90"/>
      <c r="M407" s="90"/>
      <c r="N407" s="90"/>
      <c r="O407" s="90"/>
      <c r="P407" s="90"/>
      <c r="Q407" s="90"/>
      <c r="R407" s="90"/>
      <c r="S407" s="90"/>
      <c r="T407" s="90"/>
      <c r="U407" s="90"/>
      <c r="V407" s="90"/>
      <c r="W407" s="90"/>
      <c r="X407" s="90"/>
      <c r="Y407" s="90"/>
      <c r="Z407" s="90"/>
      <c r="AA407" s="90"/>
      <c r="AB407" s="90"/>
    </row>
    <row r="408" spans="1:28" ht="16">
      <c r="A408" s="125"/>
      <c r="B408" s="87" t="s">
        <v>1197</v>
      </c>
      <c r="C408" s="94">
        <f>DEGREES(C424/2/C248)</f>
        <v>0.19098593171027439</v>
      </c>
      <c r="D408" s="95" t="s">
        <v>752</v>
      </c>
      <c r="E408" s="96" t="s">
        <v>1198</v>
      </c>
      <c r="F408" s="88"/>
      <c r="G408" s="89" t="b">
        <v>1</v>
      </c>
      <c r="H408" s="89"/>
      <c r="I408" s="90"/>
      <c r="J408" s="90"/>
      <c r="K408" s="90"/>
      <c r="L408" s="90"/>
      <c r="M408" s="90"/>
      <c r="N408" s="90"/>
      <c r="O408" s="90"/>
      <c r="P408" s="90"/>
      <c r="Q408" s="90"/>
      <c r="R408" s="90"/>
      <c r="S408" s="90"/>
      <c r="T408" s="90"/>
      <c r="U408" s="90"/>
      <c r="V408" s="90"/>
      <c r="W408" s="90"/>
      <c r="X408" s="90"/>
      <c r="Y408" s="90"/>
      <c r="Z408" s="90"/>
      <c r="AA408" s="90"/>
      <c r="AB408" s="90"/>
    </row>
    <row r="409" spans="1:28" ht="16">
      <c r="A409" s="125"/>
      <c r="B409" s="91" t="s">
        <v>1199</v>
      </c>
      <c r="C409" s="97">
        <f>ABS(C399-C400)*TAN(RADIANS(C406))</f>
        <v>4.1220670277324449E-2</v>
      </c>
      <c r="D409" s="98" t="s">
        <v>727</v>
      </c>
      <c r="E409" s="99"/>
      <c r="F409" s="92"/>
      <c r="G409" s="93" t="b">
        <v>1</v>
      </c>
      <c r="H409" s="93"/>
      <c r="I409" s="90"/>
      <c r="J409" s="90"/>
      <c r="K409" s="90"/>
      <c r="L409" s="90"/>
      <c r="M409" s="90"/>
      <c r="N409" s="90"/>
      <c r="O409" s="90"/>
      <c r="P409" s="90"/>
      <c r="Q409" s="90"/>
      <c r="R409" s="90"/>
      <c r="S409" s="90"/>
      <c r="T409" s="90"/>
      <c r="U409" s="90"/>
      <c r="V409" s="90"/>
      <c r="W409" s="90"/>
      <c r="X409" s="90"/>
      <c r="Y409" s="90"/>
      <c r="Z409" s="90"/>
      <c r="AA409" s="90"/>
      <c r="AB409" s="90"/>
    </row>
    <row r="410" spans="1:28" ht="16">
      <c r="A410" s="125"/>
      <c r="B410" s="87" t="s">
        <v>1200</v>
      </c>
      <c r="C410" s="94">
        <f>ABS(C399-C400)*TAN(RADIANS(C407))</f>
        <v>4.2716510154524999E-4</v>
      </c>
      <c r="D410" s="95" t="s">
        <v>727</v>
      </c>
      <c r="E410" s="96"/>
      <c r="F410" s="88"/>
      <c r="G410" s="89" t="b">
        <v>1</v>
      </c>
      <c r="H410" s="89"/>
      <c r="I410" s="90"/>
      <c r="J410" s="90"/>
      <c r="K410" s="90"/>
      <c r="L410" s="90"/>
      <c r="M410" s="90"/>
      <c r="N410" s="90"/>
      <c r="O410" s="90"/>
      <c r="P410" s="90"/>
      <c r="Q410" s="90"/>
      <c r="R410" s="90"/>
      <c r="S410" s="90"/>
      <c r="T410" s="90"/>
      <c r="U410" s="90"/>
      <c r="V410" s="90"/>
      <c r="W410" s="90"/>
      <c r="X410" s="90"/>
      <c r="Y410" s="90"/>
      <c r="Z410" s="90"/>
      <c r="AA410" s="90"/>
      <c r="AB410" s="90"/>
    </row>
    <row r="411" spans="1:28" ht="16">
      <c r="A411" s="125"/>
      <c r="B411" s="91" t="s">
        <v>1201</v>
      </c>
      <c r="C411" s="97">
        <f t="shared" ref="C411:C412" si="16">C409+C401</f>
        <v>3.2444206702773242</v>
      </c>
      <c r="D411" s="98" t="s">
        <v>727</v>
      </c>
      <c r="E411" s="99"/>
      <c r="F411" s="92" t="s">
        <v>1202</v>
      </c>
      <c r="G411" s="93" t="b">
        <v>1</v>
      </c>
      <c r="H411" s="93"/>
      <c r="I411" s="90"/>
      <c r="J411" s="90"/>
      <c r="K411" s="90"/>
      <c r="L411" s="90"/>
      <c r="M411" s="90"/>
      <c r="N411" s="90"/>
      <c r="O411" s="90"/>
      <c r="P411" s="90"/>
      <c r="Q411" s="90"/>
      <c r="R411" s="90"/>
      <c r="S411" s="90"/>
      <c r="T411" s="90"/>
      <c r="U411" s="90"/>
      <c r="V411" s="90"/>
      <c r="W411" s="90"/>
      <c r="X411" s="90"/>
      <c r="Y411" s="90"/>
      <c r="Z411" s="90"/>
      <c r="AA411" s="90"/>
      <c r="AB411" s="90"/>
    </row>
    <row r="412" spans="1:28" ht="16">
      <c r="A412" s="125"/>
      <c r="B412" s="87" t="s">
        <v>1203</v>
      </c>
      <c r="C412" s="94">
        <f t="shared" si="16"/>
        <v>5.614320063382058</v>
      </c>
      <c r="D412" s="95" t="s">
        <v>727</v>
      </c>
      <c r="E412" s="96"/>
      <c r="F412" s="88"/>
      <c r="G412" s="89" t="b">
        <v>1</v>
      </c>
      <c r="H412" s="89"/>
      <c r="I412" s="90"/>
      <c r="J412" s="90"/>
      <c r="K412" s="90"/>
      <c r="L412" s="90"/>
      <c r="M412" s="90"/>
      <c r="N412" s="90"/>
      <c r="O412" s="90"/>
      <c r="P412" s="90"/>
      <c r="Q412" s="90"/>
      <c r="R412" s="90"/>
      <c r="S412" s="90"/>
      <c r="T412" s="90"/>
      <c r="U412" s="90"/>
      <c r="V412" s="90"/>
      <c r="W412" s="90"/>
      <c r="X412" s="90"/>
      <c r="Y412" s="90"/>
      <c r="Z412" s="90"/>
      <c r="AA412" s="90"/>
      <c r="AB412" s="90"/>
    </row>
    <row r="413" spans="1:28" ht="16">
      <c r="A413" s="129"/>
      <c r="B413" s="91" t="s">
        <v>1204</v>
      </c>
      <c r="C413" s="97">
        <f>SQRT(C411^2+C412^2)</f>
        <v>6.4843546525322839</v>
      </c>
      <c r="D413" s="98" t="s">
        <v>727</v>
      </c>
      <c r="E413" s="99"/>
      <c r="F413" s="92"/>
      <c r="G413" s="93" t="b">
        <v>1</v>
      </c>
      <c r="H413" s="93"/>
      <c r="I413" s="90"/>
      <c r="J413" s="90"/>
      <c r="K413" s="90"/>
      <c r="L413" s="90"/>
      <c r="M413" s="90"/>
      <c r="N413" s="90"/>
      <c r="O413" s="90"/>
      <c r="P413" s="90"/>
      <c r="Q413" s="90"/>
      <c r="R413" s="90"/>
      <c r="S413" s="90"/>
      <c r="T413" s="90"/>
      <c r="U413" s="90"/>
      <c r="V413" s="90"/>
      <c r="W413" s="90"/>
      <c r="X413" s="90"/>
      <c r="Y413" s="90"/>
      <c r="Z413" s="90"/>
      <c r="AA413" s="90"/>
      <c r="AB413" s="90"/>
    </row>
    <row r="414" spans="1:28" ht="16">
      <c r="A414" s="128" t="s">
        <v>1205</v>
      </c>
      <c r="B414" s="115" t="s">
        <v>1206</v>
      </c>
      <c r="C414" s="118">
        <f>C244*TAN(RADIANS(C430))</f>
        <v>1.0503813307670691</v>
      </c>
      <c r="D414" s="119" t="s">
        <v>727</v>
      </c>
      <c r="E414" s="96"/>
      <c r="F414" s="88"/>
      <c r="G414" s="89" t="b">
        <v>1</v>
      </c>
      <c r="H414" s="89"/>
      <c r="I414" s="90"/>
      <c r="J414" s="90"/>
      <c r="K414" s="90"/>
      <c r="L414" s="90"/>
      <c r="M414" s="90"/>
      <c r="N414" s="90"/>
      <c r="O414" s="90"/>
      <c r="P414" s="90"/>
      <c r="Q414" s="90"/>
      <c r="R414" s="90"/>
      <c r="S414" s="90"/>
      <c r="T414" s="90"/>
      <c r="U414" s="90"/>
      <c r="V414" s="90"/>
      <c r="W414" s="90"/>
      <c r="X414" s="90"/>
      <c r="Y414" s="90"/>
      <c r="Z414" s="90"/>
      <c r="AA414" s="90"/>
      <c r="AB414" s="90"/>
    </row>
    <row r="415" spans="1:28" ht="16">
      <c r="A415" s="125"/>
      <c r="B415" s="114" t="s">
        <v>1207</v>
      </c>
      <c r="C415" s="120">
        <f>TAN(RADIANS(C431))*C244</f>
        <v>3.5809096465357069</v>
      </c>
      <c r="D415" s="121" t="s">
        <v>727</v>
      </c>
      <c r="E415" s="99"/>
      <c r="F415" s="92"/>
      <c r="G415" s="93" t="b">
        <v>1</v>
      </c>
      <c r="H415" s="93"/>
      <c r="I415" s="90"/>
      <c r="J415" s="90"/>
      <c r="K415" s="90"/>
      <c r="L415" s="90"/>
      <c r="M415" s="90"/>
      <c r="N415" s="90"/>
      <c r="O415" s="90"/>
      <c r="P415" s="90"/>
      <c r="Q415" s="90"/>
      <c r="R415" s="90"/>
      <c r="S415" s="90"/>
      <c r="T415" s="90"/>
      <c r="U415" s="90"/>
      <c r="V415" s="90"/>
      <c r="W415" s="90"/>
      <c r="X415" s="90"/>
      <c r="Y415" s="90"/>
      <c r="Z415" s="90"/>
      <c r="AA415" s="90"/>
      <c r="AB415" s="90"/>
    </row>
    <row r="416" spans="1:28" ht="16">
      <c r="A416" s="125"/>
      <c r="B416" s="115" t="s">
        <v>1208</v>
      </c>
      <c r="C416" s="118">
        <f>TAN(RADIANS(C432))*C244</f>
        <v>1.8424995818459411</v>
      </c>
      <c r="D416" s="119" t="s">
        <v>727</v>
      </c>
      <c r="E416" s="96"/>
      <c r="F416" s="88"/>
      <c r="G416" s="89" t="b">
        <v>1</v>
      </c>
      <c r="H416" s="89"/>
      <c r="I416" s="90"/>
      <c r="J416" s="90"/>
      <c r="K416" s="90"/>
      <c r="L416" s="90"/>
      <c r="M416" s="90"/>
      <c r="N416" s="90"/>
      <c r="O416" s="90"/>
      <c r="P416" s="90"/>
      <c r="Q416" s="90"/>
      <c r="R416" s="90"/>
      <c r="S416" s="90"/>
      <c r="T416" s="90"/>
      <c r="U416" s="90"/>
      <c r="V416" s="90"/>
      <c r="W416" s="90"/>
      <c r="X416" s="90"/>
      <c r="Y416" s="90"/>
      <c r="Z416" s="90"/>
      <c r="AA416" s="90"/>
      <c r="AB416" s="90"/>
    </row>
    <row r="417" spans="1:28" ht="16">
      <c r="A417" s="125"/>
      <c r="B417" s="114" t="s">
        <v>1209</v>
      </c>
      <c r="C417" s="120">
        <f>C422+2*C414</f>
        <v>3.1305679457091138</v>
      </c>
      <c r="D417" s="121" t="s">
        <v>727</v>
      </c>
      <c r="E417" s="99"/>
      <c r="F417" s="92"/>
      <c r="G417" s="93" t="b">
        <v>1</v>
      </c>
      <c r="H417" s="93"/>
      <c r="I417" s="90"/>
      <c r="J417" s="90"/>
      <c r="K417" s="90"/>
      <c r="L417" s="90"/>
      <c r="M417" s="90"/>
      <c r="N417" s="90"/>
      <c r="O417" s="90"/>
      <c r="P417" s="90"/>
      <c r="Q417" s="90"/>
      <c r="R417" s="90"/>
      <c r="S417" s="90"/>
      <c r="T417" s="90"/>
      <c r="U417" s="90"/>
      <c r="V417" s="90"/>
      <c r="W417" s="90"/>
      <c r="X417" s="90"/>
      <c r="Y417" s="90"/>
      <c r="Z417" s="90"/>
      <c r="AA417" s="90"/>
      <c r="AB417" s="90"/>
    </row>
    <row r="418" spans="1:28" ht="16">
      <c r="A418" s="125"/>
      <c r="B418" s="115" t="s">
        <v>1210</v>
      </c>
      <c r="C418" s="118">
        <f>2*C415+C423/1000000</f>
        <v>7.1618248039979875</v>
      </c>
      <c r="D418" s="119" t="s">
        <v>727</v>
      </c>
      <c r="E418" s="96"/>
      <c r="F418" s="88"/>
      <c r="G418" s="89" t="b">
        <v>1</v>
      </c>
      <c r="H418" s="89"/>
      <c r="I418" s="90"/>
      <c r="J418" s="90"/>
      <c r="K418" s="90"/>
      <c r="L418" s="90"/>
      <c r="M418" s="90"/>
      <c r="N418" s="90"/>
      <c r="O418" s="90"/>
      <c r="P418" s="90"/>
      <c r="Q418" s="90"/>
      <c r="R418" s="90"/>
      <c r="S418" s="90"/>
      <c r="T418" s="90"/>
      <c r="U418" s="90"/>
      <c r="V418" s="90"/>
      <c r="W418" s="90"/>
      <c r="X418" s="90"/>
      <c r="Y418" s="90"/>
      <c r="Z418" s="90"/>
      <c r="AA418" s="90"/>
      <c r="AB418" s="90"/>
    </row>
    <row r="419" spans="1:28" ht="16">
      <c r="A419" s="125"/>
      <c r="B419" s="114" t="s">
        <v>1211</v>
      </c>
      <c r="C419" s="120">
        <f>C424+2*C416</f>
        <v>3.984999163691882</v>
      </c>
      <c r="D419" s="121" t="s">
        <v>727</v>
      </c>
      <c r="E419" s="99"/>
      <c r="F419" s="92"/>
      <c r="G419" s="93" t="b">
        <v>1</v>
      </c>
      <c r="H419" s="93"/>
      <c r="I419" s="90"/>
      <c r="J419" s="90"/>
      <c r="K419" s="90"/>
      <c r="L419" s="90"/>
      <c r="M419" s="90"/>
      <c r="N419" s="90"/>
      <c r="O419" s="90"/>
      <c r="P419" s="90"/>
      <c r="Q419" s="90"/>
      <c r="R419" s="90"/>
      <c r="S419" s="90"/>
      <c r="T419" s="90"/>
      <c r="U419" s="90"/>
      <c r="V419" s="90"/>
      <c r="W419" s="90"/>
      <c r="X419" s="90"/>
      <c r="Y419" s="90"/>
      <c r="Z419" s="90"/>
      <c r="AA419" s="90"/>
      <c r="AB419" s="90"/>
    </row>
    <row r="420" spans="1:28" ht="16">
      <c r="A420" s="125"/>
      <c r="B420" s="115" t="s">
        <v>1212</v>
      </c>
      <c r="C420" s="118">
        <f>C425+2*MAX(C415:C416)</f>
        <v>7.4673302196448406</v>
      </c>
      <c r="D420" s="119" t="s">
        <v>727</v>
      </c>
      <c r="E420" s="96"/>
      <c r="F420" s="88"/>
      <c r="G420" s="89" t="b">
        <v>1</v>
      </c>
      <c r="H420" s="89"/>
      <c r="I420" s="90"/>
      <c r="J420" s="90"/>
      <c r="K420" s="90"/>
      <c r="L420" s="90"/>
      <c r="M420" s="90"/>
      <c r="N420" s="90"/>
      <c r="O420" s="90"/>
      <c r="P420" s="90"/>
      <c r="Q420" s="90"/>
      <c r="R420" s="90"/>
      <c r="S420" s="90"/>
      <c r="T420" s="90"/>
      <c r="U420" s="90"/>
      <c r="V420" s="90"/>
      <c r="W420" s="90"/>
      <c r="X420" s="90"/>
      <c r="Y420" s="90"/>
      <c r="Z420" s="90"/>
      <c r="AA420" s="90"/>
      <c r="AB420" s="90"/>
    </row>
    <row r="421" spans="1:28" ht="16">
      <c r="A421" s="129"/>
      <c r="B421" s="114" t="s">
        <v>1033</v>
      </c>
      <c r="C421" s="120">
        <f>SQRT(C420^2+C417^2)</f>
        <v>8.0970041541253046</v>
      </c>
      <c r="D421" s="121" t="s">
        <v>727</v>
      </c>
      <c r="E421" s="99"/>
      <c r="F421" s="92"/>
      <c r="G421" s="93" t="b">
        <v>1</v>
      </c>
      <c r="H421" s="93"/>
      <c r="I421" s="90"/>
      <c r="J421" s="90"/>
      <c r="K421" s="90"/>
      <c r="L421" s="90"/>
      <c r="M421" s="90"/>
      <c r="N421" s="90"/>
      <c r="O421" s="90"/>
      <c r="P421" s="90"/>
      <c r="Q421" s="90"/>
      <c r="R421" s="90"/>
      <c r="S421" s="90"/>
      <c r="T421" s="90"/>
      <c r="U421" s="90"/>
      <c r="V421" s="90"/>
      <c r="W421" s="90"/>
      <c r="X421" s="90"/>
      <c r="Y421" s="90"/>
      <c r="Z421" s="90"/>
      <c r="AA421" s="90"/>
      <c r="AB421" s="90"/>
    </row>
    <row r="422" spans="1:28" ht="16">
      <c r="A422" s="128" t="s">
        <v>697</v>
      </c>
      <c r="B422" s="87" t="s">
        <v>1213</v>
      </c>
      <c r="C422" s="94">
        <f>C380/$C$302</f>
        <v>1.0298052841749759</v>
      </c>
      <c r="D422" s="95" t="s">
        <v>727</v>
      </c>
      <c r="E422" s="96"/>
      <c r="F422" s="88"/>
      <c r="G422" s="89" t="b">
        <v>1</v>
      </c>
      <c r="H422" s="89"/>
      <c r="I422" s="90"/>
      <c r="J422" s="90"/>
      <c r="K422" s="90"/>
      <c r="L422" s="90"/>
      <c r="M422" s="90"/>
      <c r="N422" s="90"/>
      <c r="O422" s="90"/>
      <c r="P422" s="90"/>
      <c r="Q422" s="90"/>
      <c r="R422" s="90"/>
      <c r="S422" s="90"/>
      <c r="T422" s="90"/>
      <c r="U422" s="90"/>
      <c r="V422" s="90"/>
      <c r="W422" s="90"/>
      <c r="X422" s="90"/>
      <c r="Y422" s="90"/>
      <c r="Z422" s="90"/>
      <c r="AA422" s="90"/>
      <c r="AB422" s="90"/>
    </row>
    <row r="423" spans="1:28" ht="16">
      <c r="A423" s="125"/>
      <c r="B423" s="91" t="s">
        <v>1214</v>
      </c>
      <c r="C423" s="97">
        <f>C381/$C$302*1000</f>
        <v>5.5109265734265742</v>
      </c>
      <c r="D423" s="101" t="s">
        <v>1087</v>
      </c>
      <c r="E423" s="99"/>
      <c r="F423" s="92"/>
      <c r="G423" s="93" t="b">
        <v>1</v>
      </c>
      <c r="H423" s="93"/>
      <c r="I423" s="90"/>
      <c r="J423" s="90"/>
      <c r="K423" s="90"/>
      <c r="L423" s="90"/>
      <c r="M423" s="90"/>
      <c r="N423" s="90"/>
      <c r="O423" s="90"/>
      <c r="P423" s="90"/>
      <c r="Q423" s="90"/>
      <c r="R423" s="90"/>
      <c r="S423" s="90"/>
      <c r="T423" s="90"/>
      <c r="U423" s="90"/>
      <c r="V423" s="90"/>
      <c r="W423" s="90"/>
      <c r="X423" s="90"/>
      <c r="Y423" s="90"/>
      <c r="Z423" s="90"/>
      <c r="AA423" s="90"/>
      <c r="AB423" s="90"/>
    </row>
    <row r="424" spans="1:28" ht="16">
      <c r="A424" s="125"/>
      <c r="B424" s="87" t="s">
        <v>1215</v>
      </c>
      <c r="C424" s="94">
        <v>0.3</v>
      </c>
      <c r="D424" s="95" t="s">
        <v>727</v>
      </c>
      <c r="E424" s="96"/>
      <c r="F424" s="88"/>
      <c r="G424" s="89" t="b">
        <v>0</v>
      </c>
      <c r="H424" s="89"/>
      <c r="I424" s="90"/>
      <c r="J424" s="90"/>
      <c r="K424" s="90"/>
      <c r="L424" s="90"/>
      <c r="M424" s="90"/>
      <c r="N424" s="90"/>
      <c r="O424" s="90"/>
      <c r="P424" s="90"/>
      <c r="Q424" s="90"/>
      <c r="R424" s="90"/>
      <c r="S424" s="90"/>
      <c r="T424" s="90"/>
      <c r="U424" s="90"/>
      <c r="V424" s="90"/>
      <c r="W424" s="90"/>
      <c r="X424" s="90"/>
      <c r="Y424" s="90"/>
      <c r="Z424" s="90"/>
      <c r="AA424" s="90"/>
      <c r="AB424" s="90"/>
    </row>
    <row r="425" spans="1:28" ht="16">
      <c r="A425" s="125"/>
      <c r="B425" s="91" t="s">
        <v>1216</v>
      </c>
      <c r="C425" s="97">
        <f>C424+C423/1000</f>
        <v>0.30551092657342654</v>
      </c>
      <c r="D425" s="98" t="s">
        <v>727</v>
      </c>
      <c r="E425" s="99"/>
      <c r="F425" s="92"/>
      <c r="G425" s="93" t="b">
        <v>1</v>
      </c>
      <c r="H425" s="93"/>
      <c r="I425" s="90"/>
      <c r="J425" s="90"/>
      <c r="K425" s="90"/>
      <c r="L425" s="90"/>
      <c r="M425" s="90"/>
      <c r="N425" s="90"/>
      <c r="O425" s="90"/>
      <c r="P425" s="90"/>
      <c r="Q425" s="90"/>
      <c r="R425" s="90"/>
      <c r="S425" s="90"/>
      <c r="T425" s="90"/>
      <c r="U425" s="90"/>
      <c r="V425" s="90"/>
      <c r="W425" s="90"/>
      <c r="X425" s="90"/>
      <c r="Y425" s="90"/>
      <c r="Z425" s="90"/>
      <c r="AA425" s="90"/>
      <c r="AB425" s="90"/>
    </row>
    <row r="426" spans="1:28" ht="16">
      <c r="A426" s="125"/>
      <c r="B426" s="87" t="s">
        <v>1217</v>
      </c>
      <c r="C426" s="94">
        <f>C384/$C$302</f>
        <v>1.0741675146691301</v>
      </c>
      <c r="D426" s="95" t="s">
        <v>727</v>
      </c>
      <c r="E426" s="96"/>
      <c r="F426" s="88"/>
      <c r="G426" s="89" t="b">
        <v>1</v>
      </c>
      <c r="H426" s="89"/>
      <c r="I426" s="90"/>
      <c r="J426" s="90"/>
      <c r="K426" s="90"/>
      <c r="L426" s="90"/>
      <c r="M426" s="90"/>
      <c r="N426" s="90"/>
      <c r="O426" s="90"/>
      <c r="P426" s="90"/>
      <c r="Q426" s="90"/>
      <c r="R426" s="90"/>
      <c r="S426" s="90"/>
      <c r="T426" s="90"/>
      <c r="U426" s="90"/>
      <c r="V426" s="90"/>
      <c r="W426" s="90"/>
      <c r="X426" s="90"/>
      <c r="Y426" s="90"/>
      <c r="Z426" s="90"/>
      <c r="AA426" s="90"/>
      <c r="AB426" s="90"/>
    </row>
    <row r="427" spans="1:28" ht="16">
      <c r="A427" s="125"/>
      <c r="B427" s="91" t="s">
        <v>1218</v>
      </c>
      <c r="C427" s="97">
        <f t="shared" ref="C427:C429" si="17">C403</f>
        <v>111.79163561104448</v>
      </c>
      <c r="D427" s="98"/>
      <c r="E427" s="99"/>
      <c r="F427" s="92"/>
      <c r="G427" s="93" t="b">
        <v>1</v>
      </c>
      <c r="H427" s="93"/>
      <c r="I427" s="90"/>
      <c r="J427" s="90"/>
      <c r="K427" s="90"/>
      <c r="L427" s="90"/>
      <c r="M427" s="90"/>
      <c r="N427" s="90"/>
      <c r="O427" s="90"/>
      <c r="P427" s="90"/>
      <c r="Q427" s="90"/>
      <c r="R427" s="90"/>
      <c r="S427" s="90"/>
      <c r="T427" s="90"/>
      <c r="U427" s="90"/>
      <c r="V427" s="90"/>
      <c r="W427" s="90"/>
      <c r="X427" s="90"/>
      <c r="Y427" s="90"/>
      <c r="Z427" s="90"/>
      <c r="AA427" s="90"/>
      <c r="AB427" s="90"/>
    </row>
    <row r="428" spans="1:28" ht="16">
      <c r="A428" s="125"/>
      <c r="B428" s="87" t="s">
        <v>1219</v>
      </c>
      <c r="C428" s="94">
        <f t="shared" si="17"/>
        <v>2.0304347826086961</v>
      </c>
      <c r="D428" s="95"/>
      <c r="E428" s="96"/>
      <c r="F428" s="88"/>
      <c r="G428" s="89" t="b">
        <v>1</v>
      </c>
      <c r="H428" s="89"/>
      <c r="I428" s="90"/>
      <c r="J428" s="90"/>
      <c r="K428" s="90"/>
      <c r="L428" s="90"/>
      <c r="M428" s="90"/>
      <c r="N428" s="90"/>
      <c r="O428" s="90"/>
      <c r="P428" s="90"/>
      <c r="Q428" s="90"/>
      <c r="R428" s="90"/>
      <c r="S428" s="90"/>
      <c r="T428" s="90"/>
      <c r="U428" s="90"/>
      <c r="V428" s="90"/>
      <c r="W428" s="90"/>
      <c r="X428" s="90"/>
      <c r="Y428" s="90"/>
      <c r="Z428" s="90"/>
      <c r="AA428" s="90"/>
      <c r="AB428" s="90"/>
    </row>
    <row r="429" spans="1:28" ht="16">
      <c r="A429" s="125"/>
      <c r="B429" s="91" t="s">
        <v>1220</v>
      </c>
      <c r="C429" s="97">
        <f t="shared" si="17"/>
        <v>57.076261123876918</v>
      </c>
      <c r="D429" s="98"/>
      <c r="E429" s="99"/>
      <c r="F429" s="92"/>
      <c r="G429" s="93" t="b">
        <v>1</v>
      </c>
      <c r="H429" s="93"/>
      <c r="I429" s="90"/>
      <c r="J429" s="90"/>
      <c r="K429" s="90"/>
      <c r="L429" s="90"/>
      <c r="M429" s="90"/>
      <c r="N429" s="90"/>
      <c r="O429" s="90"/>
      <c r="P429" s="90"/>
      <c r="Q429" s="90"/>
      <c r="R429" s="90"/>
      <c r="S429" s="90"/>
      <c r="T429" s="90"/>
      <c r="U429" s="90"/>
      <c r="V429" s="90"/>
      <c r="W429" s="90"/>
      <c r="X429" s="90"/>
      <c r="Y429" s="90"/>
      <c r="Z429" s="90"/>
      <c r="AA429" s="90"/>
      <c r="AB429" s="90"/>
    </row>
    <row r="430" spans="1:28" ht="16">
      <c r="A430" s="125"/>
      <c r="B430" s="87" t="s">
        <v>1221</v>
      </c>
      <c r="C430" s="94">
        <f>DEGREES(2*C427*C293/1000000/C422)</f>
        <v>2.0392204548478365</v>
      </c>
      <c r="D430" s="95" t="s">
        <v>752</v>
      </c>
      <c r="E430" s="96"/>
      <c r="F430" s="88"/>
      <c r="G430" s="89" t="b">
        <v>1</v>
      </c>
      <c r="H430" s="89"/>
      <c r="I430" s="90"/>
      <c r="J430" s="90"/>
      <c r="K430" s="90"/>
      <c r="L430" s="90"/>
      <c r="M430" s="90"/>
      <c r="N430" s="90"/>
      <c r="O430" s="90"/>
      <c r="P430" s="90"/>
      <c r="Q430" s="90"/>
      <c r="R430" s="90"/>
      <c r="S430" s="90"/>
      <c r="T430" s="90"/>
      <c r="U430" s="90"/>
      <c r="V430" s="90"/>
      <c r="W430" s="90"/>
      <c r="X430" s="90"/>
      <c r="Y430" s="90"/>
      <c r="Z430" s="90"/>
      <c r="AA430" s="90"/>
      <c r="AB430" s="90"/>
    </row>
    <row r="431" spans="1:28" ht="16">
      <c r="A431" s="125"/>
      <c r="B431" s="91" t="s">
        <v>1222</v>
      </c>
      <c r="C431" s="97">
        <f>DEGREES(2*C428*C293/1000000/(C423/1000))</f>
        <v>6.9210885280834464</v>
      </c>
      <c r="D431" s="98" t="s">
        <v>752</v>
      </c>
      <c r="E431" s="99"/>
      <c r="F431" s="92"/>
      <c r="G431" s="93" t="b">
        <v>1</v>
      </c>
      <c r="H431" s="93"/>
      <c r="I431" s="90"/>
      <c r="J431" s="90"/>
      <c r="K431" s="90"/>
      <c r="L431" s="90"/>
      <c r="M431" s="90"/>
      <c r="N431" s="90"/>
      <c r="O431" s="90"/>
      <c r="P431" s="90"/>
      <c r="Q431" s="90"/>
      <c r="R431" s="90"/>
      <c r="S431" s="90"/>
      <c r="T431" s="90"/>
      <c r="U431" s="90"/>
      <c r="V431" s="90"/>
      <c r="W431" s="90"/>
      <c r="X431" s="90"/>
      <c r="Y431" s="90"/>
      <c r="Z431" s="90"/>
      <c r="AA431" s="90"/>
      <c r="AB431" s="90"/>
    </row>
    <row r="432" spans="1:28" ht="16">
      <c r="A432" s="125"/>
      <c r="B432" s="87" t="s">
        <v>1223</v>
      </c>
      <c r="C432" s="94">
        <f>DEGREES(2*C429*C293/1000000/C424)</f>
        <v>3.5739152189993217</v>
      </c>
      <c r="D432" s="95" t="s">
        <v>752</v>
      </c>
      <c r="E432" s="96"/>
      <c r="F432" s="88"/>
      <c r="G432" s="89" t="b">
        <v>1</v>
      </c>
      <c r="H432" s="89"/>
      <c r="I432" s="90"/>
      <c r="J432" s="90"/>
      <c r="K432" s="90"/>
      <c r="L432" s="90"/>
      <c r="M432" s="90"/>
      <c r="N432" s="90"/>
      <c r="O432" s="90"/>
      <c r="P432" s="90"/>
      <c r="Q432" s="90"/>
      <c r="R432" s="90"/>
      <c r="S432" s="90"/>
      <c r="T432" s="90"/>
      <c r="U432" s="90"/>
      <c r="V432" s="90"/>
      <c r="W432" s="90"/>
      <c r="X432" s="90"/>
      <c r="Y432" s="90"/>
      <c r="Z432" s="90"/>
      <c r="AA432" s="90"/>
      <c r="AB432" s="90"/>
    </row>
    <row r="433" spans="1:28" ht="16">
      <c r="A433" s="129"/>
      <c r="B433" s="91" t="s">
        <v>1224</v>
      </c>
      <c r="C433" s="97">
        <f>SIN(RADIANS(C431))</f>
        <v>0.12050222917479929</v>
      </c>
      <c r="D433" s="98"/>
      <c r="E433" s="99"/>
      <c r="F433" s="92"/>
      <c r="G433" s="93" t="b">
        <v>0</v>
      </c>
      <c r="H433" s="93"/>
      <c r="I433" s="90"/>
      <c r="J433" s="90"/>
      <c r="K433" s="90"/>
      <c r="L433" s="90"/>
      <c r="M433" s="90"/>
      <c r="N433" s="90"/>
      <c r="O433" s="90"/>
      <c r="P433" s="90"/>
      <c r="Q433" s="90"/>
      <c r="R433" s="90"/>
      <c r="S433" s="90"/>
      <c r="T433" s="90"/>
      <c r="U433" s="90"/>
      <c r="V433" s="90"/>
      <c r="W433" s="90"/>
      <c r="X433" s="90"/>
      <c r="Y433" s="90"/>
      <c r="Z433" s="90"/>
      <c r="AA433" s="90"/>
      <c r="AB433" s="90"/>
    </row>
    <row r="434" spans="1:28" ht="16">
      <c r="A434" s="128" t="s">
        <v>1225</v>
      </c>
      <c r="B434" s="87" t="s">
        <v>1226</v>
      </c>
      <c r="C434" s="94">
        <v>0</v>
      </c>
      <c r="D434" s="95" t="s">
        <v>727</v>
      </c>
      <c r="E434" s="96"/>
      <c r="F434" s="88"/>
      <c r="G434" s="89" t="b">
        <v>0</v>
      </c>
      <c r="H434" s="89"/>
      <c r="I434" s="90"/>
      <c r="J434" s="90"/>
      <c r="K434" s="90"/>
      <c r="L434" s="90"/>
      <c r="M434" s="90"/>
      <c r="N434" s="90"/>
      <c r="O434" s="90"/>
      <c r="P434" s="90"/>
      <c r="Q434" s="90"/>
      <c r="R434" s="90"/>
      <c r="S434" s="90"/>
      <c r="T434" s="90"/>
      <c r="U434" s="90"/>
      <c r="V434" s="90"/>
      <c r="W434" s="90"/>
      <c r="X434" s="90"/>
      <c r="Y434" s="90"/>
      <c r="Z434" s="90"/>
      <c r="AA434" s="90"/>
      <c r="AB434" s="90"/>
    </row>
    <row r="435" spans="1:28" ht="16">
      <c r="A435" s="125"/>
      <c r="B435" s="91" t="s">
        <v>1227</v>
      </c>
      <c r="C435" s="97">
        <f>C434+C306</f>
        <v>371.65</v>
      </c>
      <c r="D435" s="98" t="s">
        <v>727</v>
      </c>
      <c r="E435" s="99"/>
      <c r="F435" s="92"/>
      <c r="G435" s="93" t="b">
        <v>1</v>
      </c>
      <c r="H435" s="93"/>
      <c r="I435" s="90"/>
      <c r="J435" s="90"/>
      <c r="K435" s="90"/>
      <c r="L435" s="90"/>
      <c r="M435" s="90"/>
      <c r="N435" s="90"/>
      <c r="O435" s="90"/>
      <c r="P435" s="90"/>
      <c r="Q435" s="90"/>
      <c r="R435" s="90"/>
      <c r="S435" s="90"/>
      <c r="T435" s="90"/>
      <c r="U435" s="90"/>
      <c r="V435" s="90"/>
      <c r="W435" s="90"/>
      <c r="X435" s="90"/>
      <c r="Y435" s="90"/>
      <c r="Z435" s="90"/>
      <c r="AA435" s="90"/>
      <c r="AB435" s="90"/>
    </row>
    <row r="436" spans="1:28" ht="16">
      <c r="A436" s="125"/>
      <c r="B436" s="87" t="s">
        <v>1228</v>
      </c>
      <c r="C436" s="94">
        <f>C435</f>
        <v>371.65</v>
      </c>
      <c r="D436" s="95" t="s">
        <v>727</v>
      </c>
      <c r="E436" s="96"/>
      <c r="F436" s="88"/>
      <c r="G436" s="89" t="b">
        <v>1</v>
      </c>
      <c r="H436" s="89"/>
      <c r="I436" s="90"/>
      <c r="J436" s="90"/>
      <c r="K436" s="90"/>
      <c r="L436" s="90"/>
      <c r="M436" s="90"/>
      <c r="N436" s="90"/>
      <c r="O436" s="90"/>
      <c r="P436" s="90"/>
      <c r="Q436" s="90"/>
      <c r="R436" s="90"/>
      <c r="S436" s="90"/>
      <c r="T436" s="90"/>
      <c r="U436" s="90"/>
      <c r="V436" s="90"/>
      <c r="W436" s="90"/>
      <c r="X436" s="90"/>
      <c r="Y436" s="90"/>
      <c r="Z436" s="90"/>
      <c r="AA436" s="90"/>
      <c r="AB436" s="90"/>
    </row>
    <row r="437" spans="1:28" ht="16">
      <c r="A437" s="125"/>
      <c r="B437" s="91" t="s">
        <v>1229</v>
      </c>
      <c r="C437" s="97">
        <f>C436+C289</f>
        <v>376.95</v>
      </c>
      <c r="D437" s="98" t="s">
        <v>727</v>
      </c>
      <c r="E437" s="99"/>
      <c r="F437" s="92"/>
      <c r="G437" s="93" t="b">
        <v>1</v>
      </c>
      <c r="H437" s="93"/>
      <c r="I437" s="90"/>
      <c r="J437" s="90"/>
      <c r="K437" s="90"/>
      <c r="L437" s="90"/>
      <c r="M437" s="90"/>
      <c r="N437" s="90"/>
      <c r="O437" s="90"/>
      <c r="P437" s="90"/>
      <c r="Q437" s="90"/>
      <c r="R437" s="90"/>
      <c r="S437" s="90"/>
      <c r="T437" s="90"/>
      <c r="U437" s="90"/>
      <c r="V437" s="90"/>
      <c r="W437" s="90"/>
      <c r="X437" s="90"/>
      <c r="Y437" s="90"/>
      <c r="Z437" s="90"/>
      <c r="AA437" s="90"/>
      <c r="AB437" s="90"/>
    </row>
    <row r="438" spans="1:28" ht="16">
      <c r="A438" s="125"/>
      <c r="B438" s="87" t="s">
        <v>1230</v>
      </c>
      <c r="C438" s="94">
        <f>C437+C288</f>
        <v>378.75</v>
      </c>
      <c r="D438" s="95" t="s">
        <v>727</v>
      </c>
      <c r="E438" s="96"/>
      <c r="F438" s="88"/>
      <c r="G438" s="89" t="b">
        <v>1</v>
      </c>
      <c r="H438" s="89"/>
      <c r="I438" s="90"/>
      <c r="J438" s="90"/>
      <c r="K438" s="90"/>
      <c r="L438" s="90"/>
      <c r="M438" s="90"/>
      <c r="N438" s="90"/>
      <c r="O438" s="90"/>
      <c r="P438" s="90"/>
      <c r="Q438" s="90"/>
      <c r="R438" s="90"/>
      <c r="S438" s="90"/>
      <c r="T438" s="90"/>
      <c r="U438" s="90"/>
      <c r="V438" s="90"/>
      <c r="W438" s="90"/>
      <c r="X438" s="90"/>
      <c r="Y438" s="90"/>
      <c r="Z438" s="90"/>
      <c r="AA438" s="90"/>
      <c r="AB438" s="90"/>
    </row>
    <row r="439" spans="1:28" ht="16">
      <c r="A439" s="129"/>
      <c r="B439" s="91" t="s">
        <v>1231</v>
      </c>
      <c r="C439" s="97">
        <f>C438</f>
        <v>378.75</v>
      </c>
      <c r="D439" s="98"/>
      <c r="E439" s="99"/>
      <c r="F439" s="92"/>
      <c r="G439" s="93" t="b">
        <v>0</v>
      </c>
      <c r="H439" s="93"/>
      <c r="I439" s="90"/>
      <c r="J439" s="90"/>
      <c r="K439" s="90"/>
      <c r="L439" s="90"/>
      <c r="M439" s="90"/>
      <c r="N439" s="90"/>
      <c r="O439" s="90"/>
      <c r="P439" s="90"/>
      <c r="Q439" s="90"/>
      <c r="R439" s="90"/>
      <c r="S439" s="90"/>
      <c r="T439" s="90"/>
      <c r="U439" s="90"/>
      <c r="V439" s="90"/>
      <c r="W439" s="90"/>
      <c r="X439" s="90"/>
      <c r="Y439" s="90"/>
      <c r="Z439" s="90"/>
      <c r="AA439" s="90"/>
      <c r="AB439" s="90"/>
    </row>
    <row r="440" spans="1:28" ht="16">
      <c r="A440" s="128" t="s">
        <v>1232</v>
      </c>
      <c r="B440" s="87" t="s">
        <v>1233</v>
      </c>
      <c r="C440" s="94">
        <f>C441</f>
        <v>-11.677</v>
      </c>
      <c r="D440" s="95"/>
      <c r="E440" s="96"/>
      <c r="F440" s="88"/>
      <c r="G440" s="89" t="b">
        <v>0</v>
      </c>
      <c r="H440" s="89"/>
      <c r="I440" s="90"/>
      <c r="J440" s="90"/>
      <c r="K440" s="90"/>
      <c r="L440" s="90"/>
      <c r="M440" s="90"/>
      <c r="N440" s="90"/>
      <c r="O440" s="90"/>
      <c r="P440" s="90"/>
      <c r="Q440" s="90"/>
      <c r="R440" s="90"/>
      <c r="S440" s="90"/>
      <c r="T440" s="90"/>
      <c r="U440" s="90"/>
      <c r="V440" s="90"/>
      <c r="W440" s="90"/>
      <c r="X440" s="90"/>
      <c r="Y440" s="90"/>
      <c r="Z440" s="90"/>
      <c r="AA440" s="90"/>
      <c r="AB440" s="90"/>
    </row>
    <row r="441" spans="1:28" ht="16">
      <c r="A441" s="125"/>
      <c r="B441" s="91" t="s">
        <v>1234</v>
      </c>
      <c r="C441" s="97">
        <f>C442-11.677</f>
        <v>-11.677</v>
      </c>
      <c r="D441" s="98" t="s">
        <v>727</v>
      </c>
      <c r="E441" s="99"/>
      <c r="F441" s="92"/>
      <c r="G441" s="93" t="b">
        <v>0</v>
      </c>
      <c r="H441" s="93"/>
      <c r="I441" s="90"/>
      <c r="J441" s="90"/>
      <c r="K441" s="90"/>
      <c r="L441" s="90"/>
      <c r="M441" s="90"/>
      <c r="N441" s="90"/>
      <c r="O441" s="90"/>
      <c r="P441" s="90"/>
      <c r="Q441" s="90"/>
      <c r="R441" s="90"/>
      <c r="S441" s="90"/>
      <c r="T441" s="90"/>
      <c r="U441" s="90"/>
      <c r="V441" s="90"/>
      <c r="W441" s="90"/>
      <c r="X441" s="90"/>
      <c r="Y441" s="90"/>
      <c r="Z441" s="90"/>
      <c r="AA441" s="90"/>
      <c r="AB441" s="90"/>
    </row>
    <row r="442" spans="1:28" ht="16">
      <c r="A442" s="125"/>
      <c r="B442" s="87" t="s">
        <v>1235</v>
      </c>
      <c r="C442" s="94">
        <f>C443</f>
        <v>0</v>
      </c>
      <c r="D442" s="95" t="s">
        <v>727</v>
      </c>
      <c r="E442" s="96"/>
      <c r="F442" s="88"/>
      <c r="G442" s="89" t="b">
        <v>1</v>
      </c>
      <c r="H442" s="89"/>
      <c r="I442" s="90"/>
      <c r="J442" s="90"/>
      <c r="K442" s="90"/>
      <c r="L442" s="90"/>
      <c r="M442" s="90"/>
      <c r="N442" s="90"/>
      <c r="O442" s="90"/>
      <c r="P442" s="90"/>
      <c r="Q442" s="90"/>
      <c r="R442" s="90"/>
      <c r="S442" s="90"/>
      <c r="T442" s="90"/>
      <c r="U442" s="90"/>
      <c r="V442" s="90"/>
      <c r="W442" s="90"/>
      <c r="X442" s="90"/>
      <c r="Y442" s="90"/>
      <c r="Z442" s="90"/>
      <c r="AA442" s="90"/>
      <c r="AB442" s="90"/>
    </row>
    <row r="443" spans="1:28" ht="16">
      <c r="A443" s="125"/>
      <c r="B443" s="91" t="s">
        <v>1236</v>
      </c>
      <c r="C443" s="97">
        <v>0</v>
      </c>
      <c r="D443" s="98" t="s">
        <v>727</v>
      </c>
      <c r="E443" s="99"/>
      <c r="F443" s="92"/>
      <c r="G443" s="93" t="b">
        <v>0</v>
      </c>
      <c r="H443" s="93"/>
      <c r="I443" s="90"/>
      <c r="J443" s="90"/>
      <c r="K443" s="90"/>
      <c r="L443" s="90"/>
      <c r="M443" s="90"/>
      <c r="N443" s="90"/>
      <c r="O443" s="90"/>
      <c r="P443" s="90"/>
      <c r="Q443" s="90"/>
      <c r="R443" s="90"/>
      <c r="S443" s="90"/>
      <c r="T443" s="90"/>
      <c r="U443" s="90"/>
      <c r="V443" s="90"/>
      <c r="W443" s="90"/>
      <c r="X443" s="90"/>
      <c r="Y443" s="90"/>
      <c r="Z443" s="90"/>
      <c r="AA443" s="90"/>
      <c r="AB443" s="90"/>
    </row>
    <row r="444" spans="1:28" ht="16">
      <c r="A444" s="125"/>
      <c r="B444" s="87" t="s">
        <v>1237</v>
      </c>
      <c r="C444" s="94">
        <f>C443+C322</f>
        <v>50</v>
      </c>
      <c r="D444" s="95" t="s">
        <v>727</v>
      </c>
      <c r="E444" s="96"/>
      <c r="F444" s="88"/>
      <c r="G444" s="89" t="b">
        <v>1</v>
      </c>
      <c r="H444" s="89"/>
      <c r="I444" s="90"/>
      <c r="J444" s="90"/>
      <c r="K444" s="90"/>
      <c r="L444" s="90"/>
      <c r="M444" s="90"/>
      <c r="N444" s="90"/>
      <c r="O444" s="90"/>
      <c r="P444" s="90"/>
      <c r="Q444" s="90"/>
      <c r="R444" s="90"/>
      <c r="S444" s="90"/>
      <c r="T444" s="90"/>
      <c r="U444" s="90"/>
      <c r="V444" s="90"/>
      <c r="W444" s="90"/>
      <c r="X444" s="90"/>
      <c r="Y444" s="90"/>
      <c r="Z444" s="90"/>
      <c r="AA444" s="90"/>
      <c r="AB444" s="90"/>
    </row>
    <row r="445" spans="1:28" ht="16">
      <c r="A445" s="125"/>
      <c r="B445" s="91" t="s">
        <v>1238</v>
      </c>
      <c r="C445" s="97">
        <f>C444+C279</f>
        <v>57.620381999999999</v>
      </c>
      <c r="D445" s="98" t="s">
        <v>727</v>
      </c>
      <c r="E445" s="99"/>
      <c r="F445" s="92"/>
      <c r="G445" s="93" t="b">
        <v>1</v>
      </c>
      <c r="H445" s="93"/>
      <c r="I445" s="90"/>
      <c r="J445" s="90"/>
      <c r="K445" s="90"/>
      <c r="L445" s="90"/>
      <c r="M445" s="90"/>
      <c r="N445" s="90"/>
      <c r="O445" s="90"/>
      <c r="P445" s="90"/>
      <c r="Q445" s="90"/>
      <c r="R445" s="90"/>
      <c r="S445" s="90"/>
      <c r="T445" s="90"/>
      <c r="U445" s="90"/>
      <c r="V445" s="90"/>
      <c r="W445" s="90"/>
      <c r="X445" s="90"/>
      <c r="Y445" s="90"/>
      <c r="Z445" s="90"/>
      <c r="AA445" s="90"/>
      <c r="AB445" s="90"/>
    </row>
    <row r="446" spans="1:28" ht="16">
      <c r="A446" s="125"/>
      <c r="B446" s="87" t="s">
        <v>1239</v>
      </c>
      <c r="C446" s="94">
        <f>C445</f>
        <v>57.620381999999999</v>
      </c>
      <c r="D446" s="95" t="s">
        <v>727</v>
      </c>
      <c r="E446" s="96"/>
      <c r="F446" s="88"/>
      <c r="G446" s="89" t="b">
        <v>1</v>
      </c>
      <c r="H446" s="89"/>
      <c r="I446" s="90"/>
      <c r="J446" s="90"/>
      <c r="K446" s="90"/>
      <c r="L446" s="90"/>
      <c r="M446" s="90"/>
      <c r="N446" s="90"/>
      <c r="O446" s="90"/>
      <c r="P446" s="90"/>
      <c r="Q446" s="90"/>
      <c r="R446" s="90"/>
      <c r="S446" s="90"/>
      <c r="T446" s="90"/>
      <c r="U446" s="90"/>
      <c r="V446" s="90"/>
      <c r="W446" s="90"/>
      <c r="X446" s="90"/>
      <c r="Y446" s="90"/>
      <c r="Z446" s="90"/>
      <c r="AA446" s="90"/>
      <c r="AB446" s="90"/>
    </row>
    <row r="447" spans="1:28" ht="16">
      <c r="A447" s="125"/>
      <c r="B447" s="91" t="s">
        <v>1240</v>
      </c>
      <c r="C447" s="97">
        <f>C445+C331</f>
        <v>132.62038200000001</v>
      </c>
      <c r="D447" s="98" t="s">
        <v>727</v>
      </c>
      <c r="E447" s="99"/>
      <c r="F447" s="92"/>
      <c r="G447" s="93" t="b">
        <v>1</v>
      </c>
      <c r="H447" s="93"/>
      <c r="I447" s="90"/>
      <c r="J447" s="90"/>
      <c r="K447" s="90"/>
      <c r="L447" s="90"/>
      <c r="M447" s="90"/>
      <c r="N447" s="90"/>
      <c r="O447" s="90"/>
      <c r="P447" s="90"/>
      <c r="Q447" s="90"/>
      <c r="R447" s="90"/>
      <c r="S447" s="90"/>
      <c r="T447" s="90"/>
      <c r="U447" s="90"/>
      <c r="V447" s="90"/>
      <c r="W447" s="90"/>
      <c r="X447" s="90"/>
      <c r="Y447" s="90"/>
      <c r="Z447" s="90"/>
      <c r="AA447" s="90"/>
      <c r="AB447" s="90"/>
    </row>
    <row r="448" spans="1:28" ht="16">
      <c r="A448" s="125"/>
      <c r="B448" s="87" t="s">
        <v>1241</v>
      </c>
      <c r="C448" s="94">
        <f>C447+C277</f>
        <v>136.62038200000001</v>
      </c>
      <c r="D448" s="95" t="s">
        <v>727</v>
      </c>
      <c r="E448" s="96"/>
      <c r="F448" s="88"/>
      <c r="G448" s="89" t="b">
        <v>1</v>
      </c>
      <c r="H448" s="89"/>
      <c r="I448" s="90"/>
      <c r="J448" s="90"/>
      <c r="K448" s="90"/>
      <c r="L448" s="90"/>
      <c r="M448" s="90"/>
      <c r="N448" s="90"/>
      <c r="O448" s="90"/>
      <c r="P448" s="90"/>
      <c r="Q448" s="90"/>
      <c r="R448" s="90"/>
      <c r="S448" s="90"/>
      <c r="T448" s="90"/>
      <c r="U448" s="90"/>
      <c r="V448" s="90"/>
      <c r="W448" s="90"/>
      <c r="X448" s="90"/>
      <c r="Y448" s="90"/>
      <c r="Z448" s="90"/>
      <c r="AA448" s="90"/>
      <c r="AB448" s="90"/>
    </row>
    <row r="449" spans="1:28" ht="16">
      <c r="A449" s="125"/>
      <c r="B449" s="91" t="s">
        <v>1242</v>
      </c>
      <c r="C449" s="97">
        <f>C448+C275</f>
        <v>209.52038200000001</v>
      </c>
      <c r="D449" s="98" t="s">
        <v>727</v>
      </c>
      <c r="E449" s="99"/>
      <c r="F449" s="92"/>
      <c r="G449" s="93" t="b">
        <v>1</v>
      </c>
      <c r="H449" s="93"/>
      <c r="I449" s="90"/>
      <c r="J449" s="90"/>
      <c r="K449" s="90"/>
      <c r="L449" s="90"/>
      <c r="M449" s="90"/>
      <c r="N449" s="90"/>
      <c r="O449" s="90"/>
      <c r="P449" s="90"/>
      <c r="Q449" s="90"/>
      <c r="R449" s="90"/>
      <c r="S449" s="90"/>
      <c r="T449" s="90"/>
      <c r="U449" s="90"/>
      <c r="V449" s="90"/>
      <c r="W449" s="90"/>
      <c r="X449" s="90"/>
      <c r="Y449" s="90"/>
      <c r="Z449" s="90"/>
      <c r="AA449" s="90"/>
      <c r="AB449" s="90"/>
    </row>
    <row r="450" spans="1:28" ht="16">
      <c r="A450" s="125"/>
      <c r="B450" s="87" t="s">
        <v>1243</v>
      </c>
      <c r="C450" s="94">
        <f>C449+C271</f>
        <v>306.72038200000003</v>
      </c>
      <c r="D450" s="95" t="s">
        <v>727</v>
      </c>
      <c r="E450" s="96"/>
      <c r="F450" s="88"/>
      <c r="G450" s="89" t="b">
        <v>1</v>
      </c>
      <c r="H450" s="89"/>
      <c r="I450" s="90"/>
      <c r="J450" s="90"/>
      <c r="K450" s="90"/>
      <c r="L450" s="90"/>
      <c r="M450" s="90"/>
      <c r="N450" s="90"/>
      <c r="O450" s="90"/>
      <c r="P450" s="90"/>
      <c r="Q450" s="90"/>
      <c r="R450" s="90"/>
      <c r="S450" s="90"/>
      <c r="T450" s="90"/>
      <c r="U450" s="90"/>
      <c r="V450" s="90"/>
      <c r="W450" s="90"/>
      <c r="X450" s="90"/>
      <c r="Y450" s="90"/>
      <c r="Z450" s="90"/>
      <c r="AA450" s="90"/>
      <c r="AB450" s="90"/>
    </row>
    <row r="451" spans="1:28" ht="16">
      <c r="A451" s="125"/>
      <c r="B451" s="91" t="s">
        <v>1244</v>
      </c>
      <c r="C451" s="97">
        <f>C450+C273</f>
        <v>313.22038200000003</v>
      </c>
      <c r="D451" s="98" t="s">
        <v>727</v>
      </c>
      <c r="E451" s="99"/>
      <c r="F451" s="92"/>
      <c r="G451" s="93" t="b">
        <v>1</v>
      </c>
      <c r="H451" s="93"/>
      <c r="I451" s="90"/>
      <c r="J451" s="90"/>
      <c r="K451" s="90"/>
      <c r="L451" s="90"/>
      <c r="M451" s="90"/>
      <c r="N451" s="90"/>
      <c r="O451" s="90"/>
      <c r="P451" s="90"/>
      <c r="Q451" s="90"/>
      <c r="R451" s="90"/>
      <c r="S451" s="90"/>
      <c r="T451" s="90"/>
      <c r="U451" s="90"/>
      <c r="V451" s="90"/>
      <c r="W451" s="90"/>
      <c r="X451" s="90"/>
      <c r="Y451" s="90"/>
      <c r="Z451" s="90"/>
      <c r="AA451" s="90"/>
      <c r="AB451" s="90"/>
    </row>
    <row r="452" spans="1:28" ht="16">
      <c r="A452" s="125"/>
      <c r="B452" s="87" t="s">
        <v>1245</v>
      </c>
      <c r="C452" s="94">
        <f>C451+C355</f>
        <v>413.22038200000003</v>
      </c>
      <c r="D452" s="95" t="s">
        <v>727</v>
      </c>
      <c r="E452" s="96"/>
      <c r="F452" s="88"/>
      <c r="G452" s="89" t="b">
        <v>1</v>
      </c>
      <c r="H452" s="89"/>
      <c r="I452" s="90"/>
      <c r="J452" s="90"/>
      <c r="K452" s="90"/>
      <c r="L452" s="90"/>
      <c r="M452" s="90"/>
      <c r="N452" s="90"/>
      <c r="O452" s="90"/>
      <c r="P452" s="90"/>
      <c r="Q452" s="90"/>
      <c r="R452" s="90"/>
      <c r="S452" s="90"/>
      <c r="T452" s="90"/>
      <c r="U452" s="90"/>
      <c r="V452" s="90"/>
      <c r="W452" s="90"/>
      <c r="X452" s="90"/>
      <c r="Y452" s="90"/>
      <c r="Z452" s="90"/>
      <c r="AA452" s="90"/>
      <c r="AB452" s="90"/>
    </row>
    <row r="453" spans="1:28" ht="16">
      <c r="A453" s="125"/>
      <c r="B453" s="91" t="s">
        <v>1246</v>
      </c>
      <c r="C453" s="97">
        <f>C452</f>
        <v>413.22038200000003</v>
      </c>
      <c r="D453" s="98" t="s">
        <v>727</v>
      </c>
      <c r="E453" s="99"/>
      <c r="F453" s="92"/>
      <c r="G453" s="93" t="b">
        <v>1</v>
      </c>
      <c r="H453" s="93"/>
      <c r="I453" s="90"/>
      <c r="J453" s="90"/>
      <c r="K453" s="90"/>
      <c r="L453" s="90"/>
      <c r="M453" s="90"/>
      <c r="N453" s="90"/>
      <c r="O453" s="90"/>
      <c r="P453" s="90"/>
      <c r="Q453" s="90"/>
      <c r="R453" s="90"/>
      <c r="S453" s="90"/>
      <c r="T453" s="90"/>
      <c r="U453" s="90"/>
      <c r="V453" s="90"/>
      <c r="W453" s="90"/>
      <c r="X453" s="90"/>
      <c r="Y453" s="90"/>
      <c r="Z453" s="90"/>
      <c r="AA453" s="90"/>
      <c r="AB453" s="90"/>
    </row>
    <row r="454" spans="1:28" ht="16">
      <c r="A454" s="125"/>
      <c r="B454" s="87" t="s">
        <v>1247</v>
      </c>
      <c r="C454" s="94">
        <f>C452+C364</f>
        <v>471.22038200000003</v>
      </c>
      <c r="D454" s="95" t="s">
        <v>727</v>
      </c>
      <c r="E454" s="96"/>
      <c r="F454" s="88"/>
      <c r="G454" s="89" t="b">
        <v>1</v>
      </c>
      <c r="H454" s="89"/>
      <c r="I454" s="90"/>
      <c r="J454" s="90"/>
      <c r="K454" s="90"/>
      <c r="L454" s="90"/>
      <c r="M454" s="90"/>
      <c r="N454" s="90"/>
      <c r="O454" s="90"/>
      <c r="P454" s="90"/>
      <c r="Q454" s="90"/>
      <c r="R454" s="90"/>
      <c r="S454" s="90"/>
      <c r="T454" s="90"/>
      <c r="U454" s="90"/>
      <c r="V454" s="90"/>
      <c r="W454" s="90"/>
      <c r="X454" s="90"/>
      <c r="Y454" s="90"/>
      <c r="Z454" s="90"/>
      <c r="AA454" s="90"/>
      <c r="AB454" s="90"/>
    </row>
    <row r="455" spans="1:28" ht="16">
      <c r="A455" s="125"/>
      <c r="B455" s="91" t="s">
        <v>1248</v>
      </c>
      <c r="C455" s="97">
        <f>C454+C269</f>
        <v>526.72038199999997</v>
      </c>
      <c r="D455" s="98" t="s">
        <v>727</v>
      </c>
      <c r="E455" s="99"/>
      <c r="F455" s="92"/>
      <c r="G455" s="93" t="b">
        <v>1</v>
      </c>
      <c r="H455" s="93"/>
      <c r="I455" s="90"/>
      <c r="J455" s="90"/>
      <c r="K455" s="90"/>
      <c r="L455" s="90"/>
      <c r="M455" s="90"/>
      <c r="N455" s="90"/>
      <c r="O455" s="90"/>
      <c r="P455" s="90"/>
      <c r="Q455" s="90"/>
      <c r="R455" s="90"/>
      <c r="S455" s="90"/>
      <c r="T455" s="90"/>
      <c r="U455" s="90"/>
      <c r="V455" s="90"/>
      <c r="W455" s="90"/>
      <c r="X455" s="90"/>
      <c r="Y455" s="90"/>
      <c r="Z455" s="90"/>
      <c r="AA455" s="90"/>
      <c r="AB455" s="90"/>
    </row>
    <row r="456" spans="1:28" ht="16">
      <c r="A456" s="125"/>
      <c r="B456" s="87" t="s">
        <v>1249</v>
      </c>
      <c r="C456" s="94">
        <f>C455+C262</f>
        <v>586.72038199999997</v>
      </c>
      <c r="D456" s="95" t="s">
        <v>727</v>
      </c>
      <c r="E456" s="96"/>
      <c r="F456" s="88"/>
      <c r="G456" s="89" t="b">
        <v>0</v>
      </c>
      <c r="H456" s="89"/>
      <c r="I456" s="90"/>
      <c r="J456" s="90"/>
      <c r="K456" s="90"/>
      <c r="L456" s="90"/>
      <c r="M456" s="90"/>
      <c r="N456" s="90"/>
      <c r="O456" s="90"/>
      <c r="P456" s="90"/>
      <c r="Q456" s="90"/>
      <c r="R456" s="90"/>
      <c r="S456" s="90"/>
      <c r="T456" s="90"/>
      <c r="U456" s="90"/>
      <c r="V456" s="90"/>
      <c r="W456" s="90"/>
      <c r="X456" s="90"/>
      <c r="Y456" s="90"/>
      <c r="Z456" s="90"/>
      <c r="AA456" s="90"/>
      <c r="AB456" s="90"/>
    </row>
    <row r="457" spans="1:28" ht="16">
      <c r="A457" s="125"/>
      <c r="B457" s="91" t="s">
        <v>1250</v>
      </c>
      <c r="C457" s="97">
        <f>C456</f>
        <v>586.72038199999997</v>
      </c>
      <c r="D457" s="98" t="s">
        <v>727</v>
      </c>
      <c r="E457" s="99"/>
      <c r="F457" s="92"/>
      <c r="G457" s="93" t="b">
        <v>1</v>
      </c>
      <c r="H457" s="93"/>
      <c r="I457" s="90"/>
      <c r="J457" s="90"/>
      <c r="K457" s="90"/>
      <c r="L457" s="90"/>
      <c r="M457" s="90"/>
      <c r="N457" s="90"/>
      <c r="O457" s="90"/>
      <c r="P457" s="90"/>
      <c r="Q457" s="90"/>
      <c r="R457" s="90"/>
      <c r="S457" s="90"/>
      <c r="T457" s="90"/>
      <c r="U457" s="90"/>
      <c r="V457" s="90"/>
      <c r="W457" s="90"/>
      <c r="X457" s="90"/>
      <c r="Y457" s="90"/>
      <c r="Z457" s="90"/>
      <c r="AA457" s="90"/>
      <c r="AB457" s="90"/>
    </row>
    <row r="458" spans="1:28" ht="16">
      <c r="A458" s="125"/>
      <c r="B458" s="87" t="s">
        <v>1251</v>
      </c>
      <c r="C458" s="94">
        <f>C456+C257</f>
        <v>734.72038199999997</v>
      </c>
      <c r="D458" s="95" t="s">
        <v>727</v>
      </c>
      <c r="E458" s="96"/>
      <c r="F458" s="88"/>
      <c r="G458" s="89" t="b">
        <v>1</v>
      </c>
      <c r="H458" s="89"/>
      <c r="I458" s="90"/>
      <c r="J458" s="90"/>
      <c r="K458" s="90"/>
      <c r="L458" s="90"/>
      <c r="M458" s="90"/>
      <c r="N458" s="90"/>
      <c r="O458" s="90"/>
      <c r="P458" s="90"/>
      <c r="Q458" s="90"/>
      <c r="R458" s="90"/>
      <c r="S458" s="90"/>
      <c r="T458" s="90"/>
      <c r="U458" s="90"/>
      <c r="V458" s="90"/>
      <c r="W458" s="90"/>
      <c r="X458" s="90"/>
      <c r="Y458" s="90"/>
      <c r="Z458" s="90"/>
      <c r="AA458" s="90"/>
      <c r="AB458" s="90"/>
    </row>
    <row r="459" spans="1:28" ht="16">
      <c r="A459" s="125"/>
      <c r="B459" s="91" t="s">
        <v>1252</v>
      </c>
      <c r="C459" s="97">
        <f>C458+C260</f>
        <v>762.72038199999997</v>
      </c>
      <c r="D459" s="98" t="s">
        <v>727</v>
      </c>
      <c r="E459" s="99"/>
      <c r="F459" s="92"/>
      <c r="G459" s="93" t="b">
        <v>1</v>
      </c>
      <c r="H459" s="93"/>
      <c r="I459" s="90"/>
      <c r="J459" s="90"/>
      <c r="K459" s="90"/>
      <c r="L459" s="90"/>
      <c r="M459" s="90"/>
      <c r="N459" s="90"/>
      <c r="O459" s="90"/>
      <c r="P459" s="90"/>
      <c r="Q459" s="90"/>
      <c r="R459" s="90"/>
      <c r="S459" s="90"/>
      <c r="T459" s="90"/>
      <c r="U459" s="90"/>
      <c r="V459" s="90"/>
      <c r="W459" s="90"/>
      <c r="X459" s="90"/>
      <c r="Y459" s="90"/>
      <c r="Z459" s="90"/>
      <c r="AA459" s="90"/>
      <c r="AB459" s="90"/>
    </row>
    <row r="460" spans="1:28" ht="16">
      <c r="A460" s="125"/>
      <c r="B460" s="87" t="s">
        <v>1253</v>
      </c>
      <c r="C460" s="94">
        <f>C459+C399</f>
        <v>922.72038199999997</v>
      </c>
      <c r="D460" s="95" t="s">
        <v>727</v>
      </c>
      <c r="E460" s="96"/>
      <c r="F460" s="88"/>
      <c r="G460" s="89" t="b">
        <v>1</v>
      </c>
      <c r="H460" s="89"/>
      <c r="I460" s="90"/>
      <c r="J460" s="90"/>
      <c r="K460" s="90"/>
      <c r="L460" s="90"/>
      <c r="M460" s="90"/>
      <c r="N460" s="90"/>
      <c r="O460" s="90"/>
      <c r="P460" s="90"/>
      <c r="Q460" s="90"/>
      <c r="R460" s="90"/>
      <c r="S460" s="90"/>
      <c r="T460" s="90"/>
      <c r="U460" s="90"/>
      <c r="V460" s="90"/>
      <c r="W460" s="90"/>
      <c r="X460" s="90"/>
      <c r="Y460" s="90"/>
      <c r="Z460" s="90"/>
      <c r="AA460" s="90"/>
      <c r="AB460" s="90"/>
    </row>
    <row r="461" spans="1:28" ht="16">
      <c r="A461" s="125"/>
      <c r="B461" s="91" t="s">
        <v>1254</v>
      </c>
      <c r="C461" s="97">
        <f>C460</f>
        <v>922.72038199999997</v>
      </c>
      <c r="D461" s="98" t="s">
        <v>727</v>
      </c>
      <c r="E461" s="99"/>
      <c r="F461" s="92"/>
      <c r="G461" s="93" t="b">
        <v>1</v>
      </c>
      <c r="H461" s="93"/>
      <c r="I461" s="90"/>
      <c r="J461" s="90"/>
      <c r="K461" s="90"/>
      <c r="L461" s="90"/>
      <c r="M461" s="90"/>
      <c r="N461" s="90"/>
      <c r="O461" s="90"/>
      <c r="P461" s="90"/>
      <c r="Q461" s="90"/>
      <c r="R461" s="90"/>
      <c r="S461" s="90"/>
      <c r="T461" s="90"/>
      <c r="U461" s="90"/>
      <c r="V461" s="90"/>
      <c r="W461" s="90"/>
      <c r="X461" s="90"/>
      <c r="Y461" s="90"/>
      <c r="Z461" s="90"/>
      <c r="AA461" s="90"/>
      <c r="AB461" s="90"/>
    </row>
    <row r="462" spans="1:28" ht="16">
      <c r="A462" s="125"/>
      <c r="B462" s="87" t="s">
        <v>1255</v>
      </c>
      <c r="C462" s="94">
        <f>C461+C246-C244</f>
        <v>959.47038199999997</v>
      </c>
      <c r="D462" s="95" t="s">
        <v>727</v>
      </c>
      <c r="E462" s="96"/>
      <c r="F462" s="88"/>
      <c r="G462" s="89" t="b">
        <v>1</v>
      </c>
      <c r="H462" s="89"/>
      <c r="I462" s="90"/>
      <c r="J462" s="90"/>
      <c r="K462" s="90"/>
      <c r="L462" s="90"/>
      <c r="M462" s="90"/>
      <c r="N462" s="90"/>
      <c r="O462" s="90"/>
      <c r="P462" s="90"/>
      <c r="Q462" s="90"/>
      <c r="R462" s="90"/>
      <c r="S462" s="90"/>
      <c r="T462" s="90"/>
      <c r="U462" s="90"/>
      <c r="V462" s="90"/>
      <c r="W462" s="90"/>
      <c r="X462" s="90"/>
      <c r="Y462" s="90"/>
      <c r="Z462" s="90"/>
      <c r="AA462" s="90"/>
      <c r="AB462" s="90"/>
    </row>
    <row r="463" spans="1:28" ht="16">
      <c r="A463" s="125"/>
      <c r="B463" s="91" t="s">
        <v>1256</v>
      </c>
      <c r="C463" s="97">
        <f>C462+C244</f>
        <v>988.97038199999997</v>
      </c>
      <c r="D463" s="98" t="s">
        <v>727</v>
      </c>
      <c r="E463" s="99"/>
      <c r="F463" s="92"/>
      <c r="G463" s="93" t="b">
        <v>1</v>
      </c>
      <c r="H463" s="93"/>
      <c r="I463" s="90"/>
      <c r="J463" s="90"/>
      <c r="K463" s="90"/>
      <c r="L463" s="90"/>
      <c r="M463" s="90"/>
      <c r="N463" s="90"/>
      <c r="O463" s="90"/>
      <c r="P463" s="90"/>
      <c r="Q463" s="90"/>
      <c r="R463" s="90"/>
      <c r="S463" s="90"/>
      <c r="T463" s="90"/>
      <c r="U463" s="90"/>
      <c r="V463" s="90"/>
      <c r="W463" s="90"/>
      <c r="X463" s="90"/>
      <c r="Y463" s="90"/>
      <c r="Z463" s="90"/>
      <c r="AA463" s="90"/>
      <c r="AB463" s="90"/>
    </row>
    <row r="464" spans="1:28" ht="16">
      <c r="A464" s="130"/>
      <c r="B464" s="87" t="s">
        <v>965</v>
      </c>
      <c r="C464" s="94">
        <f>C463</f>
        <v>988.97038199999997</v>
      </c>
      <c r="D464" s="95" t="s">
        <v>727</v>
      </c>
      <c r="E464" s="96"/>
      <c r="F464" s="88"/>
      <c r="G464" s="89" t="b">
        <v>1</v>
      </c>
      <c r="H464" s="89"/>
      <c r="I464" s="90"/>
      <c r="J464" s="90"/>
      <c r="K464" s="90"/>
      <c r="L464" s="90"/>
      <c r="M464" s="90"/>
      <c r="N464" s="90"/>
      <c r="O464" s="90"/>
      <c r="P464" s="90"/>
      <c r="Q464" s="90"/>
      <c r="R464" s="90"/>
      <c r="S464" s="90"/>
      <c r="T464" s="90"/>
      <c r="U464" s="90"/>
      <c r="V464" s="90"/>
      <c r="W464" s="90"/>
      <c r="X464" s="90"/>
      <c r="Y464" s="90"/>
      <c r="Z464" s="90"/>
      <c r="AA464" s="90"/>
      <c r="AB464" s="90"/>
    </row>
    <row r="465" spans="1:28" ht="16">
      <c r="A465" s="128" t="s">
        <v>1257</v>
      </c>
      <c r="B465" s="91" t="s">
        <v>1258</v>
      </c>
      <c r="C465" s="97">
        <f>C436-C434</f>
        <v>371.65</v>
      </c>
      <c r="D465" s="98" t="s">
        <v>727</v>
      </c>
      <c r="E465" s="99"/>
      <c r="F465" s="92" t="str">
        <f t="shared" ref="F465:F476" si="18">SUBSTITUTE(SUBSTITUTE(SUBSTITUTE(SUBSTITUTE(B465,"{",""),".","_"),"}",""),",","_")</f>
        <v>dz_LAS1_L10_P</v>
      </c>
      <c r="G465" s="93" t="b">
        <v>1</v>
      </c>
      <c r="H465" s="93" t="s">
        <v>1259</v>
      </c>
      <c r="I465" s="90" t="str">
        <f t="shared" ref="I465:I476" si="19">C465&amp;" "&amp;D465</f>
        <v>371.65 mm</v>
      </c>
      <c r="J465" s="90"/>
      <c r="K465" s="90"/>
      <c r="L465" s="90"/>
      <c r="M465" s="90"/>
      <c r="N465" s="90"/>
      <c r="O465" s="90"/>
      <c r="P465" s="90"/>
      <c r="Q465" s="90"/>
      <c r="R465" s="90"/>
      <c r="S465" s="90"/>
      <c r="T465" s="90"/>
      <c r="U465" s="90"/>
      <c r="V465" s="90"/>
      <c r="W465" s="90"/>
      <c r="X465" s="90"/>
      <c r="Y465" s="90"/>
      <c r="Z465" s="90"/>
      <c r="AA465" s="90"/>
      <c r="AB465" s="90"/>
    </row>
    <row r="466" spans="1:28" ht="16">
      <c r="A466" s="125"/>
      <c r="B466" s="87" t="s">
        <v>1260</v>
      </c>
      <c r="C466" s="94">
        <f>C439-C437</f>
        <v>1.8000000000000114</v>
      </c>
      <c r="D466" s="95" t="s">
        <v>727</v>
      </c>
      <c r="E466" s="96"/>
      <c r="F466" s="88" t="str">
        <f t="shared" si="18"/>
        <v>dz_L10_I_FB1_IN</v>
      </c>
      <c r="G466" s="89" t="b">
        <v>1</v>
      </c>
      <c r="H466" s="89" t="s">
        <v>1261</v>
      </c>
      <c r="I466" s="90" t="str">
        <f t="shared" si="19"/>
        <v>1.80000000000001 mm</v>
      </c>
      <c r="J466" s="90"/>
      <c r="K466" s="90"/>
      <c r="L466" s="90"/>
      <c r="M466" s="90"/>
      <c r="N466" s="90"/>
      <c r="O466" s="90"/>
      <c r="P466" s="90"/>
      <c r="Q466" s="90"/>
      <c r="R466" s="90"/>
      <c r="S466" s="90"/>
      <c r="T466" s="90"/>
      <c r="U466" s="90"/>
      <c r="V466" s="90"/>
      <c r="W466" s="90"/>
      <c r="X466" s="90"/>
      <c r="Y466" s="90"/>
      <c r="Z466" s="90"/>
      <c r="AA466" s="90"/>
      <c r="AB466" s="90"/>
    </row>
    <row r="467" spans="1:28" ht="16">
      <c r="A467" s="125"/>
      <c r="B467" s="91" t="s">
        <v>1262</v>
      </c>
      <c r="C467" s="97">
        <f>C442-C440</f>
        <v>11.677</v>
      </c>
      <c r="D467" s="98" t="s">
        <v>727</v>
      </c>
      <c r="E467" s="99"/>
      <c r="F467" s="92" t="str">
        <f t="shared" si="18"/>
        <v>dz_FB1_OUT_L9_P</v>
      </c>
      <c r="G467" s="93" t="b">
        <v>1</v>
      </c>
      <c r="H467" s="93" t="s">
        <v>1263</v>
      </c>
      <c r="I467" s="90" t="str">
        <f t="shared" si="19"/>
        <v>11.677 mm</v>
      </c>
      <c r="J467" s="90"/>
      <c r="K467" s="90"/>
      <c r="L467" s="90"/>
      <c r="M467" s="90"/>
      <c r="N467" s="90"/>
      <c r="O467" s="90"/>
      <c r="P467" s="90"/>
      <c r="Q467" s="90"/>
      <c r="R467" s="90"/>
      <c r="S467" s="90"/>
      <c r="T467" s="90"/>
      <c r="U467" s="90"/>
      <c r="V467" s="90"/>
      <c r="W467" s="90"/>
      <c r="X467" s="90"/>
      <c r="Y467" s="90"/>
      <c r="Z467" s="90"/>
      <c r="AA467" s="90"/>
      <c r="AB467" s="90"/>
    </row>
    <row r="468" spans="1:28" ht="16">
      <c r="A468" s="125"/>
      <c r="B468" s="87" t="s">
        <v>1264</v>
      </c>
      <c r="C468" s="94">
        <f>C444-C442</f>
        <v>50</v>
      </c>
      <c r="D468" s="95" t="s">
        <v>727</v>
      </c>
      <c r="E468" s="96"/>
      <c r="F468" s="88" t="str">
        <f t="shared" si="18"/>
        <v>dz_L9_P_PL1_P</v>
      </c>
      <c r="G468" s="89" t="b">
        <v>1</v>
      </c>
      <c r="H468" s="89" t="s">
        <v>1265</v>
      </c>
      <c r="I468" s="90" t="str">
        <f t="shared" si="19"/>
        <v>50 mm</v>
      </c>
      <c r="J468" s="90"/>
      <c r="K468" s="90"/>
      <c r="L468" s="90"/>
      <c r="M468" s="90"/>
      <c r="N468" s="90"/>
      <c r="O468" s="90"/>
      <c r="P468" s="90"/>
      <c r="Q468" s="90"/>
      <c r="R468" s="90"/>
      <c r="S468" s="90"/>
      <c r="T468" s="90"/>
      <c r="U468" s="90"/>
      <c r="V468" s="90"/>
      <c r="W468" s="90"/>
      <c r="X468" s="90"/>
      <c r="Y468" s="90"/>
      <c r="Z468" s="90"/>
      <c r="AA468" s="90"/>
      <c r="AB468" s="90"/>
    </row>
    <row r="469" spans="1:28" ht="16">
      <c r="A469" s="125"/>
      <c r="B469" s="91" t="s">
        <v>1266</v>
      </c>
      <c r="C469" s="97">
        <f>C447-C445</f>
        <v>75</v>
      </c>
      <c r="D469" s="98" t="s">
        <v>727</v>
      </c>
      <c r="E469" s="99"/>
      <c r="F469" s="92" t="str">
        <f t="shared" si="18"/>
        <v>dz_PL1_I_L8_P</v>
      </c>
      <c r="G469" s="93" t="b">
        <v>1</v>
      </c>
      <c r="H469" s="93" t="s">
        <v>1267</v>
      </c>
      <c r="I469" s="90" t="str">
        <f t="shared" si="19"/>
        <v>75 mm</v>
      </c>
      <c r="J469" s="90"/>
      <c r="K469" s="90"/>
      <c r="L469" s="90"/>
      <c r="M469" s="90"/>
      <c r="N469" s="90"/>
      <c r="O469" s="90"/>
      <c r="P469" s="90"/>
      <c r="Q469" s="90"/>
      <c r="R469" s="90"/>
      <c r="S469" s="90"/>
      <c r="T469" s="90"/>
      <c r="U469" s="90"/>
      <c r="V469" s="90"/>
      <c r="W469" s="90"/>
      <c r="X469" s="90"/>
      <c r="Y469" s="90"/>
      <c r="Z469" s="90"/>
      <c r="AA469" s="90"/>
      <c r="AB469" s="90"/>
    </row>
    <row r="470" spans="1:28" ht="16">
      <c r="A470" s="125"/>
      <c r="B470" s="87" t="s">
        <v>1268</v>
      </c>
      <c r="C470" s="94">
        <f>C450-C448</f>
        <v>170.10000000000002</v>
      </c>
      <c r="D470" s="95" t="s">
        <v>727</v>
      </c>
      <c r="E470" s="96"/>
      <c r="F470" s="88" t="str">
        <f t="shared" si="18"/>
        <v>dz_L8_I_L7_I</v>
      </c>
      <c r="G470" s="89" t="b">
        <v>1</v>
      </c>
      <c r="H470" s="89" t="s">
        <v>1269</v>
      </c>
      <c r="I470" s="90" t="str">
        <f t="shared" si="19"/>
        <v>170.1 mm</v>
      </c>
      <c r="J470" s="90"/>
      <c r="K470" s="90"/>
      <c r="L470" s="90"/>
      <c r="M470" s="90"/>
      <c r="N470" s="90"/>
      <c r="O470" s="90"/>
      <c r="P470" s="90"/>
      <c r="Q470" s="90"/>
      <c r="R470" s="90"/>
      <c r="S470" s="90"/>
      <c r="T470" s="90"/>
      <c r="U470" s="90"/>
      <c r="V470" s="90"/>
      <c r="W470" s="90"/>
      <c r="X470" s="90"/>
      <c r="Y470" s="90"/>
      <c r="Z470" s="90"/>
      <c r="AA470" s="90"/>
      <c r="AB470" s="90"/>
    </row>
    <row r="471" spans="1:28" ht="16">
      <c r="A471" s="125"/>
      <c r="B471" s="91" t="s">
        <v>1270</v>
      </c>
      <c r="C471" s="97">
        <f>C453-C451</f>
        <v>100</v>
      </c>
      <c r="D471" s="98" t="s">
        <v>727</v>
      </c>
      <c r="E471" s="99"/>
      <c r="F471" s="92" t="str">
        <f t="shared" si="18"/>
        <v>dz_L7_P_GV1</v>
      </c>
      <c r="G471" s="93" t="b">
        <v>1</v>
      </c>
      <c r="H471" s="93" t="s">
        <v>1271</v>
      </c>
      <c r="I471" s="90" t="str">
        <f t="shared" si="19"/>
        <v>100 mm</v>
      </c>
      <c r="J471" s="90"/>
      <c r="K471" s="90"/>
      <c r="L471" s="90"/>
      <c r="M471" s="90"/>
      <c r="N471" s="90"/>
      <c r="O471" s="90"/>
      <c r="P471" s="90"/>
      <c r="Q471" s="90"/>
      <c r="R471" s="90"/>
      <c r="S471" s="90"/>
      <c r="T471" s="90"/>
      <c r="U471" s="90"/>
      <c r="V471" s="90"/>
      <c r="W471" s="90"/>
      <c r="X471" s="90"/>
      <c r="Y471" s="90"/>
      <c r="Z471" s="90"/>
      <c r="AA471" s="90"/>
      <c r="AB471" s="90"/>
    </row>
    <row r="472" spans="1:28" ht="16">
      <c r="A472" s="125"/>
      <c r="B472" s="87" t="s">
        <v>1272</v>
      </c>
      <c r="C472" s="94">
        <f>C454-C453</f>
        <v>58</v>
      </c>
      <c r="D472" s="95" t="s">
        <v>727</v>
      </c>
      <c r="E472" s="96"/>
      <c r="F472" s="88" t="str">
        <f t="shared" si="18"/>
        <v>dz_GV1_L6_P</v>
      </c>
      <c r="G472" s="89" t="b">
        <v>1</v>
      </c>
      <c r="H472" s="89" t="s">
        <v>1273</v>
      </c>
      <c r="I472" s="90" t="str">
        <f t="shared" si="19"/>
        <v>58 mm</v>
      </c>
      <c r="J472" s="90"/>
      <c r="K472" s="90"/>
      <c r="L472" s="90"/>
      <c r="M472" s="90"/>
      <c r="N472" s="90"/>
      <c r="O472" s="90"/>
      <c r="P472" s="90"/>
      <c r="Q472" s="90"/>
      <c r="R472" s="90"/>
      <c r="S472" s="90"/>
      <c r="T472" s="90"/>
      <c r="U472" s="90"/>
      <c r="V472" s="90"/>
      <c r="W472" s="90"/>
      <c r="X472" s="90"/>
      <c r="Y472" s="90"/>
      <c r="Z472" s="90"/>
      <c r="AA472" s="90"/>
      <c r="AB472" s="90"/>
    </row>
    <row r="473" spans="1:28" ht="16">
      <c r="A473" s="125"/>
      <c r="B473" s="91" t="s">
        <v>1274</v>
      </c>
      <c r="C473" s="97">
        <f>C457-C455</f>
        <v>60</v>
      </c>
      <c r="D473" s="98" t="s">
        <v>727</v>
      </c>
      <c r="E473" s="99"/>
      <c r="F473" s="92" t="str">
        <f t="shared" si="18"/>
        <v>dz_L6_I_MSK1</v>
      </c>
      <c r="G473" s="93" t="b">
        <v>1</v>
      </c>
      <c r="H473" s="93" t="s">
        <v>1275</v>
      </c>
      <c r="I473" s="90" t="str">
        <f t="shared" si="19"/>
        <v>60 mm</v>
      </c>
      <c r="J473" s="90"/>
      <c r="K473" s="90"/>
      <c r="L473" s="90"/>
      <c r="M473" s="90"/>
      <c r="N473" s="90"/>
      <c r="O473" s="90"/>
      <c r="P473" s="90"/>
      <c r="Q473" s="90"/>
      <c r="R473" s="90"/>
      <c r="S473" s="90"/>
      <c r="T473" s="90"/>
      <c r="U473" s="90"/>
      <c r="V473" s="90"/>
      <c r="W473" s="90"/>
      <c r="X473" s="90"/>
      <c r="Y473" s="90"/>
      <c r="Z473" s="90"/>
      <c r="AA473" s="90"/>
      <c r="AB473" s="90"/>
    </row>
    <row r="474" spans="1:28" ht="16">
      <c r="A474" s="125"/>
      <c r="B474" s="87" t="s">
        <v>1276</v>
      </c>
      <c r="C474" s="94">
        <f>C458-C457</f>
        <v>148</v>
      </c>
      <c r="D474" s="95" t="s">
        <v>727</v>
      </c>
      <c r="E474" s="96"/>
      <c r="F474" s="88" t="str">
        <f t="shared" si="18"/>
        <v>dz_MSK1_L5_I</v>
      </c>
      <c r="G474" s="89" t="b">
        <v>1</v>
      </c>
      <c r="H474" s="89" t="s">
        <v>1277</v>
      </c>
      <c r="I474" s="90" t="str">
        <f t="shared" si="19"/>
        <v>148 mm</v>
      </c>
      <c r="J474" s="90"/>
      <c r="K474" s="90"/>
      <c r="L474" s="90"/>
      <c r="M474" s="90"/>
      <c r="N474" s="90"/>
      <c r="O474" s="90"/>
      <c r="P474" s="90"/>
      <c r="Q474" s="90"/>
      <c r="R474" s="90"/>
      <c r="S474" s="90"/>
      <c r="T474" s="90"/>
      <c r="U474" s="90"/>
      <c r="V474" s="90"/>
      <c r="W474" s="90"/>
      <c r="X474" s="90"/>
      <c r="Y474" s="90"/>
      <c r="Z474" s="90"/>
      <c r="AA474" s="90"/>
      <c r="AB474" s="90"/>
    </row>
    <row r="475" spans="1:28" ht="16">
      <c r="A475" s="125"/>
      <c r="B475" s="91" t="s">
        <v>1278</v>
      </c>
      <c r="C475" s="97">
        <f>C461-C459</f>
        <v>160</v>
      </c>
      <c r="D475" s="98" t="s">
        <v>727</v>
      </c>
      <c r="E475" s="99"/>
      <c r="F475" s="92" t="str">
        <f t="shared" si="18"/>
        <v>dz_L5_P_OL4_P</v>
      </c>
      <c r="G475" s="93" t="b">
        <v>1</v>
      </c>
      <c r="H475" s="93" t="s">
        <v>1279</v>
      </c>
      <c r="I475" s="90" t="str">
        <f t="shared" si="19"/>
        <v>160 mm</v>
      </c>
      <c r="J475" s="90"/>
      <c r="K475" s="90"/>
      <c r="L475" s="90"/>
      <c r="M475" s="90"/>
      <c r="N475" s="90"/>
      <c r="O475" s="90"/>
      <c r="P475" s="90"/>
      <c r="Q475" s="90"/>
      <c r="R475" s="90"/>
      <c r="S475" s="90"/>
      <c r="T475" s="90"/>
      <c r="U475" s="90"/>
      <c r="V475" s="90"/>
      <c r="W475" s="90"/>
      <c r="X475" s="90"/>
      <c r="Y475" s="90"/>
      <c r="Z475" s="90"/>
      <c r="AA475" s="90"/>
      <c r="AB475" s="90"/>
    </row>
    <row r="476" spans="1:28" ht="16">
      <c r="A476" s="130"/>
      <c r="B476" s="87" t="s">
        <v>1280</v>
      </c>
      <c r="C476" s="94">
        <f>C463-C462</f>
        <v>29.5</v>
      </c>
      <c r="D476" s="95" t="s">
        <v>727</v>
      </c>
      <c r="E476" s="96"/>
      <c r="F476" s="88" t="str">
        <f t="shared" si="18"/>
        <v>dz_OL4_I_SAM</v>
      </c>
      <c r="G476" s="89" t="b">
        <v>1</v>
      </c>
      <c r="H476" s="89" t="s">
        <v>1281</v>
      </c>
      <c r="I476" s="90" t="str">
        <f t="shared" si="19"/>
        <v>29.5 mm</v>
      </c>
      <c r="J476" s="90"/>
      <c r="K476" s="90"/>
      <c r="L476" s="90"/>
      <c r="M476" s="90"/>
      <c r="N476" s="90"/>
      <c r="O476" s="90"/>
      <c r="P476" s="90"/>
      <c r="Q476" s="90"/>
      <c r="R476" s="90"/>
      <c r="S476" s="90"/>
      <c r="T476" s="90"/>
      <c r="U476" s="90"/>
      <c r="V476" s="90"/>
      <c r="W476" s="90"/>
      <c r="X476" s="90"/>
      <c r="Y476" s="90"/>
      <c r="Z476" s="90"/>
      <c r="AA476" s="90"/>
      <c r="AB476" s="90"/>
    </row>
    <row r="477" spans="1:28" ht="16">
      <c r="A477" s="100"/>
      <c r="B477" s="91"/>
      <c r="C477" s="97"/>
      <c r="D477" s="98"/>
      <c r="E477" s="99"/>
      <c r="F477" s="92"/>
      <c r="G477" s="93" t="b">
        <v>0</v>
      </c>
      <c r="H477" s="93"/>
      <c r="I477" s="90"/>
      <c r="J477" s="90"/>
      <c r="K477" s="90"/>
      <c r="L477" s="90"/>
      <c r="M477" s="90"/>
      <c r="N477" s="90"/>
      <c r="O477" s="90"/>
      <c r="P477" s="90"/>
      <c r="Q477" s="90"/>
      <c r="R477" s="90"/>
      <c r="S477" s="90"/>
      <c r="T477" s="90"/>
      <c r="U477" s="90"/>
      <c r="V477" s="90"/>
      <c r="W477" s="90"/>
      <c r="X477" s="90"/>
      <c r="Y477" s="90"/>
      <c r="Z477" s="90"/>
      <c r="AA477" s="90"/>
      <c r="AB477" s="90"/>
    </row>
    <row r="478" spans="1:28" ht="16">
      <c r="A478" s="100"/>
      <c r="B478" s="87"/>
      <c r="C478" s="94"/>
      <c r="D478" s="95"/>
      <c r="E478" s="96"/>
      <c r="F478" s="88"/>
      <c r="G478" s="89" t="b">
        <v>0</v>
      </c>
      <c r="H478" s="89"/>
      <c r="I478" s="90"/>
      <c r="J478" s="90"/>
      <c r="K478" s="90"/>
      <c r="L478" s="90"/>
      <c r="M478" s="90"/>
      <c r="N478" s="90"/>
      <c r="O478" s="90"/>
      <c r="P478" s="90"/>
      <c r="Q478" s="90"/>
      <c r="R478" s="90"/>
      <c r="S478" s="90"/>
      <c r="T478" s="90"/>
      <c r="U478" s="90"/>
      <c r="V478" s="90"/>
      <c r="W478" s="90"/>
      <c r="X478" s="90"/>
      <c r="Y478" s="90"/>
      <c r="Z478" s="90"/>
      <c r="AA478" s="90"/>
      <c r="AB478" s="90"/>
    </row>
    <row r="479" spans="1:28" ht="16">
      <c r="A479" s="100"/>
      <c r="B479" s="91"/>
      <c r="C479" s="97"/>
      <c r="D479" s="98"/>
      <c r="E479" s="99"/>
      <c r="F479" s="92"/>
      <c r="G479" s="93" t="b">
        <v>0</v>
      </c>
      <c r="H479" s="93"/>
      <c r="I479" s="90"/>
      <c r="J479" s="90"/>
      <c r="K479" s="90"/>
      <c r="L479" s="90"/>
      <c r="M479" s="90"/>
      <c r="N479" s="90"/>
      <c r="O479" s="90"/>
      <c r="P479" s="90"/>
      <c r="Q479" s="90"/>
      <c r="R479" s="90"/>
      <c r="S479" s="90"/>
      <c r="T479" s="90"/>
      <c r="U479" s="90"/>
      <c r="V479" s="90"/>
      <c r="W479" s="90"/>
      <c r="X479" s="90"/>
      <c r="Y479" s="90"/>
      <c r="Z479" s="90"/>
      <c r="AA479" s="90"/>
      <c r="AB479" s="90"/>
    </row>
    <row r="480" spans="1:28" ht="16">
      <c r="A480" s="100"/>
      <c r="B480" s="87"/>
      <c r="C480" s="94"/>
      <c r="D480" s="95"/>
      <c r="E480" s="96"/>
      <c r="F480" s="88"/>
      <c r="G480" s="89" t="b">
        <v>0</v>
      </c>
      <c r="H480" s="89"/>
      <c r="I480" s="90"/>
      <c r="J480" s="90"/>
      <c r="K480" s="90"/>
      <c r="L480" s="90"/>
      <c r="M480" s="90"/>
      <c r="N480" s="90"/>
      <c r="O480" s="90"/>
      <c r="P480" s="90"/>
      <c r="Q480" s="90"/>
      <c r="R480" s="90"/>
      <c r="S480" s="90"/>
      <c r="T480" s="90"/>
      <c r="U480" s="90"/>
      <c r="V480" s="90"/>
      <c r="W480" s="90"/>
      <c r="X480" s="90"/>
      <c r="Y480" s="90"/>
      <c r="Z480" s="90"/>
      <c r="AA480" s="90"/>
      <c r="AB480" s="90"/>
    </row>
    <row r="481" spans="1:28" ht="16">
      <c r="A481" s="100"/>
      <c r="B481" s="91"/>
      <c r="C481" s="97"/>
      <c r="D481" s="98"/>
      <c r="E481" s="99"/>
      <c r="F481" s="92"/>
      <c r="G481" s="93" t="b">
        <v>0</v>
      </c>
      <c r="H481" s="93"/>
      <c r="I481" s="90"/>
      <c r="J481" s="90"/>
      <c r="K481" s="90"/>
      <c r="L481" s="90"/>
      <c r="M481" s="90"/>
      <c r="N481" s="90"/>
      <c r="O481" s="90"/>
      <c r="P481" s="90"/>
      <c r="Q481" s="90"/>
      <c r="R481" s="90"/>
      <c r="S481" s="90"/>
      <c r="T481" s="90"/>
      <c r="U481" s="90"/>
      <c r="V481" s="90"/>
      <c r="W481" s="90"/>
      <c r="X481" s="90"/>
      <c r="Y481" s="90"/>
      <c r="Z481" s="90"/>
      <c r="AA481" s="90"/>
      <c r="AB481" s="90"/>
    </row>
    <row r="482" spans="1:28" ht="16">
      <c r="A482" s="100"/>
      <c r="B482" s="87"/>
      <c r="C482" s="94"/>
      <c r="D482" s="95"/>
      <c r="E482" s="96"/>
      <c r="F482" s="88"/>
      <c r="G482" s="89" t="b">
        <v>0</v>
      </c>
      <c r="H482" s="89"/>
      <c r="I482" s="90"/>
      <c r="J482" s="90"/>
      <c r="K482" s="90"/>
      <c r="L482" s="90"/>
      <c r="M482" s="90"/>
      <c r="N482" s="90"/>
      <c r="O482" s="90"/>
      <c r="P482" s="90"/>
      <c r="Q482" s="90"/>
      <c r="R482" s="90"/>
      <c r="S482" s="90"/>
      <c r="T482" s="90"/>
      <c r="U482" s="90"/>
      <c r="V482" s="90"/>
      <c r="W482" s="90"/>
      <c r="X482" s="90"/>
      <c r="Y482" s="90"/>
      <c r="Z482" s="90"/>
      <c r="AA482" s="90"/>
      <c r="AB482" s="90"/>
    </row>
    <row r="483" spans="1:28" ht="16">
      <c r="A483" s="100"/>
      <c r="B483" s="91"/>
      <c r="C483" s="97"/>
      <c r="D483" s="98"/>
      <c r="E483" s="99"/>
      <c r="F483" s="92"/>
      <c r="G483" s="93" t="b">
        <v>0</v>
      </c>
      <c r="H483" s="93"/>
      <c r="I483" s="90"/>
      <c r="J483" s="90"/>
      <c r="K483" s="90"/>
      <c r="L483" s="90"/>
      <c r="M483" s="90"/>
      <c r="N483" s="90"/>
      <c r="O483" s="90"/>
      <c r="P483" s="90"/>
      <c r="Q483" s="90"/>
      <c r="R483" s="90"/>
      <c r="S483" s="90"/>
      <c r="T483" s="90"/>
      <c r="U483" s="90"/>
      <c r="V483" s="90"/>
      <c r="W483" s="90"/>
      <c r="X483" s="90"/>
      <c r="Y483" s="90"/>
      <c r="Z483" s="90"/>
      <c r="AA483" s="90"/>
      <c r="AB483" s="90"/>
    </row>
    <row r="484" spans="1:28" ht="16">
      <c r="A484" s="100"/>
      <c r="B484" s="87"/>
      <c r="C484" s="94"/>
      <c r="D484" s="95"/>
      <c r="E484" s="96"/>
      <c r="F484" s="88"/>
      <c r="G484" s="89" t="b">
        <v>0</v>
      </c>
      <c r="H484" s="89"/>
      <c r="I484" s="90"/>
      <c r="J484" s="90"/>
      <c r="K484" s="90"/>
      <c r="L484" s="90"/>
      <c r="M484" s="90"/>
      <c r="N484" s="90"/>
      <c r="O484" s="90"/>
      <c r="P484" s="90"/>
      <c r="Q484" s="90"/>
      <c r="R484" s="90"/>
      <c r="S484" s="90"/>
      <c r="T484" s="90"/>
      <c r="U484" s="90"/>
      <c r="V484" s="90"/>
      <c r="W484" s="90"/>
      <c r="X484" s="90"/>
      <c r="Y484" s="90"/>
      <c r="Z484" s="90"/>
      <c r="AA484" s="90"/>
      <c r="AB484" s="90"/>
    </row>
    <row r="485" spans="1:28" ht="16">
      <c r="A485" s="100"/>
      <c r="B485" s="91"/>
      <c r="C485" s="97"/>
      <c r="D485" s="98"/>
      <c r="E485" s="99"/>
      <c r="F485" s="92"/>
      <c r="G485" s="93" t="b">
        <v>0</v>
      </c>
      <c r="H485" s="93"/>
      <c r="I485" s="90"/>
      <c r="J485" s="90"/>
      <c r="K485" s="90"/>
      <c r="L485" s="90"/>
      <c r="M485" s="90"/>
      <c r="N485" s="90"/>
      <c r="O485" s="90"/>
      <c r="P485" s="90"/>
      <c r="Q485" s="90"/>
      <c r="R485" s="90"/>
      <c r="S485" s="90"/>
      <c r="T485" s="90"/>
      <c r="U485" s="90"/>
      <c r="V485" s="90"/>
      <c r="W485" s="90"/>
      <c r="X485" s="90"/>
      <c r="Y485" s="90"/>
      <c r="Z485" s="90"/>
      <c r="AA485" s="90"/>
      <c r="AB485" s="90"/>
    </row>
    <row r="486" spans="1:28" ht="16">
      <c r="A486" s="100"/>
      <c r="B486" s="87"/>
      <c r="C486" s="94"/>
      <c r="D486" s="95"/>
      <c r="E486" s="96"/>
      <c r="F486" s="88"/>
      <c r="G486" s="89" t="b">
        <v>0</v>
      </c>
      <c r="H486" s="89"/>
      <c r="I486" s="90"/>
      <c r="J486" s="90"/>
      <c r="K486" s="90"/>
      <c r="L486" s="90"/>
      <c r="M486" s="90"/>
      <c r="N486" s="90"/>
      <c r="O486" s="90"/>
      <c r="P486" s="90"/>
      <c r="Q486" s="90"/>
      <c r="R486" s="90"/>
      <c r="S486" s="90"/>
      <c r="T486" s="90"/>
      <c r="U486" s="90"/>
      <c r="V486" s="90"/>
      <c r="W486" s="90"/>
      <c r="X486" s="90"/>
      <c r="Y486" s="90"/>
      <c r="Z486" s="90"/>
      <c r="AA486" s="90"/>
      <c r="AB486" s="90"/>
    </row>
    <row r="487" spans="1:28" ht="16">
      <c r="A487" s="100"/>
      <c r="B487" s="91"/>
      <c r="C487" s="97"/>
      <c r="D487" s="98"/>
      <c r="E487" s="99"/>
      <c r="F487" s="92"/>
      <c r="G487" s="93" t="b">
        <v>0</v>
      </c>
      <c r="H487" s="93"/>
      <c r="I487" s="90"/>
      <c r="J487" s="90"/>
      <c r="K487" s="90"/>
      <c r="L487" s="90"/>
      <c r="M487" s="90"/>
      <c r="N487" s="90"/>
      <c r="O487" s="90"/>
      <c r="P487" s="90"/>
      <c r="Q487" s="90"/>
      <c r="R487" s="90"/>
      <c r="S487" s="90"/>
      <c r="T487" s="90"/>
      <c r="U487" s="90"/>
      <c r="V487" s="90"/>
      <c r="W487" s="90"/>
      <c r="X487" s="90"/>
      <c r="Y487" s="90"/>
      <c r="Z487" s="90"/>
      <c r="AA487" s="90"/>
      <c r="AB487" s="90"/>
    </row>
    <row r="488" spans="1:28" ht="16">
      <c r="A488" s="100"/>
      <c r="B488" s="87"/>
      <c r="C488" s="94"/>
      <c r="D488" s="95"/>
      <c r="E488" s="96"/>
      <c r="F488" s="88"/>
      <c r="G488" s="89" t="b">
        <v>0</v>
      </c>
      <c r="H488" s="89"/>
      <c r="I488" s="90"/>
      <c r="J488" s="90"/>
      <c r="K488" s="90"/>
      <c r="L488" s="90"/>
      <c r="M488" s="90"/>
      <c r="N488" s="90"/>
      <c r="O488" s="90"/>
      <c r="P488" s="90"/>
      <c r="Q488" s="90"/>
      <c r="R488" s="90"/>
      <c r="S488" s="90"/>
      <c r="T488" s="90"/>
      <c r="U488" s="90"/>
      <c r="V488" s="90"/>
      <c r="W488" s="90"/>
      <c r="X488" s="90"/>
      <c r="Y488" s="90"/>
      <c r="Z488" s="90"/>
      <c r="AA488" s="90"/>
      <c r="AB488" s="90"/>
    </row>
    <row r="489" spans="1:28" ht="16">
      <c r="A489" s="100"/>
      <c r="B489" s="91"/>
      <c r="C489" s="97"/>
      <c r="D489" s="98"/>
      <c r="E489" s="99"/>
      <c r="F489" s="92"/>
      <c r="G489" s="93" t="b">
        <v>0</v>
      </c>
      <c r="H489" s="93"/>
      <c r="I489" s="90"/>
      <c r="J489" s="90"/>
      <c r="K489" s="90"/>
      <c r="L489" s="90"/>
      <c r="M489" s="90"/>
      <c r="N489" s="90"/>
      <c r="O489" s="90"/>
      <c r="P489" s="90"/>
      <c r="Q489" s="90"/>
      <c r="R489" s="90"/>
      <c r="S489" s="90"/>
      <c r="T489" s="90"/>
      <c r="U489" s="90"/>
      <c r="V489" s="90"/>
      <c r="W489" s="90"/>
      <c r="X489" s="90"/>
      <c r="Y489" s="90"/>
      <c r="Z489" s="90"/>
      <c r="AA489" s="90"/>
      <c r="AB489" s="90"/>
    </row>
    <row r="490" spans="1:28" ht="16">
      <c r="A490" s="100"/>
      <c r="B490" s="87"/>
      <c r="C490" s="94"/>
      <c r="D490" s="95"/>
      <c r="E490" s="96"/>
      <c r="F490" s="88"/>
      <c r="G490" s="89" t="b">
        <v>0</v>
      </c>
      <c r="H490" s="89"/>
      <c r="I490" s="90"/>
      <c r="J490" s="90"/>
      <c r="K490" s="90"/>
      <c r="L490" s="90"/>
      <c r="M490" s="90"/>
      <c r="N490" s="90"/>
      <c r="O490" s="90"/>
      <c r="P490" s="90"/>
      <c r="Q490" s="90"/>
      <c r="R490" s="90"/>
      <c r="S490" s="90"/>
      <c r="T490" s="90"/>
      <c r="U490" s="90"/>
      <c r="V490" s="90"/>
      <c r="W490" s="90"/>
      <c r="X490" s="90"/>
      <c r="Y490" s="90"/>
      <c r="Z490" s="90"/>
      <c r="AA490" s="90"/>
      <c r="AB490" s="90"/>
    </row>
    <row r="491" spans="1:28" ht="16">
      <c r="A491" s="100"/>
      <c r="B491" s="91"/>
      <c r="C491" s="97"/>
      <c r="D491" s="98"/>
      <c r="E491" s="99"/>
      <c r="F491" s="92"/>
      <c r="G491" s="93" t="b">
        <v>0</v>
      </c>
      <c r="H491" s="93"/>
      <c r="I491" s="90"/>
      <c r="J491" s="90"/>
      <c r="K491" s="90"/>
      <c r="L491" s="90"/>
      <c r="M491" s="90"/>
      <c r="N491" s="90"/>
      <c r="O491" s="90"/>
      <c r="P491" s="90"/>
      <c r="Q491" s="90"/>
      <c r="R491" s="90"/>
      <c r="S491" s="90"/>
      <c r="T491" s="90"/>
      <c r="U491" s="90"/>
      <c r="V491" s="90"/>
      <c r="W491" s="90"/>
      <c r="X491" s="90"/>
      <c r="Y491" s="90"/>
      <c r="Z491" s="90"/>
      <c r="AA491" s="90"/>
      <c r="AB491" s="90"/>
    </row>
    <row r="492" spans="1:28" ht="16">
      <c r="A492" s="100"/>
      <c r="B492" s="87"/>
      <c r="C492" s="94"/>
      <c r="D492" s="95"/>
      <c r="E492" s="96"/>
      <c r="F492" s="88"/>
      <c r="G492" s="89" t="b">
        <v>0</v>
      </c>
      <c r="H492" s="89"/>
      <c r="I492" s="90"/>
      <c r="J492" s="90"/>
      <c r="K492" s="90"/>
      <c r="L492" s="90"/>
      <c r="M492" s="90"/>
      <c r="N492" s="90"/>
      <c r="O492" s="90"/>
      <c r="P492" s="90"/>
      <c r="Q492" s="90"/>
      <c r="R492" s="90"/>
      <c r="S492" s="90"/>
      <c r="T492" s="90"/>
      <c r="U492" s="90"/>
      <c r="V492" s="90"/>
      <c r="W492" s="90"/>
      <c r="X492" s="90"/>
      <c r="Y492" s="90"/>
      <c r="Z492" s="90"/>
      <c r="AA492" s="90"/>
      <c r="AB492" s="90"/>
    </row>
    <row r="493" spans="1:28" ht="16">
      <c r="A493" s="100"/>
      <c r="B493" s="91"/>
      <c r="C493" s="97"/>
      <c r="D493" s="98"/>
      <c r="E493" s="99"/>
      <c r="F493" s="92"/>
      <c r="G493" s="93" t="b">
        <v>0</v>
      </c>
      <c r="H493" s="93"/>
      <c r="I493" s="90"/>
      <c r="J493" s="90"/>
      <c r="K493" s="90"/>
      <c r="L493" s="90"/>
      <c r="M493" s="90"/>
      <c r="N493" s="90"/>
      <c r="O493" s="90"/>
      <c r="P493" s="90"/>
      <c r="Q493" s="90"/>
      <c r="R493" s="90"/>
      <c r="S493" s="90"/>
      <c r="T493" s="90"/>
      <c r="U493" s="90"/>
      <c r="V493" s="90"/>
      <c r="W493" s="90"/>
      <c r="X493" s="90"/>
      <c r="Y493" s="90"/>
      <c r="Z493" s="90"/>
      <c r="AA493" s="90"/>
      <c r="AB493" s="90"/>
    </row>
    <row r="494" spans="1:28" ht="16">
      <c r="A494" s="100"/>
      <c r="B494" s="87"/>
      <c r="C494" s="94"/>
      <c r="D494" s="95"/>
      <c r="E494" s="96"/>
      <c r="F494" s="88"/>
      <c r="G494" s="89" t="b">
        <v>0</v>
      </c>
      <c r="H494" s="89"/>
      <c r="I494" s="90"/>
      <c r="J494" s="90"/>
      <c r="K494" s="90"/>
      <c r="L494" s="90"/>
      <c r="M494" s="90"/>
      <c r="N494" s="90"/>
      <c r="O494" s="90"/>
      <c r="P494" s="90"/>
      <c r="Q494" s="90"/>
      <c r="R494" s="90"/>
      <c r="S494" s="90"/>
      <c r="T494" s="90"/>
      <c r="U494" s="90"/>
      <c r="V494" s="90"/>
      <c r="W494" s="90"/>
      <c r="X494" s="90"/>
      <c r="Y494" s="90"/>
      <c r="Z494" s="90"/>
      <c r="AA494" s="90"/>
      <c r="AB494" s="90"/>
    </row>
    <row r="495" spans="1:28" ht="16">
      <c r="A495" s="100"/>
      <c r="B495" s="91"/>
      <c r="C495" s="97"/>
      <c r="D495" s="98"/>
      <c r="E495" s="99"/>
      <c r="F495" s="92"/>
      <c r="G495" s="93" t="b">
        <v>0</v>
      </c>
      <c r="H495" s="93"/>
      <c r="I495" s="90"/>
      <c r="J495" s="90"/>
      <c r="K495" s="90"/>
      <c r="L495" s="90"/>
      <c r="M495" s="90"/>
      <c r="N495" s="90"/>
      <c r="O495" s="90"/>
      <c r="P495" s="90"/>
      <c r="Q495" s="90"/>
      <c r="R495" s="90"/>
      <c r="S495" s="90"/>
      <c r="T495" s="90"/>
      <c r="U495" s="90"/>
      <c r="V495" s="90"/>
      <c r="W495" s="90"/>
      <c r="X495" s="90"/>
      <c r="Y495" s="90"/>
      <c r="Z495" s="90"/>
      <c r="AA495" s="90"/>
      <c r="AB495" s="90"/>
    </row>
    <row r="496" spans="1:28" ht="16">
      <c r="A496" s="100"/>
      <c r="B496" s="87"/>
      <c r="C496" s="94"/>
      <c r="D496" s="95"/>
      <c r="E496" s="96"/>
      <c r="F496" s="88"/>
      <c r="G496" s="89" t="b">
        <v>0</v>
      </c>
      <c r="H496" s="89"/>
      <c r="I496" s="90"/>
      <c r="J496" s="90"/>
      <c r="K496" s="90"/>
      <c r="L496" s="90"/>
      <c r="M496" s="90"/>
      <c r="N496" s="90"/>
      <c r="O496" s="90"/>
      <c r="P496" s="90"/>
      <c r="Q496" s="90"/>
      <c r="R496" s="90"/>
      <c r="S496" s="90"/>
      <c r="T496" s="90"/>
      <c r="U496" s="90"/>
      <c r="V496" s="90"/>
      <c r="W496" s="90"/>
      <c r="X496" s="90"/>
      <c r="Y496" s="90"/>
      <c r="Z496" s="90"/>
      <c r="AA496" s="90"/>
      <c r="AB496" s="90"/>
    </row>
    <row r="497" spans="1:28" ht="16">
      <c r="A497" s="100"/>
      <c r="B497" s="91"/>
      <c r="C497" s="97"/>
      <c r="D497" s="98"/>
      <c r="E497" s="99"/>
      <c r="F497" s="92"/>
      <c r="G497" s="93" t="b">
        <v>0</v>
      </c>
      <c r="H497" s="93"/>
      <c r="I497" s="90"/>
      <c r="J497" s="90"/>
      <c r="K497" s="90"/>
      <c r="L497" s="90"/>
      <c r="M497" s="90"/>
      <c r="N497" s="90"/>
      <c r="O497" s="90"/>
      <c r="P497" s="90"/>
      <c r="Q497" s="90"/>
      <c r="R497" s="90"/>
      <c r="S497" s="90"/>
      <c r="T497" s="90"/>
      <c r="U497" s="90"/>
      <c r="V497" s="90"/>
      <c r="W497" s="90"/>
      <c r="X497" s="90"/>
      <c r="Y497" s="90"/>
      <c r="Z497" s="90"/>
      <c r="AA497" s="90"/>
      <c r="AB497" s="90"/>
    </row>
    <row r="498" spans="1:28" ht="16">
      <c r="A498" s="100"/>
      <c r="B498" s="87"/>
      <c r="C498" s="94"/>
      <c r="D498" s="95"/>
      <c r="E498" s="96"/>
      <c r="F498" s="88"/>
      <c r="G498" s="89" t="b">
        <v>0</v>
      </c>
      <c r="H498" s="89"/>
      <c r="I498" s="90"/>
      <c r="J498" s="90"/>
      <c r="K498" s="90"/>
      <c r="L498" s="90"/>
      <c r="M498" s="90"/>
      <c r="N498" s="90"/>
      <c r="O498" s="90"/>
      <c r="P498" s="90"/>
      <c r="Q498" s="90"/>
      <c r="R498" s="90"/>
      <c r="S498" s="90"/>
      <c r="T498" s="90"/>
      <c r="U498" s="90"/>
      <c r="V498" s="90"/>
      <c r="W498" s="90"/>
      <c r="X498" s="90"/>
      <c r="Y498" s="90"/>
      <c r="Z498" s="90"/>
      <c r="AA498" s="90"/>
      <c r="AB498" s="90"/>
    </row>
    <row r="499" spans="1:28" ht="16">
      <c r="A499" s="100"/>
      <c r="B499" s="91"/>
      <c r="C499" s="97"/>
      <c r="D499" s="98"/>
      <c r="E499" s="99"/>
      <c r="F499" s="92"/>
      <c r="G499" s="93" t="b">
        <v>0</v>
      </c>
      <c r="H499" s="93"/>
      <c r="I499" s="90"/>
      <c r="J499" s="90"/>
      <c r="K499" s="90"/>
      <c r="L499" s="90"/>
      <c r="M499" s="90"/>
      <c r="N499" s="90"/>
      <c r="O499" s="90"/>
      <c r="P499" s="90"/>
      <c r="Q499" s="90"/>
      <c r="R499" s="90"/>
      <c r="S499" s="90"/>
      <c r="T499" s="90"/>
      <c r="U499" s="90"/>
      <c r="V499" s="90"/>
      <c r="W499" s="90"/>
      <c r="X499" s="90"/>
      <c r="Y499" s="90"/>
      <c r="Z499" s="90"/>
      <c r="AA499" s="90"/>
      <c r="AB499" s="90"/>
    </row>
    <row r="500" spans="1:28" ht="16">
      <c r="A500" s="100"/>
      <c r="B500" s="87"/>
      <c r="C500" s="94"/>
      <c r="D500" s="95"/>
      <c r="E500" s="96"/>
      <c r="F500" s="88"/>
      <c r="G500" s="89" t="b">
        <v>0</v>
      </c>
      <c r="H500" s="89"/>
      <c r="I500" s="90"/>
      <c r="J500" s="90"/>
      <c r="K500" s="90"/>
      <c r="L500" s="90"/>
      <c r="M500" s="90"/>
      <c r="N500" s="90"/>
      <c r="O500" s="90"/>
      <c r="P500" s="90"/>
      <c r="Q500" s="90"/>
      <c r="R500" s="90"/>
      <c r="S500" s="90"/>
      <c r="T500" s="90"/>
      <c r="U500" s="90"/>
      <c r="V500" s="90"/>
      <c r="W500" s="90"/>
      <c r="X500" s="90"/>
      <c r="Y500" s="90"/>
      <c r="Z500" s="90"/>
      <c r="AA500" s="90"/>
      <c r="AB500" s="90"/>
    </row>
    <row r="501" spans="1:28" ht="16">
      <c r="A501" s="100"/>
      <c r="B501" s="91"/>
      <c r="C501" s="97"/>
      <c r="D501" s="98"/>
      <c r="E501" s="99"/>
      <c r="F501" s="92"/>
      <c r="G501" s="93" t="b">
        <v>0</v>
      </c>
      <c r="H501" s="93"/>
      <c r="I501" s="90"/>
      <c r="J501" s="90"/>
      <c r="K501" s="90"/>
      <c r="L501" s="90"/>
      <c r="M501" s="90"/>
      <c r="N501" s="90"/>
      <c r="O501" s="90"/>
      <c r="P501" s="90"/>
      <c r="Q501" s="90"/>
      <c r="R501" s="90"/>
      <c r="S501" s="90"/>
      <c r="T501" s="90"/>
      <c r="U501" s="90"/>
      <c r="V501" s="90"/>
      <c r="W501" s="90"/>
      <c r="X501" s="90"/>
      <c r="Y501" s="90"/>
      <c r="Z501" s="90"/>
      <c r="AA501" s="90"/>
      <c r="AB501" s="90"/>
    </row>
    <row r="502" spans="1:28" ht="16">
      <c r="A502" s="100"/>
      <c r="B502" s="87"/>
      <c r="C502" s="94"/>
      <c r="D502" s="95"/>
      <c r="E502" s="96"/>
      <c r="F502" s="88"/>
      <c r="G502" s="89" t="b">
        <v>0</v>
      </c>
      <c r="H502" s="89"/>
      <c r="I502" s="90"/>
      <c r="J502" s="90"/>
      <c r="K502" s="90"/>
      <c r="L502" s="90"/>
      <c r="M502" s="90"/>
      <c r="N502" s="90"/>
      <c r="O502" s="90"/>
      <c r="P502" s="90"/>
      <c r="Q502" s="90"/>
      <c r="R502" s="90"/>
      <c r="S502" s="90"/>
      <c r="T502" s="90"/>
      <c r="U502" s="90"/>
      <c r="V502" s="90"/>
      <c r="W502" s="90"/>
      <c r="X502" s="90"/>
      <c r="Y502" s="90"/>
      <c r="Z502" s="90"/>
      <c r="AA502" s="90"/>
      <c r="AB502" s="90"/>
    </row>
    <row r="503" spans="1:28" ht="16">
      <c r="A503" s="100"/>
      <c r="B503" s="91"/>
      <c r="C503" s="97"/>
      <c r="D503" s="98"/>
      <c r="E503" s="99"/>
      <c r="F503" s="92"/>
      <c r="G503" s="93" t="b">
        <v>0</v>
      </c>
      <c r="H503" s="93"/>
      <c r="I503" s="90"/>
      <c r="J503" s="90"/>
      <c r="K503" s="90"/>
      <c r="L503" s="90"/>
      <c r="M503" s="90"/>
      <c r="N503" s="90"/>
      <c r="O503" s="90"/>
      <c r="P503" s="90"/>
      <c r="Q503" s="90"/>
      <c r="R503" s="90"/>
      <c r="S503" s="90"/>
      <c r="T503" s="90"/>
      <c r="U503" s="90"/>
      <c r="V503" s="90"/>
      <c r="W503" s="90"/>
      <c r="X503" s="90"/>
      <c r="Y503" s="90"/>
      <c r="Z503" s="90"/>
      <c r="AA503" s="90"/>
      <c r="AB503" s="90"/>
    </row>
    <row r="504" spans="1:28" ht="16">
      <c r="A504" s="100"/>
      <c r="B504" s="87"/>
      <c r="C504" s="94"/>
      <c r="D504" s="95"/>
      <c r="E504" s="96"/>
      <c r="F504" s="88"/>
      <c r="G504" s="89" t="b">
        <v>0</v>
      </c>
      <c r="H504" s="89"/>
      <c r="I504" s="90"/>
      <c r="J504" s="90"/>
      <c r="K504" s="90"/>
      <c r="L504" s="90"/>
      <c r="M504" s="90"/>
      <c r="N504" s="90"/>
      <c r="O504" s="90"/>
      <c r="P504" s="90"/>
      <c r="Q504" s="90"/>
      <c r="R504" s="90"/>
      <c r="S504" s="90"/>
      <c r="T504" s="90"/>
      <c r="U504" s="90"/>
      <c r="V504" s="90"/>
      <c r="W504" s="90"/>
      <c r="X504" s="90"/>
      <c r="Y504" s="90"/>
      <c r="Z504" s="90"/>
      <c r="AA504" s="90"/>
      <c r="AB504" s="90"/>
    </row>
    <row r="505" spans="1:28" ht="16">
      <c r="A505" s="100"/>
      <c r="B505" s="91"/>
      <c r="C505" s="97"/>
      <c r="D505" s="98"/>
      <c r="E505" s="99"/>
      <c r="F505" s="92"/>
      <c r="G505" s="93" t="b">
        <v>0</v>
      </c>
      <c r="H505" s="93"/>
      <c r="I505" s="90"/>
      <c r="J505" s="90"/>
      <c r="K505" s="90"/>
      <c r="L505" s="90"/>
      <c r="M505" s="90"/>
      <c r="N505" s="90"/>
      <c r="O505" s="90"/>
      <c r="P505" s="90"/>
      <c r="Q505" s="90"/>
      <c r="R505" s="90"/>
      <c r="S505" s="90"/>
      <c r="T505" s="90"/>
      <c r="U505" s="90"/>
      <c r="V505" s="90"/>
      <c r="W505" s="90"/>
      <c r="X505" s="90"/>
      <c r="Y505" s="90"/>
      <c r="Z505" s="90"/>
      <c r="AA505" s="90"/>
      <c r="AB505" s="90"/>
    </row>
    <row r="506" spans="1:28" ht="16">
      <c r="A506" s="100"/>
      <c r="B506" s="87"/>
      <c r="C506" s="94"/>
      <c r="D506" s="95"/>
      <c r="E506" s="96"/>
      <c r="F506" s="88"/>
      <c r="G506" s="89" t="b">
        <v>0</v>
      </c>
      <c r="H506" s="89"/>
      <c r="I506" s="90"/>
      <c r="J506" s="90"/>
      <c r="K506" s="90"/>
      <c r="L506" s="90"/>
      <c r="M506" s="90"/>
      <c r="N506" s="90"/>
      <c r="O506" s="90"/>
      <c r="P506" s="90"/>
      <c r="Q506" s="90"/>
      <c r="R506" s="90"/>
      <c r="S506" s="90"/>
      <c r="T506" s="90"/>
      <c r="U506" s="90"/>
      <c r="V506" s="90"/>
      <c r="W506" s="90"/>
      <c r="X506" s="90"/>
      <c r="Y506" s="90"/>
      <c r="Z506" s="90"/>
      <c r="AA506" s="90"/>
      <c r="AB506" s="90"/>
    </row>
    <row r="507" spans="1:28" ht="16">
      <c r="A507" s="100"/>
      <c r="B507" s="91"/>
      <c r="C507" s="97"/>
      <c r="D507" s="98"/>
      <c r="E507" s="99"/>
      <c r="F507" s="92"/>
      <c r="G507" s="93" t="b">
        <v>0</v>
      </c>
      <c r="H507" s="93"/>
      <c r="I507" s="90"/>
      <c r="J507" s="90"/>
      <c r="K507" s="90"/>
      <c r="L507" s="90"/>
      <c r="M507" s="90"/>
      <c r="N507" s="90"/>
      <c r="O507" s="90"/>
      <c r="P507" s="90"/>
      <c r="Q507" s="90"/>
      <c r="R507" s="90"/>
      <c r="S507" s="90"/>
      <c r="T507" s="90"/>
      <c r="U507" s="90"/>
      <c r="V507" s="90"/>
      <c r="W507" s="90"/>
      <c r="X507" s="90"/>
      <c r="Y507" s="90"/>
      <c r="Z507" s="90"/>
      <c r="AA507" s="90"/>
      <c r="AB507" s="90"/>
    </row>
    <row r="508" spans="1:28" ht="16">
      <c r="A508" s="100"/>
      <c r="B508" s="87"/>
      <c r="C508" s="94"/>
      <c r="D508" s="95"/>
      <c r="E508" s="96"/>
      <c r="F508" s="88"/>
      <c r="G508" s="89" t="b">
        <v>0</v>
      </c>
      <c r="H508" s="89"/>
      <c r="I508" s="90"/>
      <c r="J508" s="90"/>
      <c r="K508" s="90"/>
      <c r="L508" s="90"/>
      <c r="M508" s="90"/>
      <c r="N508" s="90"/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  <c r="AA508" s="90"/>
      <c r="AB508" s="90"/>
    </row>
    <row r="509" spans="1:28" ht="16">
      <c r="A509" s="100"/>
      <c r="B509" s="91"/>
      <c r="C509" s="97"/>
      <c r="D509" s="98"/>
      <c r="E509" s="99"/>
      <c r="F509" s="92"/>
      <c r="G509" s="93" t="b">
        <v>0</v>
      </c>
      <c r="H509" s="93"/>
      <c r="I509" s="90"/>
      <c r="J509" s="90"/>
      <c r="K509" s="90"/>
      <c r="L509" s="90"/>
      <c r="M509" s="90"/>
      <c r="N509" s="90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  <c r="AA509" s="90"/>
      <c r="AB509" s="90"/>
    </row>
    <row r="510" spans="1:28" ht="16">
      <c r="A510" s="100"/>
      <c r="B510" s="87"/>
      <c r="C510" s="94"/>
      <c r="D510" s="95"/>
      <c r="E510" s="96"/>
      <c r="F510" s="88"/>
      <c r="G510" s="89" t="b">
        <v>0</v>
      </c>
      <c r="H510" s="89"/>
      <c r="I510" s="90"/>
      <c r="J510" s="90"/>
      <c r="K510" s="90"/>
      <c r="L510" s="90"/>
      <c r="M510" s="90"/>
      <c r="N510" s="90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</row>
    <row r="511" spans="1:28" ht="16">
      <c r="A511" s="100"/>
      <c r="B511" s="91"/>
      <c r="C511" s="97"/>
      <c r="D511" s="98"/>
      <c r="E511" s="99"/>
      <c r="F511" s="92"/>
      <c r="G511" s="93" t="b">
        <v>0</v>
      </c>
      <c r="H511" s="93"/>
      <c r="I511" s="90"/>
      <c r="J511" s="90"/>
      <c r="K511" s="90"/>
      <c r="L511" s="90"/>
      <c r="M511" s="90"/>
      <c r="N511" s="90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</row>
    <row r="512" spans="1:28" ht="16">
      <c r="A512" s="100"/>
      <c r="B512" s="87"/>
      <c r="C512" s="94"/>
      <c r="D512" s="95"/>
      <c r="E512" s="96"/>
      <c r="F512" s="88"/>
      <c r="G512" s="89" t="b">
        <v>0</v>
      </c>
      <c r="H512" s="89"/>
      <c r="I512" s="90"/>
      <c r="J512" s="90"/>
      <c r="K512" s="90"/>
      <c r="L512" s="90"/>
      <c r="M512" s="90"/>
      <c r="N512" s="90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</row>
    <row r="513" spans="1:28" ht="16">
      <c r="A513" s="100"/>
      <c r="B513" s="91"/>
      <c r="C513" s="97"/>
      <c r="D513" s="98"/>
      <c r="E513" s="99"/>
      <c r="F513" s="92"/>
      <c r="G513" s="93" t="b">
        <v>0</v>
      </c>
      <c r="H513" s="93"/>
      <c r="I513" s="90"/>
      <c r="J513" s="90"/>
      <c r="K513" s="90"/>
      <c r="L513" s="90"/>
      <c r="M513" s="90"/>
      <c r="N513" s="90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</row>
    <row r="514" spans="1:28" ht="16">
      <c r="A514" s="100"/>
      <c r="B514" s="87"/>
      <c r="C514" s="94"/>
      <c r="D514" s="95"/>
      <c r="E514" s="96"/>
      <c r="F514" s="88"/>
      <c r="G514" s="89" t="b">
        <v>0</v>
      </c>
      <c r="H514" s="89"/>
      <c r="I514" s="90"/>
      <c r="J514" s="90"/>
      <c r="K514" s="90"/>
      <c r="L514" s="90"/>
      <c r="M514" s="90"/>
      <c r="N514" s="90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</row>
    <row r="515" spans="1:28" ht="16">
      <c r="A515" s="100"/>
      <c r="B515" s="91"/>
      <c r="C515" s="97"/>
      <c r="D515" s="98"/>
      <c r="E515" s="99"/>
      <c r="F515" s="92"/>
      <c r="G515" s="93" t="b">
        <v>0</v>
      </c>
      <c r="H515" s="93"/>
      <c r="I515" s="90"/>
      <c r="J515" s="90"/>
      <c r="K515" s="90"/>
      <c r="L515" s="90"/>
      <c r="M515" s="90"/>
      <c r="N515" s="90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</row>
    <row r="516" spans="1:28" ht="16">
      <c r="A516" s="100"/>
      <c r="B516" s="87"/>
      <c r="C516" s="94"/>
      <c r="D516" s="95"/>
      <c r="E516" s="96"/>
      <c r="F516" s="88"/>
      <c r="G516" s="89" t="b">
        <v>0</v>
      </c>
      <c r="H516" s="89"/>
      <c r="I516" s="90"/>
      <c r="J516" s="90"/>
      <c r="K516" s="90"/>
      <c r="L516" s="90"/>
      <c r="M516" s="90"/>
      <c r="N516" s="90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</row>
    <row r="517" spans="1:28" ht="16">
      <c r="A517" s="100"/>
      <c r="B517" s="91"/>
      <c r="C517" s="97"/>
      <c r="D517" s="98"/>
      <c r="E517" s="99"/>
      <c r="F517" s="92"/>
      <c r="G517" s="93" t="b">
        <v>0</v>
      </c>
      <c r="H517" s="93"/>
      <c r="I517" s="90"/>
      <c r="J517" s="90"/>
      <c r="K517" s="90"/>
      <c r="L517" s="90"/>
      <c r="M517" s="90"/>
      <c r="N517" s="90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  <c r="AA517" s="90"/>
      <c r="AB517" s="90"/>
    </row>
    <row r="518" spans="1:28" ht="16">
      <c r="A518" s="100"/>
      <c r="B518" s="87"/>
      <c r="C518" s="94"/>
      <c r="D518" s="95"/>
      <c r="E518" s="96"/>
      <c r="F518" s="88"/>
      <c r="G518" s="89" t="b">
        <v>0</v>
      </c>
      <c r="H518" s="89"/>
      <c r="I518" s="90"/>
      <c r="J518" s="90"/>
      <c r="K518" s="90"/>
      <c r="L518" s="90"/>
      <c r="M518" s="90"/>
      <c r="N518" s="90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</row>
    <row r="519" spans="1:28" ht="16">
      <c r="A519" s="100"/>
      <c r="B519" s="91"/>
      <c r="C519" s="97"/>
      <c r="D519" s="98"/>
      <c r="E519" s="99"/>
      <c r="F519" s="92"/>
      <c r="G519" s="93" t="b">
        <v>0</v>
      </c>
      <c r="H519" s="93"/>
      <c r="I519" s="90"/>
      <c r="J519" s="90"/>
      <c r="K519" s="90"/>
      <c r="L519" s="90"/>
      <c r="M519" s="90"/>
      <c r="N519" s="90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</row>
    <row r="520" spans="1:28" ht="16">
      <c r="A520" s="100"/>
      <c r="B520" s="87"/>
      <c r="C520" s="94"/>
      <c r="D520" s="95"/>
      <c r="E520" s="96"/>
      <c r="F520" s="88"/>
      <c r="G520" s="89" t="b">
        <v>0</v>
      </c>
      <c r="H520" s="89"/>
      <c r="I520" s="90"/>
      <c r="J520" s="90"/>
      <c r="K520" s="90"/>
      <c r="L520" s="90"/>
      <c r="M520" s="90"/>
      <c r="N520" s="90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</row>
    <row r="521" spans="1:28" ht="16">
      <c r="A521" s="100"/>
      <c r="B521" s="91"/>
      <c r="C521" s="97"/>
      <c r="D521" s="98"/>
      <c r="E521" s="99"/>
      <c r="F521" s="92"/>
      <c r="G521" s="93" t="b">
        <v>0</v>
      </c>
      <c r="H521" s="93"/>
      <c r="I521" s="90"/>
      <c r="J521" s="90"/>
      <c r="K521" s="90"/>
      <c r="L521" s="90"/>
      <c r="M521" s="90"/>
      <c r="N521" s="90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</row>
    <row r="522" spans="1:28" ht="16">
      <c r="A522" s="100"/>
      <c r="B522" s="87"/>
      <c r="C522" s="94"/>
      <c r="D522" s="95"/>
      <c r="E522" s="96"/>
      <c r="F522" s="88"/>
      <c r="G522" s="89" t="b">
        <v>0</v>
      </c>
      <c r="H522" s="89"/>
      <c r="I522" s="90"/>
      <c r="J522" s="90"/>
      <c r="K522" s="90"/>
      <c r="L522" s="90"/>
      <c r="M522" s="90"/>
      <c r="N522" s="90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</row>
    <row r="523" spans="1:28" ht="16">
      <c r="A523" s="100"/>
      <c r="B523" s="91"/>
      <c r="C523" s="97"/>
      <c r="D523" s="98"/>
      <c r="E523" s="99"/>
      <c r="F523" s="92"/>
      <c r="G523" s="93" t="b">
        <v>0</v>
      </c>
      <c r="H523" s="93"/>
      <c r="I523" s="90"/>
      <c r="J523" s="90"/>
      <c r="K523" s="90"/>
      <c r="L523" s="90"/>
      <c r="M523" s="90"/>
      <c r="N523" s="90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</row>
    <row r="524" spans="1:28" ht="16">
      <c r="A524" s="100"/>
      <c r="B524" s="87"/>
      <c r="C524" s="94"/>
      <c r="D524" s="95"/>
      <c r="E524" s="96"/>
      <c r="F524" s="88"/>
      <c r="G524" s="89" t="b">
        <v>0</v>
      </c>
      <c r="H524" s="89"/>
      <c r="I524" s="90"/>
      <c r="J524" s="90"/>
      <c r="K524" s="90"/>
      <c r="L524" s="90"/>
      <c r="M524" s="90"/>
      <c r="N524" s="90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</row>
    <row r="525" spans="1:28" ht="16">
      <c r="A525" s="100"/>
      <c r="B525" s="91"/>
      <c r="C525" s="97"/>
      <c r="D525" s="98"/>
      <c r="E525" s="99"/>
      <c r="F525" s="92"/>
      <c r="G525" s="93" t="b">
        <v>0</v>
      </c>
      <c r="H525" s="93"/>
      <c r="I525" s="90"/>
      <c r="J525" s="90"/>
      <c r="K525" s="90"/>
      <c r="L525" s="90"/>
      <c r="M525" s="90"/>
      <c r="N525" s="90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</row>
    <row r="526" spans="1:28" ht="16">
      <c r="A526" s="100"/>
      <c r="B526" s="87"/>
      <c r="C526" s="94"/>
      <c r="D526" s="95"/>
      <c r="E526" s="96"/>
      <c r="F526" s="88"/>
      <c r="G526" s="89" t="b">
        <v>0</v>
      </c>
      <c r="H526" s="89"/>
      <c r="I526" s="90"/>
      <c r="J526" s="90"/>
      <c r="K526" s="90"/>
      <c r="L526" s="90"/>
      <c r="M526" s="90"/>
      <c r="N526" s="90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</row>
    <row r="527" spans="1:28" ht="16">
      <c r="A527" s="100"/>
      <c r="B527" s="91"/>
      <c r="C527" s="97"/>
      <c r="D527" s="98"/>
      <c r="E527" s="99"/>
      <c r="F527" s="92"/>
      <c r="G527" s="93" t="b">
        <v>0</v>
      </c>
      <c r="H527" s="93"/>
      <c r="I527" s="90"/>
      <c r="J527" s="90"/>
      <c r="K527" s="90"/>
      <c r="L527" s="90"/>
      <c r="M527" s="90"/>
      <c r="N527" s="90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</row>
    <row r="528" spans="1:28" ht="16">
      <c r="A528" s="100"/>
      <c r="B528" s="87"/>
      <c r="C528" s="94"/>
      <c r="D528" s="95"/>
      <c r="E528" s="96"/>
      <c r="F528" s="88"/>
      <c r="G528" s="89" t="b">
        <v>0</v>
      </c>
      <c r="H528" s="89"/>
      <c r="I528" s="90"/>
      <c r="J528" s="90"/>
      <c r="K528" s="90"/>
      <c r="L528" s="90"/>
      <c r="M528" s="90"/>
      <c r="N528" s="90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</row>
    <row r="529" spans="1:28" ht="16">
      <c r="A529" s="100"/>
      <c r="B529" s="91"/>
      <c r="C529" s="97"/>
      <c r="D529" s="98"/>
      <c r="E529" s="99"/>
      <c r="F529" s="92"/>
      <c r="G529" s="93" t="b">
        <v>0</v>
      </c>
      <c r="H529" s="93"/>
      <c r="I529" s="90"/>
      <c r="J529" s="90"/>
      <c r="K529" s="90"/>
      <c r="L529" s="90"/>
      <c r="M529" s="90"/>
      <c r="N529" s="90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</row>
    <row r="530" spans="1:28" ht="16">
      <c r="A530" s="100"/>
      <c r="B530" s="87"/>
      <c r="C530" s="94"/>
      <c r="D530" s="95"/>
      <c r="E530" s="96"/>
      <c r="F530" s="88"/>
      <c r="G530" s="89" t="b">
        <v>0</v>
      </c>
      <c r="H530" s="89"/>
      <c r="I530" s="90"/>
      <c r="J530" s="90"/>
      <c r="K530" s="90"/>
      <c r="L530" s="90"/>
      <c r="M530" s="90"/>
      <c r="N530" s="90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</row>
    <row r="531" spans="1:28" ht="16">
      <c r="A531" s="100"/>
      <c r="B531" s="91"/>
      <c r="C531" s="97"/>
      <c r="D531" s="98"/>
      <c r="E531" s="99"/>
      <c r="F531" s="92"/>
      <c r="G531" s="93" t="b">
        <v>0</v>
      </c>
      <c r="H531" s="93"/>
      <c r="I531" s="90"/>
      <c r="J531" s="90"/>
      <c r="K531" s="90"/>
      <c r="L531" s="90"/>
      <c r="M531" s="90"/>
      <c r="N531" s="90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</row>
    <row r="532" spans="1:28" ht="16">
      <c r="A532" s="100"/>
      <c r="B532" s="87"/>
      <c r="C532" s="94"/>
      <c r="D532" s="95"/>
      <c r="E532" s="96"/>
      <c r="F532" s="88"/>
      <c r="G532" s="89" t="b">
        <v>0</v>
      </c>
      <c r="H532" s="89"/>
      <c r="I532" s="90"/>
      <c r="J532" s="90"/>
      <c r="K532" s="90"/>
      <c r="L532" s="90"/>
      <c r="M532" s="90"/>
      <c r="N532" s="90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</row>
    <row r="533" spans="1:28" ht="16">
      <c r="A533" s="100"/>
      <c r="B533" s="91"/>
      <c r="C533" s="97"/>
      <c r="D533" s="98"/>
      <c r="E533" s="99"/>
      <c r="F533" s="92"/>
      <c r="G533" s="93" t="b">
        <v>0</v>
      </c>
      <c r="H533" s="93"/>
      <c r="I533" s="90"/>
      <c r="J533" s="90"/>
      <c r="K533" s="90"/>
      <c r="L533" s="90"/>
      <c r="M533" s="90"/>
      <c r="N533" s="90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</row>
    <row r="534" spans="1:28" ht="16">
      <c r="A534" s="100"/>
      <c r="B534" s="87"/>
      <c r="C534" s="94"/>
      <c r="D534" s="95"/>
      <c r="E534" s="96"/>
      <c r="F534" s="88"/>
      <c r="G534" s="89" t="b">
        <v>0</v>
      </c>
      <c r="H534" s="89"/>
      <c r="I534" s="90"/>
      <c r="J534" s="90"/>
      <c r="K534" s="90"/>
      <c r="L534" s="90"/>
      <c r="M534" s="90"/>
      <c r="N534" s="90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</row>
    <row r="535" spans="1:28" ht="16">
      <c r="A535" s="100"/>
      <c r="B535" s="91"/>
      <c r="C535" s="97"/>
      <c r="D535" s="98"/>
      <c r="E535" s="99"/>
      <c r="F535" s="92"/>
      <c r="G535" s="93" t="b">
        <v>0</v>
      </c>
      <c r="H535" s="93"/>
      <c r="I535" s="90"/>
      <c r="J535" s="90"/>
      <c r="K535" s="90"/>
      <c r="L535" s="90"/>
      <c r="M535" s="90"/>
      <c r="N535" s="90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</row>
    <row r="536" spans="1:28" ht="16">
      <c r="A536" s="100"/>
      <c r="B536" s="87"/>
      <c r="C536" s="94"/>
      <c r="D536" s="95"/>
      <c r="E536" s="96"/>
      <c r="F536" s="88"/>
      <c r="G536" s="89" t="b">
        <v>0</v>
      </c>
      <c r="H536" s="89"/>
      <c r="I536" s="90"/>
      <c r="J536" s="90"/>
      <c r="K536" s="90"/>
      <c r="L536" s="90"/>
      <c r="M536" s="90"/>
      <c r="N536" s="90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</row>
    <row r="537" spans="1:28" ht="16">
      <c r="A537" s="100"/>
      <c r="B537" s="91"/>
      <c r="C537" s="97"/>
      <c r="D537" s="98"/>
      <c r="E537" s="99"/>
      <c r="F537" s="92"/>
      <c r="G537" s="93" t="b">
        <v>0</v>
      </c>
      <c r="H537" s="93"/>
      <c r="I537" s="90"/>
      <c r="J537" s="90"/>
      <c r="K537" s="90"/>
      <c r="L537" s="90"/>
      <c r="M537" s="90"/>
      <c r="N537" s="90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</row>
    <row r="538" spans="1:28" ht="16">
      <c r="A538" s="100"/>
      <c r="B538" s="87"/>
      <c r="C538" s="94"/>
      <c r="D538" s="95"/>
      <c r="E538" s="96"/>
      <c r="F538" s="88"/>
      <c r="G538" s="89" t="b">
        <v>0</v>
      </c>
      <c r="H538" s="89"/>
      <c r="I538" s="90"/>
      <c r="J538" s="90"/>
      <c r="K538" s="90"/>
      <c r="L538" s="90"/>
      <c r="M538" s="90"/>
      <c r="N538" s="90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</row>
    <row r="539" spans="1:28" ht="16">
      <c r="A539" s="100"/>
      <c r="B539" s="91"/>
      <c r="C539" s="97"/>
      <c r="D539" s="98"/>
      <c r="E539" s="99"/>
      <c r="F539" s="92"/>
      <c r="G539" s="93" t="b">
        <v>0</v>
      </c>
      <c r="H539" s="93"/>
      <c r="I539" s="90"/>
      <c r="J539" s="90"/>
      <c r="K539" s="90"/>
      <c r="L539" s="90"/>
      <c r="M539" s="90"/>
      <c r="N539" s="90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</row>
    <row r="540" spans="1:28" ht="16">
      <c r="A540" s="100"/>
      <c r="B540" s="87"/>
      <c r="C540" s="94"/>
      <c r="D540" s="95"/>
      <c r="E540" s="96"/>
      <c r="F540" s="88"/>
      <c r="G540" s="89" t="b">
        <v>0</v>
      </c>
      <c r="H540" s="89"/>
      <c r="I540" s="90"/>
      <c r="J540" s="90"/>
      <c r="K540" s="90"/>
      <c r="L540" s="90"/>
      <c r="M540" s="90"/>
      <c r="N540" s="90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</row>
    <row r="541" spans="1:28" ht="16">
      <c r="A541" s="100"/>
      <c r="B541" s="91"/>
      <c r="C541" s="97"/>
      <c r="D541" s="98"/>
      <c r="E541" s="99"/>
      <c r="F541" s="92"/>
      <c r="G541" s="93" t="b">
        <v>0</v>
      </c>
      <c r="H541" s="93"/>
      <c r="I541" s="90"/>
      <c r="J541" s="90"/>
      <c r="K541" s="90"/>
      <c r="L541" s="90"/>
      <c r="M541" s="90"/>
      <c r="N541" s="90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</row>
    <row r="542" spans="1:28" ht="16">
      <c r="A542" s="100"/>
      <c r="B542" s="87"/>
      <c r="C542" s="94"/>
      <c r="D542" s="95"/>
      <c r="E542" s="96"/>
      <c r="F542" s="88"/>
      <c r="G542" s="89" t="b">
        <v>0</v>
      </c>
      <c r="H542" s="89"/>
      <c r="I542" s="90"/>
      <c r="J542" s="90"/>
      <c r="K542" s="90"/>
      <c r="L542" s="90"/>
      <c r="M542" s="90"/>
      <c r="N542" s="90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</row>
    <row r="543" spans="1:28" ht="16">
      <c r="A543" s="100"/>
      <c r="B543" s="91"/>
      <c r="C543" s="97"/>
      <c r="D543" s="98"/>
      <c r="E543" s="99"/>
      <c r="F543" s="92"/>
      <c r="G543" s="93" t="b">
        <v>0</v>
      </c>
      <c r="H543" s="93"/>
      <c r="I543" s="90"/>
      <c r="J543" s="90"/>
      <c r="K543" s="90"/>
      <c r="L543" s="90"/>
      <c r="M543" s="90"/>
      <c r="N543" s="90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</row>
    <row r="544" spans="1:28" ht="16">
      <c r="A544" s="100"/>
      <c r="B544" s="87"/>
      <c r="C544" s="94"/>
      <c r="D544" s="95"/>
      <c r="E544" s="96"/>
      <c r="F544" s="88"/>
      <c r="G544" s="89" t="b">
        <v>0</v>
      </c>
      <c r="H544" s="89"/>
      <c r="I544" s="90"/>
      <c r="J544" s="90"/>
      <c r="K544" s="90"/>
      <c r="L544" s="90"/>
      <c r="M544" s="90"/>
      <c r="N544" s="90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</row>
    <row r="545" spans="1:28" ht="16">
      <c r="A545" s="100"/>
      <c r="B545" s="91"/>
      <c r="C545" s="97"/>
      <c r="D545" s="98"/>
      <c r="E545" s="99"/>
      <c r="F545" s="92"/>
      <c r="G545" s="93" t="b">
        <v>0</v>
      </c>
      <c r="H545" s="93"/>
      <c r="I545" s="90"/>
      <c r="J545" s="90"/>
      <c r="K545" s="90"/>
      <c r="L545" s="90"/>
      <c r="M545" s="90"/>
      <c r="N545" s="90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</row>
    <row r="546" spans="1:28" ht="16">
      <c r="A546" s="100"/>
      <c r="B546" s="87"/>
      <c r="C546" s="94"/>
      <c r="D546" s="95"/>
      <c r="E546" s="96"/>
      <c r="F546" s="88"/>
      <c r="G546" s="89" t="b">
        <v>0</v>
      </c>
      <c r="H546" s="89"/>
      <c r="I546" s="90"/>
      <c r="J546" s="90"/>
      <c r="K546" s="90"/>
      <c r="L546" s="90"/>
      <c r="M546" s="90"/>
      <c r="N546" s="90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</row>
    <row r="547" spans="1:28" ht="16">
      <c r="A547" s="100"/>
      <c r="B547" s="91"/>
      <c r="C547" s="97"/>
      <c r="D547" s="98"/>
      <c r="E547" s="99"/>
      <c r="F547" s="92"/>
      <c r="G547" s="93" t="b">
        <v>0</v>
      </c>
      <c r="H547" s="93"/>
      <c r="I547" s="90"/>
      <c r="J547" s="90"/>
      <c r="K547" s="90"/>
      <c r="L547" s="90"/>
      <c r="M547" s="90"/>
      <c r="N547" s="90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</row>
    <row r="548" spans="1:28" ht="16">
      <c r="A548" s="100"/>
      <c r="B548" s="87"/>
      <c r="C548" s="94"/>
      <c r="D548" s="95"/>
      <c r="E548" s="96"/>
      <c r="F548" s="88"/>
      <c r="G548" s="89" t="b">
        <v>0</v>
      </c>
      <c r="H548" s="89"/>
      <c r="I548" s="90"/>
      <c r="J548" s="90"/>
      <c r="K548" s="90"/>
      <c r="L548" s="90"/>
      <c r="M548" s="90"/>
      <c r="N548" s="90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</row>
    <row r="549" spans="1:28" ht="16">
      <c r="A549" s="100"/>
      <c r="B549" s="91"/>
      <c r="C549" s="97"/>
      <c r="D549" s="98"/>
      <c r="E549" s="99"/>
      <c r="F549" s="92"/>
      <c r="G549" s="93" t="b">
        <v>0</v>
      </c>
      <c r="H549" s="93"/>
      <c r="I549" s="90"/>
      <c r="J549" s="90"/>
      <c r="K549" s="90"/>
      <c r="L549" s="90"/>
      <c r="M549" s="90"/>
      <c r="N549" s="90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</row>
    <row r="550" spans="1:28" ht="16">
      <c r="A550" s="100"/>
      <c r="B550" s="87"/>
      <c r="C550" s="94"/>
      <c r="D550" s="95"/>
      <c r="E550" s="96"/>
      <c r="F550" s="88"/>
      <c r="G550" s="89" t="b">
        <v>0</v>
      </c>
      <c r="H550" s="89"/>
      <c r="I550" s="90"/>
      <c r="J550" s="90"/>
      <c r="K550" s="90"/>
      <c r="L550" s="90"/>
      <c r="M550" s="90"/>
      <c r="N550" s="90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</row>
    <row r="551" spans="1:28" ht="16">
      <c r="A551" s="100"/>
      <c r="B551" s="91"/>
      <c r="C551" s="97"/>
      <c r="D551" s="98"/>
      <c r="E551" s="99"/>
      <c r="F551" s="92"/>
      <c r="G551" s="93" t="b">
        <v>0</v>
      </c>
      <c r="H551" s="93"/>
      <c r="I551" s="90"/>
      <c r="J551" s="90"/>
      <c r="K551" s="90"/>
      <c r="L551" s="90"/>
      <c r="M551" s="90"/>
      <c r="N551" s="90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</row>
    <row r="552" spans="1:28" ht="16">
      <c r="A552" s="100"/>
      <c r="B552" s="87"/>
      <c r="C552" s="94"/>
      <c r="D552" s="95"/>
      <c r="E552" s="96"/>
      <c r="F552" s="88"/>
      <c r="G552" s="89" t="b">
        <v>0</v>
      </c>
      <c r="H552" s="89"/>
      <c r="I552" s="90"/>
      <c r="J552" s="90"/>
      <c r="K552" s="90"/>
      <c r="L552" s="90"/>
      <c r="M552" s="90"/>
      <c r="N552" s="90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</row>
    <row r="553" spans="1:28" ht="16">
      <c r="A553" s="100"/>
      <c r="B553" s="91"/>
      <c r="C553" s="97"/>
      <c r="D553" s="98"/>
      <c r="E553" s="99"/>
      <c r="F553" s="92"/>
      <c r="G553" s="93" t="b">
        <v>0</v>
      </c>
      <c r="H553" s="93"/>
      <c r="I553" s="90"/>
      <c r="J553" s="90"/>
      <c r="K553" s="90"/>
      <c r="L553" s="90"/>
      <c r="M553" s="90"/>
      <c r="N553" s="90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</row>
    <row r="554" spans="1:28" ht="16">
      <c r="A554" s="100"/>
      <c r="B554" s="87"/>
      <c r="C554" s="94"/>
      <c r="D554" s="95"/>
      <c r="E554" s="96"/>
      <c r="F554" s="88"/>
      <c r="G554" s="89" t="b">
        <v>0</v>
      </c>
      <c r="H554" s="89"/>
      <c r="I554" s="90"/>
      <c r="J554" s="90"/>
      <c r="K554" s="90"/>
      <c r="L554" s="90"/>
      <c r="M554" s="90"/>
      <c r="N554" s="90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</row>
    <row r="555" spans="1:28" ht="16">
      <c r="A555" s="100"/>
      <c r="B555" s="91"/>
      <c r="C555" s="97"/>
      <c r="D555" s="98"/>
      <c r="E555" s="99"/>
      <c r="F555" s="92"/>
      <c r="G555" s="93" t="b">
        <v>0</v>
      </c>
      <c r="H555" s="93"/>
      <c r="I555" s="90"/>
      <c r="J555" s="90"/>
      <c r="K555" s="90"/>
      <c r="L555" s="90"/>
      <c r="M555" s="90"/>
      <c r="N555" s="90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</row>
    <row r="556" spans="1:28" ht="16">
      <c r="A556" s="100"/>
      <c r="B556" s="87"/>
      <c r="C556" s="94"/>
      <c r="D556" s="95"/>
      <c r="E556" s="96"/>
      <c r="F556" s="88"/>
      <c r="G556" s="89" t="b">
        <v>0</v>
      </c>
      <c r="H556" s="89"/>
      <c r="I556" s="90"/>
      <c r="J556" s="90"/>
      <c r="K556" s="90"/>
      <c r="L556" s="90"/>
      <c r="M556" s="90"/>
      <c r="N556" s="90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</row>
    <row r="557" spans="1:28" ht="16">
      <c r="A557" s="100"/>
      <c r="B557" s="91"/>
      <c r="C557" s="97"/>
      <c r="D557" s="98"/>
      <c r="E557" s="99"/>
      <c r="F557" s="92"/>
      <c r="G557" s="93" t="b">
        <v>0</v>
      </c>
      <c r="H557" s="93"/>
      <c r="I557" s="90"/>
      <c r="J557" s="90"/>
      <c r="K557" s="90"/>
      <c r="L557" s="90"/>
      <c r="M557" s="90"/>
      <c r="N557" s="90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</row>
    <row r="558" spans="1:28" ht="16">
      <c r="A558" s="100"/>
      <c r="B558" s="87"/>
      <c r="C558" s="94"/>
      <c r="D558" s="95"/>
      <c r="E558" s="96"/>
      <c r="F558" s="88"/>
      <c r="G558" s="89" t="b">
        <v>0</v>
      </c>
      <c r="H558" s="89"/>
      <c r="I558" s="90"/>
      <c r="J558" s="90"/>
      <c r="K558" s="90"/>
      <c r="L558" s="90"/>
      <c r="M558" s="90"/>
      <c r="N558" s="90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</row>
    <row r="559" spans="1:28" ht="16">
      <c r="A559" s="100"/>
      <c r="B559" s="91"/>
      <c r="C559" s="97"/>
      <c r="D559" s="98"/>
      <c r="E559" s="99"/>
      <c r="F559" s="92"/>
      <c r="G559" s="93" t="b">
        <v>0</v>
      </c>
      <c r="H559" s="93"/>
      <c r="I559" s="90"/>
      <c r="J559" s="90"/>
      <c r="K559" s="90"/>
      <c r="L559" s="90"/>
      <c r="M559" s="90"/>
      <c r="N559" s="90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</row>
    <row r="560" spans="1:28" ht="16">
      <c r="A560" s="100"/>
      <c r="B560" s="87"/>
      <c r="C560" s="94"/>
      <c r="D560" s="95"/>
      <c r="E560" s="96"/>
      <c r="F560" s="88"/>
      <c r="G560" s="89" t="b">
        <v>0</v>
      </c>
      <c r="H560" s="89"/>
      <c r="I560" s="90"/>
      <c r="J560" s="90"/>
      <c r="K560" s="90"/>
      <c r="L560" s="90"/>
      <c r="M560" s="90"/>
      <c r="N560" s="90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</row>
    <row r="561" spans="1:28" ht="16">
      <c r="A561" s="100"/>
      <c r="B561" s="91"/>
      <c r="C561" s="97"/>
      <c r="D561" s="98"/>
      <c r="E561" s="99"/>
      <c r="F561" s="92"/>
      <c r="G561" s="93" t="b">
        <v>0</v>
      </c>
      <c r="H561" s="93"/>
      <c r="I561" s="90"/>
      <c r="J561" s="90"/>
      <c r="K561" s="90"/>
      <c r="L561" s="90"/>
      <c r="M561" s="90"/>
      <c r="N561" s="90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</row>
    <row r="562" spans="1:28" ht="16">
      <c r="A562" s="100"/>
      <c r="B562" s="87"/>
      <c r="C562" s="94"/>
      <c r="D562" s="95"/>
      <c r="E562" s="96"/>
      <c r="F562" s="88"/>
      <c r="G562" s="89" t="b">
        <v>0</v>
      </c>
      <c r="H562" s="89"/>
      <c r="I562" s="90"/>
      <c r="J562" s="90"/>
      <c r="K562" s="90"/>
      <c r="L562" s="90"/>
      <c r="M562" s="90"/>
      <c r="N562" s="90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</row>
    <row r="563" spans="1:28" ht="16">
      <c r="A563" s="100"/>
      <c r="B563" s="91"/>
      <c r="C563" s="97"/>
      <c r="D563" s="98"/>
      <c r="E563" s="99"/>
      <c r="F563" s="92"/>
      <c r="G563" s="93" t="b">
        <v>0</v>
      </c>
      <c r="H563" s="93"/>
      <c r="I563" s="90"/>
      <c r="J563" s="90"/>
      <c r="K563" s="90"/>
      <c r="L563" s="90"/>
      <c r="M563" s="90"/>
      <c r="N563" s="90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</row>
    <row r="564" spans="1:28" ht="16">
      <c r="A564" s="100"/>
      <c r="B564" s="87"/>
      <c r="C564" s="94"/>
      <c r="D564" s="95"/>
      <c r="E564" s="96"/>
      <c r="F564" s="88"/>
      <c r="G564" s="89" t="b">
        <v>0</v>
      </c>
      <c r="H564" s="89"/>
      <c r="I564" s="90"/>
      <c r="J564" s="90"/>
      <c r="K564" s="90"/>
      <c r="L564" s="90"/>
      <c r="M564" s="90"/>
      <c r="N564" s="90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</row>
    <row r="565" spans="1:28" ht="16">
      <c r="A565" s="100"/>
      <c r="B565" s="91"/>
      <c r="C565" s="97"/>
      <c r="D565" s="98"/>
      <c r="E565" s="99"/>
      <c r="F565" s="92"/>
      <c r="G565" s="93" t="b">
        <v>0</v>
      </c>
      <c r="H565" s="93"/>
      <c r="I565" s="90"/>
      <c r="J565" s="90"/>
      <c r="K565" s="90"/>
      <c r="L565" s="90"/>
      <c r="M565" s="90"/>
      <c r="N565" s="90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</row>
    <row r="566" spans="1:28" ht="16">
      <c r="A566" s="100"/>
      <c r="B566" s="87"/>
      <c r="C566" s="94"/>
      <c r="D566" s="95"/>
      <c r="E566" s="96"/>
      <c r="F566" s="88"/>
      <c r="G566" s="89" t="b">
        <v>0</v>
      </c>
      <c r="H566" s="89"/>
      <c r="I566" s="90"/>
      <c r="J566" s="90"/>
      <c r="K566" s="90"/>
      <c r="L566" s="90"/>
      <c r="M566" s="90"/>
      <c r="N566" s="90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</row>
    <row r="567" spans="1:28" ht="16">
      <c r="A567" s="100"/>
      <c r="B567" s="91"/>
      <c r="C567" s="97"/>
      <c r="D567" s="98"/>
      <c r="E567" s="99"/>
      <c r="F567" s="92"/>
      <c r="G567" s="93" t="b">
        <v>0</v>
      </c>
      <c r="H567" s="93"/>
      <c r="I567" s="90"/>
      <c r="J567" s="90"/>
      <c r="K567" s="90"/>
      <c r="L567" s="90"/>
      <c r="M567" s="90"/>
      <c r="N567" s="90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</row>
    <row r="568" spans="1:28" ht="16">
      <c r="A568" s="100"/>
      <c r="B568" s="87"/>
      <c r="C568" s="94"/>
      <c r="D568" s="95"/>
      <c r="E568" s="96"/>
      <c r="F568" s="88"/>
      <c r="G568" s="89" t="b">
        <v>0</v>
      </c>
      <c r="H568" s="89"/>
      <c r="I568" s="90"/>
      <c r="J568" s="90"/>
      <c r="K568" s="90"/>
      <c r="L568" s="90"/>
      <c r="M568" s="90"/>
      <c r="N568" s="90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</row>
    <row r="569" spans="1:28" ht="16">
      <c r="A569" s="100"/>
      <c r="B569" s="91"/>
      <c r="C569" s="97"/>
      <c r="D569" s="98"/>
      <c r="E569" s="99"/>
      <c r="F569" s="92"/>
      <c r="G569" s="93" t="b">
        <v>0</v>
      </c>
      <c r="H569" s="93"/>
      <c r="I569" s="90"/>
      <c r="J569" s="90"/>
      <c r="K569" s="90"/>
      <c r="L569" s="90"/>
      <c r="M569" s="90"/>
      <c r="N569" s="90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</row>
    <row r="570" spans="1:28" ht="16">
      <c r="A570" s="100"/>
      <c r="B570" s="87"/>
      <c r="C570" s="94"/>
      <c r="D570" s="95"/>
      <c r="E570" s="96"/>
      <c r="F570" s="88"/>
      <c r="G570" s="89" t="b">
        <v>0</v>
      </c>
      <c r="H570" s="89"/>
      <c r="I570" s="90"/>
      <c r="J570" s="90"/>
      <c r="K570" s="90"/>
      <c r="L570" s="90"/>
      <c r="M570" s="90"/>
      <c r="N570" s="90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</row>
    <row r="571" spans="1:28" ht="16">
      <c r="A571" s="100"/>
      <c r="B571" s="91"/>
      <c r="C571" s="97"/>
      <c r="D571" s="98"/>
      <c r="E571" s="99"/>
      <c r="F571" s="92"/>
      <c r="G571" s="93" t="b">
        <v>0</v>
      </c>
      <c r="H571" s="93"/>
      <c r="I571" s="90"/>
      <c r="J571" s="90"/>
      <c r="K571" s="90"/>
      <c r="L571" s="90"/>
      <c r="M571" s="90"/>
      <c r="N571" s="90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</row>
    <row r="572" spans="1:28" ht="16">
      <c r="A572" s="100"/>
      <c r="B572" s="87"/>
      <c r="C572" s="94"/>
      <c r="D572" s="95"/>
      <c r="E572" s="96"/>
      <c r="F572" s="88"/>
      <c r="G572" s="89" t="b">
        <v>0</v>
      </c>
      <c r="H572" s="89"/>
      <c r="I572" s="90"/>
      <c r="J572" s="90"/>
      <c r="K572" s="90"/>
      <c r="L572" s="90"/>
      <c r="M572" s="90"/>
      <c r="N572" s="90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</row>
    <row r="573" spans="1:28" ht="16">
      <c r="A573" s="100"/>
      <c r="B573" s="91"/>
      <c r="C573" s="97"/>
      <c r="D573" s="98"/>
      <c r="E573" s="99"/>
      <c r="F573" s="92"/>
      <c r="G573" s="93" t="b">
        <v>0</v>
      </c>
      <c r="H573" s="93"/>
      <c r="I573" s="90"/>
      <c r="J573" s="90"/>
      <c r="K573" s="90"/>
      <c r="L573" s="90"/>
      <c r="M573" s="90"/>
      <c r="N573" s="90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</row>
    <row r="574" spans="1:28" ht="16">
      <c r="A574" s="100"/>
      <c r="B574" s="87"/>
      <c r="C574" s="94"/>
      <c r="D574" s="95"/>
      <c r="E574" s="96"/>
      <c r="F574" s="88"/>
      <c r="G574" s="89" t="b">
        <v>0</v>
      </c>
      <c r="H574" s="89"/>
      <c r="I574" s="90"/>
      <c r="J574" s="90"/>
      <c r="K574" s="90"/>
      <c r="L574" s="90"/>
      <c r="M574" s="90"/>
      <c r="N574" s="90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</row>
    <row r="575" spans="1:28" ht="16">
      <c r="A575" s="100"/>
      <c r="B575" s="91"/>
      <c r="C575" s="97"/>
      <c r="D575" s="98"/>
      <c r="E575" s="99"/>
      <c r="F575" s="92"/>
      <c r="G575" s="93" t="b">
        <v>0</v>
      </c>
      <c r="H575" s="93"/>
      <c r="I575" s="90"/>
      <c r="J575" s="90"/>
      <c r="K575" s="90"/>
      <c r="L575" s="90"/>
      <c r="M575" s="90"/>
      <c r="N575" s="90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</row>
    <row r="576" spans="1:28" ht="16">
      <c r="A576" s="100"/>
      <c r="B576" s="87"/>
      <c r="C576" s="94"/>
      <c r="D576" s="95"/>
      <c r="E576" s="96"/>
      <c r="F576" s="88"/>
      <c r="G576" s="89" t="b">
        <v>0</v>
      </c>
      <c r="H576" s="89"/>
      <c r="I576" s="90"/>
      <c r="J576" s="90"/>
      <c r="K576" s="90"/>
      <c r="L576" s="90"/>
      <c r="M576" s="90"/>
      <c r="N576" s="90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</row>
    <row r="577" spans="1:28" ht="16">
      <c r="A577" s="100"/>
      <c r="B577" s="91"/>
      <c r="C577" s="97"/>
      <c r="D577" s="98"/>
      <c r="E577" s="99"/>
      <c r="F577" s="92"/>
      <c r="G577" s="93" t="b">
        <v>0</v>
      </c>
      <c r="H577" s="93"/>
      <c r="I577" s="90"/>
      <c r="J577" s="90"/>
      <c r="K577" s="90"/>
      <c r="L577" s="90"/>
      <c r="M577" s="90"/>
      <c r="N577" s="90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</row>
    <row r="578" spans="1:28" ht="16">
      <c r="A578" s="100"/>
      <c r="B578" s="87"/>
      <c r="C578" s="94"/>
      <c r="D578" s="95"/>
      <c r="E578" s="96"/>
      <c r="F578" s="88"/>
      <c r="G578" s="89" t="b">
        <v>0</v>
      </c>
      <c r="H578" s="89"/>
      <c r="I578" s="90"/>
      <c r="J578" s="90"/>
      <c r="K578" s="90"/>
      <c r="L578" s="90"/>
      <c r="M578" s="90"/>
      <c r="N578" s="90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</row>
    <row r="579" spans="1:28" ht="16">
      <c r="A579" s="100"/>
      <c r="B579" s="91"/>
      <c r="C579" s="97"/>
      <c r="D579" s="98"/>
      <c r="E579" s="99"/>
      <c r="F579" s="92"/>
      <c r="G579" s="93" t="b">
        <v>0</v>
      </c>
      <c r="H579" s="93"/>
      <c r="I579" s="90"/>
      <c r="J579" s="90"/>
      <c r="K579" s="90"/>
      <c r="L579" s="90"/>
      <c r="M579" s="90"/>
      <c r="N579" s="90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</row>
    <row r="580" spans="1:28" ht="16">
      <c r="A580" s="100"/>
      <c r="B580" s="87"/>
      <c r="C580" s="94"/>
      <c r="D580" s="95"/>
      <c r="E580" s="96"/>
      <c r="F580" s="88"/>
      <c r="G580" s="89" t="b">
        <v>0</v>
      </c>
      <c r="H580" s="89"/>
      <c r="I580" s="90"/>
      <c r="J580" s="90"/>
      <c r="K580" s="90"/>
      <c r="L580" s="90"/>
      <c r="M580" s="90"/>
      <c r="N580" s="90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</row>
    <row r="581" spans="1:28" ht="16">
      <c r="A581" s="100"/>
      <c r="B581" s="91"/>
      <c r="C581" s="97"/>
      <c r="D581" s="98"/>
      <c r="E581" s="99"/>
      <c r="F581" s="92"/>
      <c r="G581" s="93" t="b">
        <v>0</v>
      </c>
      <c r="H581" s="93"/>
      <c r="I581" s="90"/>
      <c r="J581" s="90"/>
      <c r="K581" s="90"/>
      <c r="L581" s="90"/>
      <c r="M581" s="90"/>
      <c r="N581" s="90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</row>
    <row r="582" spans="1:28" ht="16">
      <c r="A582" s="100"/>
      <c r="B582" s="87"/>
      <c r="C582" s="94"/>
      <c r="D582" s="95"/>
      <c r="E582" s="96"/>
      <c r="F582" s="88"/>
      <c r="G582" s="89" t="b">
        <v>0</v>
      </c>
      <c r="H582" s="89"/>
      <c r="I582" s="90"/>
      <c r="J582" s="90"/>
      <c r="K582" s="90"/>
      <c r="L582" s="90"/>
      <c r="M582" s="90"/>
      <c r="N582" s="90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</row>
    <row r="583" spans="1:28" ht="16">
      <c r="A583" s="100"/>
      <c r="B583" s="91"/>
      <c r="C583" s="97"/>
      <c r="D583" s="98"/>
      <c r="E583" s="99"/>
      <c r="F583" s="92"/>
      <c r="G583" s="93" t="b">
        <v>0</v>
      </c>
      <c r="H583" s="93"/>
      <c r="I583" s="90"/>
      <c r="J583" s="90"/>
      <c r="K583" s="90"/>
      <c r="L583" s="90"/>
      <c r="M583" s="90"/>
      <c r="N583" s="90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</row>
    <row r="584" spans="1:28" ht="16">
      <c r="A584" s="100"/>
      <c r="B584" s="87"/>
      <c r="C584" s="94"/>
      <c r="D584" s="95"/>
      <c r="E584" s="96"/>
      <c r="F584" s="88"/>
      <c r="G584" s="89" t="b">
        <v>0</v>
      </c>
      <c r="H584" s="89"/>
      <c r="I584" s="90"/>
      <c r="J584" s="90"/>
      <c r="K584" s="90"/>
      <c r="L584" s="90"/>
      <c r="M584" s="90"/>
      <c r="N584" s="90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</row>
    <row r="585" spans="1:28" ht="16">
      <c r="A585" s="100"/>
      <c r="B585" s="91"/>
      <c r="C585" s="97"/>
      <c r="D585" s="98"/>
      <c r="E585" s="99"/>
      <c r="F585" s="92"/>
      <c r="G585" s="93" t="b">
        <v>0</v>
      </c>
      <c r="H585" s="93"/>
      <c r="I585" s="90"/>
      <c r="J585" s="90"/>
      <c r="K585" s="90"/>
      <c r="L585" s="90"/>
      <c r="M585" s="90"/>
      <c r="N585" s="90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</row>
    <row r="586" spans="1:28" ht="16">
      <c r="A586" s="100"/>
      <c r="B586" s="87"/>
      <c r="C586" s="94"/>
      <c r="D586" s="95"/>
      <c r="E586" s="96"/>
      <c r="F586" s="88"/>
      <c r="G586" s="89" t="b">
        <v>0</v>
      </c>
      <c r="H586" s="89"/>
      <c r="I586" s="90"/>
      <c r="J586" s="90"/>
      <c r="K586" s="90"/>
      <c r="L586" s="90"/>
      <c r="M586" s="90"/>
      <c r="N586" s="90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</row>
    <row r="587" spans="1:28" ht="16">
      <c r="A587" s="100"/>
      <c r="B587" s="91"/>
      <c r="C587" s="97"/>
      <c r="D587" s="98"/>
      <c r="E587" s="99"/>
      <c r="F587" s="92"/>
      <c r="G587" s="93" t="b">
        <v>0</v>
      </c>
      <c r="H587" s="93"/>
      <c r="I587" s="90"/>
      <c r="J587" s="90"/>
      <c r="K587" s="90"/>
      <c r="L587" s="90"/>
      <c r="M587" s="90"/>
      <c r="N587" s="90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</row>
    <row r="588" spans="1:28" ht="16">
      <c r="A588" s="100"/>
      <c r="B588" s="87"/>
      <c r="C588" s="94"/>
      <c r="D588" s="95"/>
      <c r="E588" s="96"/>
      <c r="F588" s="88"/>
      <c r="G588" s="89" t="b">
        <v>0</v>
      </c>
      <c r="H588" s="89"/>
      <c r="I588" s="90"/>
      <c r="J588" s="90"/>
      <c r="K588" s="90"/>
      <c r="L588" s="90"/>
      <c r="M588" s="90"/>
      <c r="N588" s="90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</row>
    <row r="589" spans="1:28" ht="16">
      <c r="A589" s="100"/>
      <c r="B589" s="91"/>
      <c r="C589" s="97"/>
      <c r="D589" s="98"/>
      <c r="E589" s="99"/>
      <c r="F589" s="92"/>
      <c r="G589" s="93" t="b">
        <v>0</v>
      </c>
      <c r="H589" s="93"/>
      <c r="I589" s="90"/>
      <c r="J589" s="90"/>
      <c r="K589" s="90"/>
      <c r="L589" s="90"/>
      <c r="M589" s="90"/>
      <c r="N589" s="90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</row>
    <row r="590" spans="1:28" ht="16">
      <c r="A590" s="100"/>
      <c r="B590" s="87"/>
      <c r="C590" s="94"/>
      <c r="D590" s="95"/>
      <c r="E590" s="96"/>
      <c r="F590" s="88"/>
      <c r="G590" s="89" t="b">
        <v>0</v>
      </c>
      <c r="H590" s="89"/>
      <c r="I590" s="90"/>
      <c r="J590" s="90"/>
      <c r="K590" s="90"/>
      <c r="L590" s="90"/>
      <c r="M590" s="90"/>
      <c r="N590" s="90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</row>
    <row r="591" spans="1:28" ht="16">
      <c r="A591" s="100"/>
      <c r="B591" s="91"/>
      <c r="C591" s="97"/>
      <c r="D591" s="98"/>
      <c r="E591" s="99"/>
      <c r="F591" s="92"/>
      <c r="G591" s="93" t="b">
        <v>0</v>
      </c>
      <c r="H591" s="93"/>
      <c r="I591" s="90"/>
      <c r="J591" s="90"/>
      <c r="K591" s="90"/>
      <c r="L591" s="90"/>
      <c r="M591" s="90"/>
      <c r="N591" s="90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</row>
    <row r="592" spans="1:28" ht="16">
      <c r="A592" s="100"/>
      <c r="B592" s="87"/>
      <c r="C592" s="94"/>
      <c r="D592" s="95"/>
      <c r="E592" s="96"/>
      <c r="F592" s="88"/>
      <c r="G592" s="89" t="b">
        <v>0</v>
      </c>
      <c r="H592" s="89"/>
      <c r="I592" s="90"/>
      <c r="J592" s="90"/>
      <c r="K592" s="90"/>
      <c r="L592" s="90"/>
      <c r="M592" s="90"/>
      <c r="N592" s="90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</row>
    <row r="593" spans="1:28" ht="16">
      <c r="A593" s="100"/>
      <c r="B593" s="91"/>
      <c r="C593" s="97"/>
      <c r="D593" s="98"/>
      <c r="E593" s="99"/>
      <c r="F593" s="92"/>
      <c r="G593" s="93" t="b">
        <v>0</v>
      </c>
      <c r="H593" s="93"/>
      <c r="I593" s="90"/>
      <c r="J593" s="90"/>
      <c r="K593" s="90"/>
      <c r="L593" s="90"/>
      <c r="M593" s="90"/>
      <c r="N593" s="90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</row>
    <row r="594" spans="1:28" ht="16">
      <c r="A594" s="100"/>
      <c r="B594" s="87"/>
      <c r="C594" s="94"/>
      <c r="D594" s="95"/>
      <c r="E594" s="96"/>
      <c r="F594" s="88"/>
      <c r="G594" s="89" t="b">
        <v>0</v>
      </c>
      <c r="H594" s="89"/>
      <c r="I594" s="90"/>
      <c r="J594" s="90"/>
      <c r="K594" s="90"/>
      <c r="L594" s="90"/>
      <c r="M594" s="90"/>
      <c r="N594" s="90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</row>
    <row r="595" spans="1:28" ht="16">
      <c r="A595" s="100"/>
      <c r="B595" s="91"/>
      <c r="C595" s="97"/>
      <c r="D595" s="98"/>
      <c r="E595" s="99"/>
      <c r="F595" s="92"/>
      <c r="G595" s="93" t="b">
        <v>0</v>
      </c>
      <c r="H595" s="93"/>
      <c r="I595" s="90"/>
      <c r="J595" s="90"/>
      <c r="K595" s="90"/>
      <c r="L595" s="90"/>
      <c r="M595" s="90"/>
      <c r="N595" s="90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</row>
    <row r="596" spans="1:28" ht="16">
      <c r="A596" s="100"/>
      <c r="B596" s="87"/>
      <c r="C596" s="94"/>
      <c r="D596" s="95"/>
      <c r="E596" s="96"/>
      <c r="F596" s="88"/>
      <c r="G596" s="89" t="b">
        <v>0</v>
      </c>
      <c r="H596" s="89"/>
      <c r="I596" s="90"/>
      <c r="J596" s="90"/>
      <c r="K596" s="90"/>
      <c r="L596" s="90"/>
      <c r="M596" s="90"/>
      <c r="N596" s="90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</row>
    <row r="597" spans="1:28" ht="16">
      <c r="A597" s="100"/>
      <c r="B597" s="91"/>
      <c r="C597" s="97"/>
      <c r="D597" s="98"/>
      <c r="E597" s="99"/>
      <c r="F597" s="92"/>
      <c r="G597" s="93" t="b">
        <v>0</v>
      </c>
      <c r="H597" s="93"/>
      <c r="I597" s="90"/>
      <c r="J597" s="90"/>
      <c r="K597" s="90"/>
      <c r="L597" s="90"/>
      <c r="M597" s="90"/>
      <c r="N597" s="90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</row>
    <row r="598" spans="1:28" ht="16">
      <c r="A598" s="100"/>
      <c r="B598" s="87"/>
      <c r="C598" s="94"/>
      <c r="D598" s="95"/>
      <c r="E598" s="96"/>
      <c r="F598" s="88"/>
      <c r="G598" s="89" t="b">
        <v>0</v>
      </c>
      <c r="H598" s="89"/>
      <c r="I598" s="90"/>
      <c r="J598" s="90"/>
      <c r="K598" s="90"/>
      <c r="L598" s="90"/>
      <c r="M598" s="90"/>
      <c r="N598" s="90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</row>
    <row r="599" spans="1:28" ht="16">
      <c r="A599" s="100"/>
      <c r="B599" s="91"/>
      <c r="C599" s="97"/>
      <c r="D599" s="98"/>
      <c r="E599" s="99"/>
      <c r="F599" s="92"/>
      <c r="G599" s="93" t="b">
        <v>0</v>
      </c>
      <c r="H599" s="93"/>
      <c r="I599" s="90"/>
      <c r="J599" s="90"/>
      <c r="K599" s="90"/>
      <c r="L599" s="90"/>
      <c r="M599" s="90"/>
      <c r="N599" s="90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</row>
    <row r="600" spans="1:28" ht="16">
      <c r="A600" s="100"/>
      <c r="B600" s="87"/>
      <c r="C600" s="94"/>
      <c r="D600" s="95"/>
      <c r="E600" s="96"/>
      <c r="F600" s="88"/>
      <c r="G600" s="89" t="b">
        <v>0</v>
      </c>
      <c r="H600" s="89"/>
      <c r="I600" s="90"/>
      <c r="J600" s="90"/>
      <c r="K600" s="90"/>
      <c r="L600" s="90"/>
      <c r="M600" s="90"/>
      <c r="N600" s="90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</row>
    <row r="601" spans="1:28" ht="16">
      <c r="A601" s="100"/>
      <c r="B601" s="91"/>
      <c r="C601" s="97"/>
      <c r="D601" s="98"/>
      <c r="E601" s="99"/>
      <c r="F601" s="92"/>
      <c r="G601" s="93" t="b">
        <v>0</v>
      </c>
      <c r="H601" s="93"/>
      <c r="I601" s="90"/>
      <c r="J601" s="90"/>
      <c r="K601" s="90"/>
      <c r="L601" s="90"/>
      <c r="M601" s="90"/>
      <c r="N601" s="90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</row>
    <row r="602" spans="1:28" ht="16">
      <c r="A602" s="100"/>
      <c r="B602" s="87"/>
      <c r="C602" s="94"/>
      <c r="D602" s="95"/>
      <c r="E602" s="96"/>
      <c r="F602" s="88"/>
      <c r="G602" s="89" t="b">
        <v>0</v>
      </c>
      <c r="H602" s="89"/>
      <c r="I602" s="90"/>
      <c r="J602" s="90"/>
      <c r="K602" s="90"/>
      <c r="L602" s="90"/>
      <c r="M602" s="90"/>
      <c r="N602" s="90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</row>
    <row r="603" spans="1:28" ht="16">
      <c r="A603" s="100"/>
      <c r="B603" s="91"/>
      <c r="C603" s="97"/>
      <c r="D603" s="98"/>
      <c r="E603" s="99"/>
      <c r="F603" s="92"/>
      <c r="G603" s="93" t="b">
        <v>0</v>
      </c>
      <c r="H603" s="93"/>
      <c r="I603" s="90"/>
      <c r="J603" s="90"/>
      <c r="K603" s="90"/>
      <c r="L603" s="90"/>
      <c r="M603" s="90"/>
      <c r="N603" s="90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</row>
    <row r="604" spans="1:28" ht="16">
      <c r="A604" s="100"/>
      <c r="B604" s="87"/>
      <c r="C604" s="94"/>
      <c r="D604" s="95"/>
      <c r="E604" s="96"/>
      <c r="F604" s="88"/>
      <c r="G604" s="89" t="b">
        <v>0</v>
      </c>
      <c r="H604" s="89"/>
      <c r="I604" s="90"/>
      <c r="J604" s="90"/>
      <c r="K604" s="90"/>
      <c r="L604" s="90"/>
      <c r="M604" s="90"/>
      <c r="N604" s="90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</row>
    <row r="605" spans="1:28" ht="16">
      <c r="A605" s="100"/>
      <c r="B605" s="91"/>
      <c r="C605" s="97"/>
      <c r="D605" s="98"/>
      <c r="E605" s="99"/>
      <c r="F605" s="92"/>
      <c r="G605" s="93" t="b">
        <v>0</v>
      </c>
      <c r="H605" s="93"/>
      <c r="I605" s="90"/>
      <c r="J605" s="90"/>
      <c r="K605" s="90"/>
      <c r="L605" s="90"/>
      <c r="M605" s="90"/>
      <c r="N605" s="90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</row>
    <row r="606" spans="1:28" ht="16">
      <c r="A606" s="100"/>
      <c r="B606" s="87"/>
      <c r="C606" s="94"/>
      <c r="D606" s="95"/>
      <c r="E606" s="96"/>
      <c r="F606" s="88"/>
      <c r="G606" s="89" t="b">
        <v>0</v>
      </c>
      <c r="H606" s="89"/>
      <c r="I606" s="90"/>
      <c r="J606" s="90"/>
      <c r="K606" s="90"/>
      <c r="L606" s="90"/>
      <c r="M606" s="90"/>
      <c r="N606" s="90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</row>
    <row r="607" spans="1:28" ht="16">
      <c r="A607" s="100"/>
      <c r="B607" s="91"/>
      <c r="C607" s="97"/>
      <c r="D607" s="98"/>
      <c r="E607" s="99"/>
      <c r="F607" s="92"/>
      <c r="G607" s="93" t="b">
        <v>0</v>
      </c>
      <c r="H607" s="93"/>
      <c r="I607" s="90"/>
      <c r="J607" s="90"/>
      <c r="K607" s="90"/>
      <c r="L607" s="90"/>
      <c r="M607" s="90"/>
      <c r="N607" s="90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</row>
    <row r="608" spans="1:28" ht="16">
      <c r="A608" s="100"/>
      <c r="B608" s="87"/>
      <c r="C608" s="94"/>
      <c r="D608" s="95"/>
      <c r="E608" s="96"/>
      <c r="F608" s="88"/>
      <c r="G608" s="89" t="b">
        <v>0</v>
      </c>
      <c r="H608" s="89"/>
      <c r="I608" s="90"/>
      <c r="J608" s="90"/>
      <c r="K608" s="90"/>
      <c r="L608" s="90"/>
      <c r="M608" s="90"/>
      <c r="N608" s="90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</row>
    <row r="609" spans="1:28" ht="16">
      <c r="A609" s="100"/>
      <c r="B609" s="91"/>
      <c r="C609" s="97"/>
      <c r="D609" s="98"/>
      <c r="E609" s="99"/>
      <c r="F609" s="92"/>
      <c r="G609" s="93" t="b">
        <v>0</v>
      </c>
      <c r="H609" s="93"/>
      <c r="I609" s="90"/>
      <c r="J609" s="90"/>
      <c r="K609" s="90"/>
      <c r="L609" s="90"/>
      <c r="M609" s="90"/>
      <c r="N609" s="90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</row>
    <row r="610" spans="1:28" ht="16">
      <c r="A610" s="100"/>
      <c r="B610" s="87"/>
      <c r="C610" s="94"/>
      <c r="D610" s="95"/>
      <c r="E610" s="96"/>
      <c r="F610" s="88"/>
      <c r="G610" s="89" t="b">
        <v>0</v>
      </c>
      <c r="H610" s="89"/>
      <c r="I610" s="90"/>
      <c r="J610" s="90"/>
      <c r="K610" s="90"/>
      <c r="L610" s="90"/>
      <c r="M610" s="90"/>
      <c r="N610" s="90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</row>
    <row r="611" spans="1:28" ht="16">
      <c r="A611" s="100"/>
      <c r="B611" s="91"/>
      <c r="C611" s="97"/>
      <c r="D611" s="98"/>
      <c r="E611" s="99"/>
      <c r="F611" s="92"/>
      <c r="G611" s="93" t="b">
        <v>0</v>
      </c>
      <c r="H611" s="93"/>
      <c r="I611" s="90"/>
      <c r="J611" s="90"/>
      <c r="K611" s="90"/>
      <c r="L611" s="90"/>
      <c r="M611" s="90"/>
      <c r="N611" s="90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</row>
    <row r="612" spans="1:28" ht="16">
      <c r="A612" s="100"/>
      <c r="B612" s="87"/>
      <c r="C612" s="94"/>
      <c r="D612" s="95"/>
      <c r="E612" s="96"/>
      <c r="F612" s="88"/>
      <c r="G612" s="89" t="b">
        <v>0</v>
      </c>
      <c r="H612" s="89"/>
      <c r="I612" s="90"/>
      <c r="J612" s="90"/>
      <c r="K612" s="90"/>
      <c r="L612" s="90"/>
      <c r="M612" s="90"/>
      <c r="N612" s="90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</row>
    <row r="613" spans="1:28" ht="16">
      <c r="A613" s="100"/>
      <c r="B613" s="91"/>
      <c r="C613" s="97"/>
      <c r="D613" s="98"/>
      <c r="E613" s="99"/>
      <c r="F613" s="92"/>
      <c r="G613" s="93" t="b">
        <v>0</v>
      </c>
      <c r="H613" s="93"/>
      <c r="I613" s="90"/>
      <c r="J613" s="90"/>
      <c r="K613" s="90"/>
      <c r="L613" s="90"/>
      <c r="M613" s="90"/>
      <c r="N613" s="90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</row>
    <row r="614" spans="1:28" ht="16">
      <c r="A614" s="100"/>
      <c r="B614" s="87"/>
      <c r="C614" s="94"/>
      <c r="D614" s="95"/>
      <c r="E614" s="96"/>
      <c r="F614" s="88"/>
      <c r="G614" s="89" t="b">
        <v>0</v>
      </c>
      <c r="H614" s="89"/>
      <c r="I614" s="90"/>
      <c r="J614" s="90"/>
      <c r="K614" s="90"/>
      <c r="L614" s="90"/>
      <c r="M614" s="90"/>
      <c r="N614" s="90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</row>
    <row r="615" spans="1:28" ht="16">
      <c r="A615" s="100"/>
      <c r="B615" s="91"/>
      <c r="C615" s="97"/>
      <c r="D615" s="98"/>
      <c r="E615" s="99"/>
      <c r="F615" s="92"/>
      <c r="G615" s="93" t="b">
        <v>0</v>
      </c>
      <c r="H615" s="93"/>
      <c r="I615" s="90"/>
      <c r="J615" s="90"/>
      <c r="K615" s="90"/>
      <c r="L615" s="90"/>
      <c r="M615" s="90"/>
      <c r="N615" s="90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</row>
    <row r="616" spans="1:28" ht="16">
      <c r="A616" s="100"/>
      <c r="B616" s="87"/>
      <c r="C616" s="94"/>
      <c r="D616" s="95"/>
      <c r="E616" s="96"/>
      <c r="F616" s="88"/>
      <c r="G616" s="89" t="b">
        <v>0</v>
      </c>
      <c r="H616" s="89"/>
      <c r="I616" s="90"/>
      <c r="J616" s="90"/>
      <c r="K616" s="90"/>
      <c r="L616" s="90"/>
      <c r="M616" s="90"/>
      <c r="N616" s="90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</row>
    <row r="617" spans="1:28" ht="16">
      <c r="A617" s="100"/>
      <c r="B617" s="91"/>
      <c r="C617" s="97"/>
      <c r="D617" s="98"/>
      <c r="E617" s="99"/>
      <c r="F617" s="92"/>
      <c r="G617" s="93" t="b">
        <v>0</v>
      </c>
      <c r="H617" s="93"/>
      <c r="I617" s="90"/>
      <c r="J617" s="90"/>
      <c r="K617" s="90"/>
      <c r="L617" s="90"/>
      <c r="M617" s="90"/>
      <c r="N617" s="90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</row>
    <row r="618" spans="1:28" ht="16">
      <c r="A618" s="100"/>
      <c r="B618" s="87"/>
      <c r="C618" s="94"/>
      <c r="D618" s="95"/>
      <c r="E618" s="96"/>
      <c r="F618" s="88"/>
      <c r="G618" s="89" t="b">
        <v>0</v>
      </c>
      <c r="H618" s="89"/>
      <c r="I618" s="90"/>
      <c r="J618" s="90"/>
      <c r="K618" s="90"/>
      <c r="L618" s="90"/>
      <c r="M618" s="90"/>
      <c r="N618" s="90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</row>
    <row r="619" spans="1:28" ht="16">
      <c r="A619" s="100"/>
      <c r="B619" s="91"/>
      <c r="C619" s="97"/>
      <c r="D619" s="98"/>
      <c r="E619" s="99"/>
      <c r="F619" s="92"/>
      <c r="G619" s="93" t="b">
        <v>0</v>
      </c>
      <c r="H619" s="93"/>
      <c r="I619" s="90"/>
      <c r="J619" s="90"/>
      <c r="K619" s="90"/>
      <c r="L619" s="90"/>
      <c r="M619" s="90"/>
      <c r="N619" s="90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</row>
    <row r="620" spans="1:28" ht="16">
      <c r="A620" s="100"/>
      <c r="B620" s="87"/>
      <c r="C620" s="94"/>
      <c r="D620" s="95"/>
      <c r="E620" s="96"/>
      <c r="F620" s="88"/>
      <c r="G620" s="89" t="b">
        <v>0</v>
      </c>
      <c r="H620" s="89"/>
      <c r="I620" s="90"/>
      <c r="J620" s="90"/>
      <c r="K620" s="90"/>
      <c r="L620" s="90"/>
      <c r="M620" s="90"/>
      <c r="N620" s="90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</row>
    <row r="621" spans="1:28" ht="16">
      <c r="A621" s="100"/>
      <c r="B621" s="91"/>
      <c r="C621" s="97"/>
      <c r="D621" s="98"/>
      <c r="E621" s="99"/>
      <c r="F621" s="92"/>
      <c r="G621" s="93" t="b">
        <v>0</v>
      </c>
      <c r="H621" s="93"/>
      <c r="I621" s="90"/>
      <c r="J621" s="90"/>
      <c r="K621" s="90"/>
      <c r="L621" s="90"/>
      <c r="M621" s="90"/>
      <c r="N621" s="90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</row>
    <row r="622" spans="1:28" ht="16">
      <c r="A622" s="100"/>
      <c r="B622" s="87"/>
      <c r="C622" s="94"/>
      <c r="D622" s="95"/>
      <c r="E622" s="96"/>
      <c r="F622" s="88"/>
      <c r="G622" s="89" t="b">
        <v>0</v>
      </c>
      <c r="H622" s="89"/>
      <c r="I622" s="90"/>
      <c r="J622" s="90"/>
      <c r="K622" s="90"/>
      <c r="L622" s="90"/>
      <c r="M622" s="90"/>
      <c r="N622" s="90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</row>
    <row r="623" spans="1:28" ht="16">
      <c r="A623" s="100"/>
      <c r="B623" s="91"/>
      <c r="C623" s="97"/>
      <c r="D623" s="98"/>
      <c r="E623" s="99"/>
      <c r="F623" s="92"/>
      <c r="G623" s="93" t="b">
        <v>0</v>
      </c>
      <c r="H623" s="93"/>
      <c r="I623" s="90"/>
      <c r="J623" s="90"/>
      <c r="K623" s="90"/>
      <c r="L623" s="90"/>
      <c r="M623" s="90"/>
      <c r="N623" s="90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</row>
    <row r="624" spans="1:28" ht="16">
      <c r="A624" s="100"/>
      <c r="B624" s="87"/>
      <c r="C624" s="94"/>
      <c r="D624" s="95"/>
      <c r="E624" s="96"/>
      <c r="F624" s="88"/>
      <c r="G624" s="89" t="b">
        <v>0</v>
      </c>
      <c r="H624" s="89"/>
      <c r="I624" s="90"/>
      <c r="J624" s="90"/>
      <c r="K624" s="90"/>
      <c r="L624" s="90"/>
      <c r="M624" s="90"/>
      <c r="N624" s="90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  <c r="AA624" s="90"/>
      <c r="AB624" s="90"/>
    </row>
    <row r="625" spans="1:28" ht="16">
      <c r="A625" s="100"/>
      <c r="B625" s="91"/>
      <c r="C625" s="97"/>
      <c r="D625" s="98"/>
      <c r="E625" s="99"/>
      <c r="F625" s="92"/>
      <c r="G625" s="93" t="b">
        <v>0</v>
      </c>
      <c r="H625" s="93"/>
      <c r="I625" s="90"/>
      <c r="J625" s="90"/>
      <c r="K625" s="90"/>
      <c r="L625" s="90"/>
      <c r="M625" s="90"/>
      <c r="N625" s="90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  <c r="Z625" s="90"/>
      <c r="AA625" s="90"/>
      <c r="AB625" s="90"/>
    </row>
    <row r="626" spans="1:28" ht="16">
      <c r="A626" s="100"/>
      <c r="B626" s="87"/>
      <c r="C626" s="94"/>
      <c r="D626" s="95"/>
      <c r="E626" s="96"/>
      <c r="F626" s="88"/>
      <c r="G626" s="89" t="b">
        <v>0</v>
      </c>
      <c r="H626" s="89"/>
      <c r="I626" s="90"/>
      <c r="J626" s="90"/>
      <c r="K626" s="90"/>
      <c r="L626" s="90"/>
      <c r="M626" s="90"/>
      <c r="N626" s="90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  <c r="AA626" s="90"/>
      <c r="AB626" s="90"/>
    </row>
    <row r="627" spans="1:28" ht="16">
      <c r="A627" s="100"/>
      <c r="B627" s="91"/>
      <c r="C627" s="97"/>
      <c r="D627" s="98"/>
      <c r="E627" s="99"/>
      <c r="F627" s="92"/>
      <c r="G627" s="93" t="b">
        <v>0</v>
      </c>
      <c r="H627" s="93"/>
      <c r="I627" s="90"/>
      <c r="J627" s="90"/>
      <c r="K627" s="90"/>
      <c r="L627" s="90"/>
      <c r="M627" s="90"/>
      <c r="N627" s="90"/>
      <c r="O627" s="90"/>
      <c r="P627" s="90"/>
      <c r="Q627" s="90"/>
      <c r="R627" s="90"/>
      <c r="S627" s="90"/>
      <c r="T627" s="90"/>
      <c r="U627" s="90"/>
      <c r="V627" s="90"/>
      <c r="W627" s="90"/>
      <c r="X627" s="90"/>
      <c r="Y627" s="90"/>
      <c r="Z627" s="90"/>
      <c r="AA627" s="90"/>
      <c r="AB627" s="90"/>
    </row>
    <row r="628" spans="1:28" ht="16">
      <c r="A628" s="100"/>
      <c r="B628" s="87"/>
      <c r="C628" s="94"/>
      <c r="D628" s="95"/>
      <c r="E628" s="96"/>
      <c r="F628" s="88"/>
      <c r="G628" s="89" t="b">
        <v>0</v>
      </c>
      <c r="H628" s="89"/>
      <c r="I628" s="90"/>
      <c r="J628" s="90"/>
      <c r="K628" s="90"/>
      <c r="L628" s="90"/>
      <c r="M628" s="90"/>
      <c r="N628" s="90"/>
      <c r="O628" s="90"/>
      <c r="P628" s="90"/>
      <c r="Q628" s="90"/>
      <c r="R628" s="90"/>
      <c r="S628" s="90"/>
      <c r="T628" s="90"/>
      <c r="U628" s="90"/>
      <c r="V628" s="90"/>
      <c r="W628" s="90"/>
      <c r="X628" s="90"/>
      <c r="Y628" s="90"/>
      <c r="Z628" s="90"/>
      <c r="AA628" s="90"/>
      <c r="AB628" s="90"/>
    </row>
    <row r="629" spans="1:28" ht="16">
      <c r="A629" s="100"/>
      <c r="B629" s="91"/>
      <c r="C629" s="97"/>
      <c r="D629" s="98"/>
      <c r="E629" s="99"/>
      <c r="F629" s="92"/>
      <c r="G629" s="93" t="b">
        <v>0</v>
      </c>
      <c r="H629" s="93"/>
      <c r="I629" s="90"/>
      <c r="J629" s="90"/>
      <c r="K629" s="90"/>
      <c r="L629" s="90"/>
      <c r="M629" s="90"/>
      <c r="N629" s="90"/>
      <c r="O629" s="90"/>
      <c r="P629" s="90"/>
      <c r="Q629" s="90"/>
      <c r="R629" s="90"/>
      <c r="S629" s="90"/>
      <c r="T629" s="90"/>
      <c r="U629" s="90"/>
      <c r="V629" s="90"/>
      <c r="W629" s="90"/>
      <c r="X629" s="90"/>
      <c r="Y629" s="90"/>
      <c r="Z629" s="90"/>
      <c r="AA629" s="90"/>
      <c r="AB629" s="90"/>
    </row>
    <row r="630" spans="1:28" ht="16">
      <c r="A630" s="100"/>
      <c r="B630" s="87"/>
      <c r="C630" s="94"/>
      <c r="D630" s="95"/>
      <c r="E630" s="96"/>
      <c r="F630" s="88"/>
      <c r="G630" s="89" t="b">
        <v>0</v>
      </c>
      <c r="H630" s="89"/>
      <c r="I630" s="90"/>
      <c r="J630" s="90"/>
      <c r="K630" s="90"/>
      <c r="L630" s="90"/>
      <c r="M630" s="90"/>
      <c r="N630" s="90"/>
      <c r="O630" s="90"/>
      <c r="P630" s="90"/>
      <c r="Q630" s="90"/>
      <c r="R630" s="90"/>
      <c r="S630" s="90"/>
      <c r="T630" s="90"/>
      <c r="U630" s="90"/>
      <c r="V630" s="90"/>
      <c r="W630" s="90"/>
      <c r="X630" s="90"/>
      <c r="Y630" s="90"/>
      <c r="Z630" s="90"/>
      <c r="AA630" s="90"/>
      <c r="AB630" s="90"/>
    </row>
    <row r="631" spans="1:28" ht="16">
      <c r="A631" s="100"/>
      <c r="B631" s="91"/>
      <c r="C631" s="97"/>
      <c r="D631" s="98"/>
      <c r="E631" s="99"/>
      <c r="F631" s="92"/>
      <c r="G631" s="93" t="b">
        <v>0</v>
      </c>
      <c r="H631" s="93"/>
      <c r="I631" s="90"/>
      <c r="J631" s="90"/>
      <c r="K631" s="90"/>
      <c r="L631" s="90"/>
      <c r="M631" s="90"/>
      <c r="N631" s="90"/>
      <c r="O631" s="90"/>
      <c r="P631" s="90"/>
      <c r="Q631" s="90"/>
      <c r="R631" s="90"/>
      <c r="S631" s="90"/>
      <c r="T631" s="90"/>
      <c r="U631" s="90"/>
      <c r="V631" s="90"/>
      <c r="W631" s="90"/>
      <c r="X631" s="90"/>
      <c r="Y631" s="90"/>
      <c r="Z631" s="90"/>
      <c r="AA631" s="90"/>
      <c r="AB631" s="90"/>
    </row>
    <row r="632" spans="1:28" ht="16">
      <c r="A632" s="100"/>
      <c r="B632" s="87"/>
      <c r="C632" s="94"/>
      <c r="D632" s="95"/>
      <c r="E632" s="96"/>
      <c r="F632" s="88"/>
      <c r="G632" s="89" t="b">
        <v>0</v>
      </c>
      <c r="H632" s="89"/>
      <c r="I632" s="90"/>
      <c r="J632" s="90"/>
      <c r="K632" s="90"/>
      <c r="L632" s="90"/>
      <c r="M632" s="90"/>
      <c r="N632" s="90"/>
      <c r="O632" s="90"/>
      <c r="P632" s="90"/>
      <c r="Q632" s="90"/>
      <c r="R632" s="90"/>
      <c r="S632" s="90"/>
      <c r="T632" s="90"/>
      <c r="U632" s="90"/>
      <c r="V632" s="90"/>
      <c r="W632" s="90"/>
      <c r="X632" s="90"/>
      <c r="Y632" s="90"/>
      <c r="Z632" s="90"/>
      <c r="AA632" s="90"/>
      <c r="AB632" s="90"/>
    </row>
    <row r="633" spans="1:28" ht="16">
      <c r="A633" s="100"/>
      <c r="B633" s="91"/>
      <c r="C633" s="97"/>
      <c r="D633" s="98"/>
      <c r="E633" s="99"/>
      <c r="F633" s="92"/>
      <c r="G633" s="93" t="b">
        <v>0</v>
      </c>
      <c r="H633" s="93"/>
      <c r="I633" s="90"/>
      <c r="J633" s="90"/>
      <c r="K633" s="90"/>
      <c r="L633" s="90"/>
      <c r="M633" s="90"/>
      <c r="N633" s="90"/>
      <c r="O633" s="90"/>
      <c r="P633" s="90"/>
      <c r="Q633" s="90"/>
      <c r="R633" s="90"/>
      <c r="S633" s="90"/>
      <c r="T633" s="90"/>
      <c r="U633" s="90"/>
      <c r="V633" s="90"/>
      <c r="W633" s="90"/>
      <c r="X633" s="90"/>
      <c r="Y633" s="90"/>
      <c r="Z633" s="90"/>
      <c r="AA633" s="90"/>
      <c r="AB633" s="90"/>
    </row>
    <row r="634" spans="1:28" ht="16">
      <c r="A634" s="100"/>
      <c r="B634" s="87"/>
      <c r="C634" s="94"/>
      <c r="D634" s="95"/>
      <c r="E634" s="96"/>
      <c r="F634" s="88"/>
      <c r="G634" s="89" t="b">
        <v>0</v>
      </c>
      <c r="H634" s="89"/>
      <c r="I634" s="90"/>
      <c r="J634" s="90"/>
      <c r="K634" s="90"/>
      <c r="L634" s="90"/>
      <c r="M634" s="90"/>
      <c r="N634" s="90"/>
      <c r="O634" s="90"/>
      <c r="P634" s="90"/>
      <c r="Q634" s="90"/>
      <c r="R634" s="90"/>
      <c r="S634" s="90"/>
      <c r="T634" s="90"/>
      <c r="U634" s="90"/>
      <c r="V634" s="90"/>
      <c r="W634" s="90"/>
      <c r="X634" s="90"/>
      <c r="Y634" s="90"/>
      <c r="Z634" s="90"/>
      <c r="AA634" s="90"/>
      <c r="AB634" s="90"/>
    </row>
    <row r="635" spans="1:28" ht="16">
      <c r="A635" s="100"/>
      <c r="B635" s="91"/>
      <c r="C635" s="97"/>
      <c r="D635" s="98"/>
      <c r="E635" s="99"/>
      <c r="F635" s="92"/>
      <c r="G635" s="93" t="b">
        <v>0</v>
      </c>
      <c r="H635" s="93"/>
      <c r="I635" s="90"/>
      <c r="J635" s="90"/>
      <c r="K635" s="90"/>
      <c r="L635" s="90"/>
      <c r="M635" s="90"/>
      <c r="N635" s="90"/>
      <c r="O635" s="90"/>
      <c r="P635" s="90"/>
      <c r="Q635" s="90"/>
      <c r="R635" s="90"/>
      <c r="S635" s="90"/>
      <c r="T635" s="90"/>
      <c r="U635" s="90"/>
      <c r="V635" s="90"/>
      <c r="W635" s="90"/>
      <c r="X635" s="90"/>
      <c r="Y635" s="90"/>
      <c r="Z635" s="90"/>
      <c r="AA635" s="90"/>
      <c r="AB635" s="90"/>
    </row>
    <row r="636" spans="1:28" ht="16">
      <c r="A636" s="100"/>
      <c r="B636" s="87"/>
      <c r="C636" s="94"/>
      <c r="D636" s="95"/>
      <c r="E636" s="96"/>
      <c r="F636" s="88"/>
      <c r="G636" s="89" t="b">
        <v>0</v>
      </c>
      <c r="H636" s="89"/>
      <c r="I636" s="90"/>
      <c r="J636" s="90"/>
      <c r="K636" s="90"/>
      <c r="L636" s="90"/>
      <c r="M636" s="90"/>
      <c r="N636" s="90"/>
      <c r="O636" s="90"/>
      <c r="P636" s="90"/>
      <c r="Q636" s="90"/>
      <c r="R636" s="90"/>
      <c r="S636" s="90"/>
      <c r="T636" s="90"/>
      <c r="U636" s="90"/>
      <c r="V636" s="90"/>
      <c r="W636" s="90"/>
      <c r="X636" s="90"/>
      <c r="Y636" s="90"/>
      <c r="Z636" s="90"/>
      <c r="AA636" s="90"/>
      <c r="AB636" s="90"/>
    </row>
    <row r="637" spans="1:28" ht="16">
      <c r="A637" s="100"/>
      <c r="B637" s="91"/>
      <c r="C637" s="97"/>
      <c r="D637" s="98"/>
      <c r="E637" s="99"/>
      <c r="F637" s="92"/>
      <c r="G637" s="93" t="b">
        <v>0</v>
      </c>
      <c r="H637" s="93"/>
      <c r="I637" s="90"/>
      <c r="J637" s="90"/>
      <c r="K637" s="90"/>
      <c r="L637" s="90"/>
      <c r="M637" s="90"/>
      <c r="N637" s="90"/>
      <c r="O637" s="90"/>
      <c r="P637" s="90"/>
      <c r="Q637" s="90"/>
      <c r="R637" s="90"/>
      <c r="S637" s="90"/>
      <c r="T637" s="90"/>
      <c r="U637" s="90"/>
      <c r="V637" s="90"/>
      <c r="W637" s="90"/>
      <c r="X637" s="90"/>
      <c r="Y637" s="90"/>
      <c r="Z637" s="90"/>
      <c r="AA637" s="90"/>
      <c r="AB637" s="90"/>
    </row>
    <row r="638" spans="1:28" ht="16">
      <c r="A638" s="100"/>
      <c r="B638" s="87"/>
      <c r="C638" s="94"/>
      <c r="D638" s="95"/>
      <c r="E638" s="96"/>
      <c r="F638" s="88"/>
      <c r="G638" s="89" t="b">
        <v>0</v>
      </c>
      <c r="H638" s="89"/>
      <c r="I638" s="90"/>
      <c r="J638" s="90"/>
      <c r="K638" s="90"/>
      <c r="L638" s="90"/>
      <c r="M638" s="90"/>
      <c r="N638" s="90"/>
      <c r="O638" s="90"/>
      <c r="P638" s="90"/>
      <c r="Q638" s="90"/>
      <c r="R638" s="90"/>
      <c r="S638" s="90"/>
      <c r="T638" s="90"/>
      <c r="U638" s="90"/>
      <c r="V638" s="90"/>
      <c r="W638" s="90"/>
      <c r="X638" s="90"/>
      <c r="Y638" s="90"/>
      <c r="Z638" s="90"/>
      <c r="AA638" s="90"/>
      <c r="AB638" s="90"/>
    </row>
    <row r="639" spans="1:28" ht="16">
      <c r="A639" s="100"/>
      <c r="B639" s="91"/>
      <c r="C639" s="97"/>
      <c r="D639" s="98"/>
      <c r="E639" s="99"/>
      <c r="F639" s="92"/>
      <c r="G639" s="93" t="b">
        <v>0</v>
      </c>
      <c r="H639" s="93"/>
      <c r="I639" s="90"/>
      <c r="J639" s="90"/>
      <c r="K639" s="90"/>
      <c r="L639" s="90"/>
      <c r="M639" s="90"/>
      <c r="N639" s="90"/>
      <c r="O639" s="90"/>
      <c r="P639" s="90"/>
      <c r="Q639" s="90"/>
      <c r="R639" s="90"/>
      <c r="S639" s="90"/>
      <c r="T639" s="90"/>
      <c r="U639" s="90"/>
      <c r="V639" s="90"/>
      <c r="W639" s="90"/>
      <c r="X639" s="90"/>
      <c r="Y639" s="90"/>
      <c r="Z639" s="90"/>
      <c r="AA639" s="90"/>
      <c r="AB639" s="90"/>
    </row>
    <row r="640" spans="1:28" ht="16">
      <c r="A640" s="100"/>
      <c r="B640" s="87"/>
      <c r="C640" s="94"/>
      <c r="D640" s="95"/>
      <c r="E640" s="96"/>
      <c r="F640" s="88"/>
      <c r="G640" s="89" t="b">
        <v>0</v>
      </c>
      <c r="H640" s="89"/>
      <c r="I640" s="90"/>
      <c r="J640" s="90"/>
      <c r="K640" s="90"/>
      <c r="L640" s="90"/>
      <c r="M640" s="90"/>
      <c r="N640" s="90"/>
      <c r="O640" s="90"/>
      <c r="P640" s="90"/>
      <c r="Q640" s="90"/>
      <c r="R640" s="90"/>
      <c r="S640" s="90"/>
      <c r="T640" s="90"/>
      <c r="U640" s="90"/>
      <c r="V640" s="90"/>
      <c r="W640" s="90"/>
      <c r="X640" s="90"/>
      <c r="Y640" s="90"/>
      <c r="Z640" s="90"/>
      <c r="AA640" s="90"/>
      <c r="AB640" s="90"/>
    </row>
    <row r="641" spans="1:28" ht="16">
      <c r="A641" s="100"/>
      <c r="B641" s="91"/>
      <c r="C641" s="97"/>
      <c r="D641" s="98"/>
      <c r="E641" s="99"/>
      <c r="F641" s="92"/>
      <c r="G641" s="93" t="b">
        <v>0</v>
      </c>
      <c r="H641" s="93"/>
      <c r="I641" s="90"/>
      <c r="J641" s="90"/>
      <c r="K641" s="90"/>
      <c r="L641" s="90"/>
      <c r="M641" s="90"/>
      <c r="N641" s="90"/>
      <c r="O641" s="90"/>
      <c r="P641" s="90"/>
      <c r="Q641" s="90"/>
      <c r="R641" s="90"/>
      <c r="S641" s="90"/>
      <c r="T641" s="90"/>
      <c r="U641" s="90"/>
      <c r="V641" s="90"/>
      <c r="W641" s="90"/>
      <c r="X641" s="90"/>
      <c r="Y641" s="90"/>
      <c r="Z641" s="90"/>
      <c r="AA641" s="90"/>
      <c r="AB641" s="90"/>
    </row>
    <row r="642" spans="1:28" ht="16">
      <c r="A642" s="100"/>
      <c r="B642" s="87"/>
      <c r="C642" s="94"/>
      <c r="D642" s="95"/>
      <c r="E642" s="96"/>
      <c r="F642" s="88"/>
      <c r="G642" s="89" t="b">
        <v>0</v>
      </c>
      <c r="H642" s="89"/>
      <c r="I642" s="90"/>
      <c r="J642" s="90"/>
      <c r="K642" s="90"/>
      <c r="L642" s="90"/>
      <c r="M642" s="90"/>
      <c r="N642" s="90"/>
      <c r="O642" s="90"/>
      <c r="P642" s="90"/>
      <c r="Q642" s="90"/>
      <c r="R642" s="90"/>
      <c r="S642" s="90"/>
      <c r="T642" s="90"/>
      <c r="U642" s="90"/>
      <c r="V642" s="90"/>
      <c r="W642" s="90"/>
      <c r="X642" s="90"/>
      <c r="Y642" s="90"/>
      <c r="Z642" s="90"/>
      <c r="AA642" s="90"/>
      <c r="AB642" s="90"/>
    </row>
    <row r="643" spans="1:28" ht="16">
      <c r="A643" s="100"/>
      <c r="B643" s="91"/>
      <c r="C643" s="97"/>
      <c r="D643" s="98"/>
      <c r="E643" s="99"/>
      <c r="F643" s="92"/>
      <c r="G643" s="93" t="b">
        <v>0</v>
      </c>
      <c r="H643" s="93"/>
      <c r="I643" s="90"/>
      <c r="J643" s="90"/>
      <c r="K643" s="90"/>
      <c r="L643" s="90"/>
      <c r="M643" s="90"/>
      <c r="N643" s="90"/>
      <c r="O643" s="90"/>
      <c r="P643" s="90"/>
      <c r="Q643" s="90"/>
      <c r="R643" s="90"/>
      <c r="S643" s="90"/>
      <c r="T643" s="90"/>
      <c r="U643" s="90"/>
      <c r="V643" s="90"/>
      <c r="W643" s="90"/>
      <c r="X643" s="90"/>
      <c r="Y643" s="90"/>
      <c r="Z643" s="90"/>
      <c r="AA643" s="90"/>
      <c r="AB643" s="90"/>
    </row>
    <row r="644" spans="1:28" ht="16">
      <c r="A644" s="100"/>
      <c r="B644" s="87"/>
      <c r="C644" s="94"/>
      <c r="D644" s="95"/>
      <c r="E644" s="96"/>
      <c r="F644" s="88"/>
      <c r="G644" s="89" t="b">
        <v>0</v>
      </c>
      <c r="H644" s="89"/>
      <c r="I644" s="90"/>
      <c r="J644" s="90"/>
      <c r="K644" s="90"/>
      <c r="L644" s="90"/>
      <c r="M644" s="90"/>
      <c r="N644" s="90"/>
      <c r="O644" s="90"/>
      <c r="P644" s="90"/>
      <c r="Q644" s="90"/>
      <c r="R644" s="90"/>
      <c r="S644" s="90"/>
      <c r="T644" s="90"/>
      <c r="U644" s="90"/>
      <c r="V644" s="90"/>
      <c r="W644" s="90"/>
      <c r="X644" s="90"/>
      <c r="Y644" s="90"/>
      <c r="Z644" s="90"/>
      <c r="AA644" s="90"/>
      <c r="AB644" s="90"/>
    </row>
    <row r="645" spans="1:28" ht="16">
      <c r="A645" s="100"/>
      <c r="B645" s="91"/>
      <c r="C645" s="97"/>
      <c r="D645" s="98"/>
      <c r="E645" s="99"/>
      <c r="F645" s="92"/>
      <c r="G645" s="93" t="b">
        <v>0</v>
      </c>
      <c r="H645" s="93"/>
      <c r="I645" s="90"/>
      <c r="J645" s="90"/>
      <c r="K645" s="90"/>
      <c r="L645" s="90"/>
      <c r="M645" s="90"/>
      <c r="N645" s="90"/>
      <c r="O645" s="90"/>
      <c r="P645" s="90"/>
      <c r="Q645" s="90"/>
      <c r="R645" s="90"/>
      <c r="S645" s="90"/>
      <c r="T645" s="90"/>
      <c r="U645" s="90"/>
      <c r="V645" s="90"/>
      <c r="W645" s="90"/>
      <c r="X645" s="90"/>
      <c r="Y645" s="90"/>
      <c r="Z645" s="90"/>
      <c r="AA645" s="90"/>
      <c r="AB645" s="90"/>
    </row>
    <row r="646" spans="1:28" ht="16">
      <c r="A646" s="100"/>
      <c r="B646" s="87"/>
      <c r="C646" s="94"/>
      <c r="D646" s="95"/>
      <c r="E646" s="96"/>
      <c r="F646" s="88"/>
      <c r="G646" s="89" t="b">
        <v>0</v>
      </c>
      <c r="H646" s="89"/>
      <c r="I646" s="90"/>
      <c r="J646" s="90"/>
      <c r="K646" s="90"/>
      <c r="L646" s="90"/>
      <c r="M646" s="90"/>
      <c r="N646" s="90"/>
      <c r="O646" s="90"/>
      <c r="P646" s="90"/>
      <c r="Q646" s="90"/>
      <c r="R646" s="90"/>
      <c r="S646" s="90"/>
      <c r="T646" s="90"/>
      <c r="U646" s="90"/>
      <c r="V646" s="90"/>
      <c r="W646" s="90"/>
      <c r="X646" s="90"/>
      <c r="Y646" s="90"/>
      <c r="Z646" s="90"/>
      <c r="AA646" s="90"/>
      <c r="AB646" s="90"/>
    </row>
    <row r="647" spans="1:28" ht="16">
      <c r="A647" s="100"/>
      <c r="B647" s="91"/>
      <c r="C647" s="97"/>
      <c r="D647" s="98"/>
      <c r="E647" s="99"/>
      <c r="F647" s="92"/>
      <c r="G647" s="93" t="b">
        <v>0</v>
      </c>
      <c r="H647" s="93"/>
      <c r="I647" s="90"/>
      <c r="J647" s="90"/>
      <c r="K647" s="90"/>
      <c r="L647" s="90"/>
      <c r="M647" s="90"/>
      <c r="N647" s="90"/>
      <c r="O647" s="90"/>
      <c r="P647" s="90"/>
      <c r="Q647" s="90"/>
      <c r="R647" s="90"/>
      <c r="S647" s="90"/>
      <c r="T647" s="90"/>
      <c r="U647" s="90"/>
      <c r="V647" s="90"/>
      <c r="W647" s="90"/>
      <c r="X647" s="90"/>
      <c r="Y647" s="90"/>
      <c r="Z647" s="90"/>
      <c r="AA647" s="90"/>
      <c r="AB647" s="90"/>
    </row>
    <row r="648" spans="1:28" ht="16">
      <c r="A648" s="100"/>
      <c r="B648" s="87"/>
      <c r="C648" s="94"/>
      <c r="D648" s="95"/>
      <c r="E648" s="96"/>
      <c r="F648" s="88"/>
      <c r="G648" s="89" t="b">
        <v>0</v>
      </c>
      <c r="H648" s="89"/>
      <c r="I648" s="90"/>
      <c r="J648" s="90"/>
      <c r="K648" s="90"/>
      <c r="L648" s="90"/>
      <c r="M648" s="90"/>
      <c r="N648" s="90"/>
      <c r="O648" s="90"/>
      <c r="P648" s="90"/>
      <c r="Q648" s="90"/>
      <c r="R648" s="90"/>
      <c r="S648" s="90"/>
      <c r="T648" s="90"/>
      <c r="U648" s="90"/>
      <c r="V648" s="90"/>
      <c r="W648" s="90"/>
      <c r="X648" s="90"/>
      <c r="Y648" s="90"/>
      <c r="Z648" s="90"/>
      <c r="AA648" s="90"/>
      <c r="AB648" s="90"/>
    </row>
    <row r="649" spans="1:28" ht="16">
      <c r="A649" s="100"/>
      <c r="B649" s="91"/>
      <c r="C649" s="97"/>
      <c r="D649" s="98"/>
      <c r="E649" s="99"/>
      <c r="F649" s="92"/>
      <c r="G649" s="93" t="b">
        <v>0</v>
      </c>
      <c r="H649" s="93"/>
      <c r="I649" s="90"/>
      <c r="J649" s="90"/>
      <c r="K649" s="90"/>
      <c r="L649" s="90"/>
      <c r="M649" s="90"/>
      <c r="N649" s="90"/>
      <c r="O649" s="90"/>
      <c r="P649" s="90"/>
      <c r="Q649" s="90"/>
      <c r="R649" s="90"/>
      <c r="S649" s="90"/>
      <c r="T649" s="90"/>
      <c r="U649" s="90"/>
      <c r="V649" s="90"/>
      <c r="W649" s="90"/>
      <c r="X649" s="90"/>
      <c r="Y649" s="90"/>
      <c r="Z649" s="90"/>
      <c r="AA649" s="90"/>
      <c r="AB649" s="90"/>
    </row>
    <row r="650" spans="1:28" ht="16">
      <c r="A650" s="100"/>
      <c r="B650" s="87"/>
      <c r="C650" s="94"/>
      <c r="D650" s="95"/>
      <c r="E650" s="96"/>
      <c r="F650" s="88"/>
      <c r="G650" s="89" t="b">
        <v>0</v>
      </c>
      <c r="H650" s="89"/>
      <c r="I650" s="90"/>
      <c r="J650" s="90"/>
      <c r="K650" s="90"/>
      <c r="L650" s="90"/>
      <c r="M650" s="90"/>
      <c r="N650" s="90"/>
      <c r="O650" s="90"/>
      <c r="P650" s="90"/>
      <c r="Q650" s="90"/>
      <c r="R650" s="90"/>
      <c r="S650" s="90"/>
      <c r="T650" s="90"/>
      <c r="U650" s="90"/>
      <c r="V650" s="90"/>
      <c r="W650" s="90"/>
      <c r="X650" s="90"/>
      <c r="Y650" s="90"/>
      <c r="Z650" s="90"/>
      <c r="AA650" s="90"/>
      <c r="AB650" s="90"/>
    </row>
    <row r="651" spans="1:28" ht="16">
      <c r="A651" s="100"/>
      <c r="B651" s="91"/>
      <c r="C651" s="97"/>
      <c r="D651" s="98"/>
      <c r="E651" s="99"/>
      <c r="F651" s="92"/>
      <c r="G651" s="93" t="b">
        <v>0</v>
      </c>
      <c r="H651" s="93"/>
      <c r="I651" s="90"/>
      <c r="J651" s="90"/>
      <c r="K651" s="90"/>
      <c r="L651" s="90"/>
      <c r="M651" s="90"/>
      <c r="N651" s="90"/>
      <c r="O651" s="90"/>
      <c r="P651" s="90"/>
      <c r="Q651" s="90"/>
      <c r="R651" s="90"/>
      <c r="S651" s="90"/>
      <c r="T651" s="90"/>
      <c r="U651" s="90"/>
      <c r="V651" s="90"/>
      <c r="W651" s="90"/>
      <c r="X651" s="90"/>
      <c r="Y651" s="90"/>
      <c r="Z651" s="90"/>
      <c r="AA651" s="90"/>
      <c r="AB651" s="90"/>
    </row>
    <row r="652" spans="1:28" ht="16">
      <c r="A652" s="100"/>
      <c r="B652" s="87"/>
      <c r="C652" s="94"/>
      <c r="D652" s="95"/>
      <c r="E652" s="96"/>
      <c r="F652" s="88"/>
      <c r="G652" s="89" t="b">
        <v>0</v>
      </c>
      <c r="H652" s="89"/>
      <c r="I652" s="90"/>
      <c r="J652" s="90"/>
      <c r="K652" s="90"/>
      <c r="L652" s="90"/>
      <c r="M652" s="90"/>
      <c r="N652" s="90"/>
      <c r="O652" s="90"/>
      <c r="P652" s="90"/>
      <c r="Q652" s="90"/>
      <c r="R652" s="90"/>
      <c r="S652" s="90"/>
      <c r="T652" s="90"/>
      <c r="U652" s="90"/>
      <c r="V652" s="90"/>
      <c r="W652" s="90"/>
      <c r="X652" s="90"/>
      <c r="Y652" s="90"/>
      <c r="Z652" s="90"/>
      <c r="AA652" s="90"/>
      <c r="AB652" s="90"/>
    </row>
    <row r="653" spans="1:28" ht="16">
      <c r="A653" s="100"/>
      <c r="B653" s="91"/>
      <c r="C653" s="97"/>
      <c r="D653" s="98"/>
      <c r="E653" s="99"/>
      <c r="F653" s="92"/>
      <c r="G653" s="93" t="b">
        <v>0</v>
      </c>
      <c r="H653" s="93"/>
      <c r="I653" s="90"/>
      <c r="J653" s="90"/>
      <c r="K653" s="90"/>
      <c r="L653" s="90"/>
      <c r="M653" s="90"/>
      <c r="N653" s="90"/>
      <c r="O653" s="90"/>
      <c r="P653" s="90"/>
      <c r="Q653" s="90"/>
      <c r="R653" s="90"/>
      <c r="S653" s="90"/>
      <c r="T653" s="90"/>
      <c r="U653" s="90"/>
      <c r="V653" s="90"/>
      <c r="W653" s="90"/>
      <c r="X653" s="90"/>
      <c r="Y653" s="90"/>
      <c r="Z653" s="90"/>
      <c r="AA653" s="90"/>
      <c r="AB653" s="90"/>
    </row>
    <row r="654" spans="1:28" ht="16">
      <c r="A654" s="100"/>
      <c r="B654" s="87"/>
      <c r="C654" s="94"/>
      <c r="D654" s="95"/>
      <c r="E654" s="96"/>
      <c r="F654" s="88"/>
      <c r="G654" s="89" t="b">
        <v>0</v>
      </c>
      <c r="H654" s="89"/>
      <c r="I654" s="90"/>
      <c r="J654" s="90"/>
      <c r="K654" s="90"/>
      <c r="L654" s="90"/>
      <c r="M654" s="90"/>
      <c r="N654" s="90"/>
      <c r="O654" s="90"/>
      <c r="P654" s="90"/>
      <c r="Q654" s="90"/>
      <c r="R654" s="90"/>
      <c r="S654" s="90"/>
      <c r="T654" s="90"/>
      <c r="U654" s="90"/>
      <c r="V654" s="90"/>
      <c r="W654" s="90"/>
      <c r="X654" s="90"/>
      <c r="Y654" s="90"/>
      <c r="Z654" s="90"/>
      <c r="AA654" s="90"/>
      <c r="AB654" s="90"/>
    </row>
    <row r="655" spans="1:28" ht="16">
      <c r="A655" s="100"/>
      <c r="B655" s="91"/>
      <c r="C655" s="97"/>
      <c r="D655" s="98"/>
      <c r="E655" s="99"/>
      <c r="F655" s="92"/>
      <c r="G655" s="93" t="b">
        <v>0</v>
      </c>
      <c r="H655" s="93"/>
      <c r="I655" s="90"/>
      <c r="J655" s="90"/>
      <c r="K655" s="90"/>
      <c r="L655" s="90"/>
      <c r="M655" s="90"/>
      <c r="N655" s="90"/>
      <c r="O655" s="90"/>
      <c r="P655" s="90"/>
      <c r="Q655" s="90"/>
      <c r="R655" s="90"/>
      <c r="S655" s="90"/>
      <c r="T655" s="90"/>
      <c r="U655" s="90"/>
      <c r="V655" s="90"/>
      <c r="W655" s="90"/>
      <c r="X655" s="90"/>
      <c r="Y655" s="90"/>
      <c r="Z655" s="90"/>
      <c r="AA655" s="90"/>
      <c r="AB655" s="90"/>
    </row>
    <row r="656" spans="1:28" ht="16">
      <c r="A656" s="100"/>
      <c r="B656" s="87"/>
      <c r="C656" s="94"/>
      <c r="D656" s="95"/>
      <c r="E656" s="96"/>
      <c r="F656" s="88"/>
      <c r="G656" s="89" t="b">
        <v>0</v>
      </c>
      <c r="H656" s="89"/>
      <c r="I656" s="90"/>
      <c r="J656" s="90"/>
      <c r="K656" s="90"/>
      <c r="L656" s="90"/>
      <c r="M656" s="90"/>
      <c r="N656" s="90"/>
      <c r="O656" s="90"/>
      <c r="P656" s="90"/>
      <c r="Q656" s="90"/>
      <c r="R656" s="90"/>
      <c r="S656" s="90"/>
      <c r="T656" s="90"/>
      <c r="U656" s="90"/>
      <c r="V656" s="90"/>
      <c r="W656" s="90"/>
      <c r="X656" s="90"/>
      <c r="Y656" s="90"/>
      <c r="Z656" s="90"/>
      <c r="AA656" s="90"/>
      <c r="AB656" s="90"/>
    </row>
    <row r="657" spans="1:28" ht="16">
      <c r="A657" s="100"/>
      <c r="B657" s="91"/>
      <c r="C657" s="97"/>
      <c r="D657" s="98"/>
      <c r="E657" s="99"/>
      <c r="F657" s="92"/>
      <c r="G657" s="93" t="b">
        <v>0</v>
      </c>
      <c r="H657" s="93"/>
      <c r="I657" s="90"/>
      <c r="J657" s="90"/>
      <c r="K657" s="90"/>
      <c r="L657" s="90"/>
      <c r="M657" s="90"/>
      <c r="N657" s="90"/>
      <c r="O657" s="90"/>
      <c r="P657" s="90"/>
      <c r="Q657" s="90"/>
      <c r="R657" s="90"/>
      <c r="S657" s="90"/>
      <c r="T657" s="90"/>
      <c r="U657" s="90"/>
      <c r="V657" s="90"/>
      <c r="W657" s="90"/>
      <c r="X657" s="90"/>
      <c r="Y657" s="90"/>
      <c r="Z657" s="90"/>
      <c r="AA657" s="90"/>
      <c r="AB657" s="90"/>
    </row>
    <row r="658" spans="1:28" ht="16">
      <c r="A658" s="100"/>
      <c r="B658" s="87"/>
      <c r="C658" s="94"/>
      <c r="D658" s="95"/>
      <c r="E658" s="96"/>
      <c r="F658" s="88"/>
      <c r="G658" s="89" t="b">
        <v>0</v>
      </c>
      <c r="H658" s="89"/>
      <c r="I658" s="90"/>
      <c r="J658" s="90"/>
      <c r="K658" s="90"/>
      <c r="L658" s="90"/>
      <c r="M658" s="90"/>
      <c r="N658" s="90"/>
      <c r="O658" s="90"/>
      <c r="P658" s="90"/>
      <c r="Q658" s="90"/>
      <c r="R658" s="90"/>
      <c r="S658" s="90"/>
      <c r="T658" s="90"/>
      <c r="U658" s="90"/>
      <c r="V658" s="90"/>
      <c r="W658" s="90"/>
      <c r="X658" s="90"/>
      <c r="Y658" s="90"/>
      <c r="Z658" s="90"/>
      <c r="AA658" s="90"/>
      <c r="AB658" s="90"/>
    </row>
    <row r="659" spans="1:28" ht="16">
      <c r="A659" s="100"/>
      <c r="B659" s="91"/>
      <c r="C659" s="97"/>
      <c r="D659" s="98"/>
      <c r="E659" s="99"/>
      <c r="F659" s="92"/>
      <c r="G659" s="93" t="b">
        <v>0</v>
      </c>
      <c r="H659" s="93"/>
      <c r="I659" s="90"/>
      <c r="J659" s="90"/>
      <c r="K659" s="90"/>
      <c r="L659" s="90"/>
      <c r="M659" s="90"/>
      <c r="N659" s="90"/>
      <c r="O659" s="90"/>
      <c r="P659" s="90"/>
      <c r="Q659" s="90"/>
      <c r="R659" s="90"/>
      <c r="S659" s="90"/>
      <c r="T659" s="90"/>
      <c r="U659" s="90"/>
      <c r="V659" s="90"/>
      <c r="W659" s="90"/>
      <c r="X659" s="90"/>
      <c r="Y659" s="90"/>
      <c r="Z659" s="90"/>
      <c r="AA659" s="90"/>
      <c r="AB659" s="90"/>
    </row>
    <row r="660" spans="1:28" ht="16">
      <c r="A660" s="100"/>
      <c r="B660" s="87"/>
      <c r="C660" s="94"/>
      <c r="D660" s="95"/>
      <c r="E660" s="96"/>
      <c r="F660" s="88"/>
      <c r="G660" s="89" t="b">
        <v>0</v>
      </c>
      <c r="H660" s="89"/>
      <c r="I660" s="90"/>
      <c r="J660" s="90"/>
      <c r="K660" s="90"/>
      <c r="L660" s="90"/>
      <c r="M660" s="90"/>
      <c r="N660" s="90"/>
      <c r="O660" s="90"/>
      <c r="P660" s="90"/>
      <c r="Q660" s="90"/>
      <c r="R660" s="90"/>
      <c r="S660" s="90"/>
      <c r="T660" s="90"/>
      <c r="U660" s="90"/>
      <c r="V660" s="90"/>
      <c r="W660" s="90"/>
      <c r="X660" s="90"/>
      <c r="Y660" s="90"/>
      <c r="Z660" s="90"/>
      <c r="AA660" s="90"/>
      <c r="AB660" s="90"/>
    </row>
    <row r="661" spans="1:28" ht="16">
      <c r="A661" s="100"/>
      <c r="B661" s="91"/>
      <c r="C661" s="97"/>
      <c r="D661" s="98"/>
      <c r="E661" s="99"/>
      <c r="F661" s="92"/>
      <c r="G661" s="93" t="b">
        <v>0</v>
      </c>
      <c r="H661" s="93"/>
      <c r="I661" s="90"/>
      <c r="J661" s="90"/>
      <c r="K661" s="90"/>
      <c r="L661" s="90"/>
      <c r="M661" s="90"/>
      <c r="N661" s="90"/>
      <c r="O661" s="90"/>
      <c r="P661" s="90"/>
      <c r="Q661" s="90"/>
      <c r="R661" s="90"/>
      <c r="S661" s="90"/>
      <c r="T661" s="90"/>
      <c r="U661" s="90"/>
      <c r="V661" s="90"/>
      <c r="W661" s="90"/>
      <c r="X661" s="90"/>
      <c r="Y661" s="90"/>
      <c r="Z661" s="90"/>
      <c r="AA661" s="90"/>
      <c r="AB661" s="90"/>
    </row>
    <row r="662" spans="1:28" ht="16">
      <c r="A662" s="100"/>
      <c r="B662" s="87"/>
      <c r="C662" s="94"/>
      <c r="D662" s="95"/>
      <c r="E662" s="96"/>
      <c r="F662" s="88"/>
      <c r="G662" s="89" t="b">
        <v>0</v>
      </c>
      <c r="H662" s="89"/>
      <c r="I662" s="90"/>
      <c r="J662" s="90"/>
      <c r="K662" s="90"/>
      <c r="L662" s="90"/>
      <c r="M662" s="90"/>
      <c r="N662" s="90"/>
      <c r="O662" s="90"/>
      <c r="P662" s="90"/>
      <c r="Q662" s="90"/>
      <c r="R662" s="90"/>
      <c r="S662" s="90"/>
      <c r="T662" s="90"/>
      <c r="U662" s="90"/>
      <c r="V662" s="90"/>
      <c r="W662" s="90"/>
      <c r="X662" s="90"/>
      <c r="Y662" s="90"/>
      <c r="Z662" s="90"/>
      <c r="AA662" s="90"/>
      <c r="AB662" s="90"/>
    </row>
    <row r="663" spans="1:28" ht="16">
      <c r="A663" s="100"/>
      <c r="B663" s="91"/>
      <c r="C663" s="97"/>
      <c r="D663" s="98"/>
      <c r="E663" s="99"/>
      <c r="F663" s="92"/>
      <c r="G663" s="93" t="b">
        <v>0</v>
      </c>
      <c r="H663" s="93"/>
      <c r="I663" s="90"/>
      <c r="J663" s="90"/>
      <c r="K663" s="90"/>
      <c r="L663" s="90"/>
      <c r="M663" s="90"/>
      <c r="N663" s="90"/>
      <c r="O663" s="90"/>
      <c r="P663" s="90"/>
      <c r="Q663" s="90"/>
      <c r="R663" s="90"/>
      <c r="S663" s="90"/>
      <c r="T663" s="90"/>
      <c r="U663" s="90"/>
      <c r="V663" s="90"/>
      <c r="W663" s="90"/>
      <c r="X663" s="90"/>
      <c r="Y663" s="90"/>
      <c r="Z663" s="90"/>
      <c r="AA663" s="90"/>
      <c r="AB663" s="90"/>
    </row>
    <row r="664" spans="1:28" ht="16">
      <c r="A664" s="100"/>
      <c r="B664" s="87"/>
      <c r="C664" s="94"/>
      <c r="D664" s="95"/>
      <c r="E664" s="96"/>
      <c r="F664" s="88"/>
      <c r="G664" s="89" t="b">
        <v>0</v>
      </c>
      <c r="H664" s="89"/>
      <c r="I664" s="90"/>
      <c r="J664" s="90"/>
      <c r="K664" s="90"/>
      <c r="L664" s="90"/>
      <c r="M664" s="90"/>
      <c r="N664" s="90"/>
      <c r="O664" s="90"/>
      <c r="P664" s="90"/>
      <c r="Q664" s="90"/>
      <c r="R664" s="90"/>
      <c r="S664" s="90"/>
      <c r="T664" s="90"/>
      <c r="U664" s="90"/>
      <c r="V664" s="90"/>
      <c r="W664" s="90"/>
      <c r="X664" s="90"/>
      <c r="Y664" s="90"/>
      <c r="Z664" s="90"/>
      <c r="AA664" s="90"/>
      <c r="AB664" s="90"/>
    </row>
    <row r="665" spans="1:28" ht="16">
      <c r="A665" s="100"/>
      <c r="B665" s="91"/>
      <c r="C665" s="97"/>
      <c r="D665" s="98"/>
      <c r="E665" s="99"/>
      <c r="F665" s="92"/>
      <c r="G665" s="93" t="b">
        <v>0</v>
      </c>
      <c r="H665" s="93"/>
      <c r="I665" s="90"/>
      <c r="J665" s="90"/>
      <c r="K665" s="90"/>
      <c r="L665" s="90"/>
      <c r="M665" s="90"/>
      <c r="N665" s="90"/>
      <c r="O665" s="90"/>
      <c r="P665" s="90"/>
      <c r="Q665" s="90"/>
      <c r="R665" s="90"/>
      <c r="S665" s="90"/>
      <c r="T665" s="90"/>
      <c r="U665" s="90"/>
      <c r="V665" s="90"/>
      <c r="W665" s="90"/>
      <c r="X665" s="90"/>
      <c r="Y665" s="90"/>
      <c r="Z665" s="90"/>
      <c r="AA665" s="90"/>
      <c r="AB665" s="90"/>
    </row>
    <row r="666" spans="1:28" ht="16">
      <c r="A666" s="100"/>
      <c r="B666" s="87"/>
      <c r="C666" s="94"/>
      <c r="D666" s="95"/>
      <c r="E666" s="96"/>
      <c r="F666" s="88"/>
      <c r="G666" s="89" t="b">
        <v>0</v>
      </c>
      <c r="H666" s="89"/>
      <c r="I666" s="90"/>
      <c r="J666" s="90"/>
      <c r="K666" s="90"/>
      <c r="L666" s="90"/>
      <c r="M666" s="90"/>
      <c r="N666" s="90"/>
      <c r="O666" s="90"/>
      <c r="P666" s="90"/>
      <c r="Q666" s="90"/>
      <c r="R666" s="90"/>
      <c r="S666" s="90"/>
      <c r="T666" s="90"/>
      <c r="U666" s="90"/>
      <c r="V666" s="90"/>
      <c r="W666" s="90"/>
      <c r="X666" s="90"/>
      <c r="Y666" s="90"/>
      <c r="Z666" s="90"/>
      <c r="AA666" s="90"/>
      <c r="AB666" s="90"/>
    </row>
    <row r="667" spans="1:28" ht="16">
      <c r="A667" s="100"/>
      <c r="B667" s="91"/>
      <c r="C667" s="97"/>
      <c r="D667" s="98"/>
      <c r="E667" s="99"/>
      <c r="F667" s="92"/>
      <c r="G667" s="93" t="b">
        <v>0</v>
      </c>
      <c r="H667" s="93"/>
      <c r="I667" s="90"/>
      <c r="J667" s="90"/>
      <c r="K667" s="90"/>
      <c r="L667" s="90"/>
      <c r="M667" s="90"/>
      <c r="N667" s="90"/>
      <c r="O667" s="90"/>
      <c r="P667" s="90"/>
      <c r="Q667" s="90"/>
      <c r="R667" s="90"/>
      <c r="S667" s="90"/>
      <c r="T667" s="90"/>
      <c r="U667" s="90"/>
      <c r="V667" s="90"/>
      <c r="W667" s="90"/>
      <c r="X667" s="90"/>
      <c r="Y667" s="90"/>
      <c r="Z667" s="90"/>
      <c r="AA667" s="90"/>
      <c r="AB667" s="90"/>
    </row>
    <row r="668" spans="1:28" ht="16">
      <c r="A668" s="100"/>
      <c r="B668" s="87"/>
      <c r="C668" s="94"/>
      <c r="D668" s="95"/>
      <c r="E668" s="96"/>
      <c r="F668" s="88"/>
      <c r="G668" s="89" t="b">
        <v>0</v>
      </c>
      <c r="H668" s="89"/>
      <c r="I668" s="90"/>
      <c r="J668" s="90"/>
      <c r="K668" s="90"/>
      <c r="L668" s="90"/>
      <c r="M668" s="90"/>
      <c r="N668" s="90"/>
      <c r="O668" s="90"/>
      <c r="P668" s="90"/>
      <c r="Q668" s="90"/>
      <c r="R668" s="90"/>
      <c r="S668" s="90"/>
      <c r="T668" s="90"/>
      <c r="U668" s="90"/>
      <c r="V668" s="90"/>
      <c r="W668" s="90"/>
      <c r="X668" s="90"/>
      <c r="Y668" s="90"/>
      <c r="Z668" s="90"/>
      <c r="AA668" s="90"/>
      <c r="AB668" s="90"/>
    </row>
    <row r="669" spans="1:28" ht="16">
      <c r="A669" s="100"/>
      <c r="B669" s="91"/>
      <c r="C669" s="97"/>
      <c r="D669" s="98"/>
      <c r="E669" s="99"/>
      <c r="F669" s="92"/>
      <c r="G669" s="93" t="b">
        <v>0</v>
      </c>
      <c r="H669" s="93"/>
      <c r="I669" s="90"/>
      <c r="J669" s="90"/>
      <c r="K669" s="90"/>
      <c r="L669" s="90"/>
      <c r="M669" s="90"/>
      <c r="N669" s="90"/>
      <c r="O669" s="90"/>
      <c r="P669" s="90"/>
      <c r="Q669" s="90"/>
      <c r="R669" s="90"/>
      <c r="S669" s="90"/>
      <c r="T669" s="90"/>
      <c r="U669" s="90"/>
      <c r="V669" s="90"/>
      <c r="W669" s="90"/>
      <c r="X669" s="90"/>
      <c r="Y669" s="90"/>
      <c r="Z669" s="90"/>
      <c r="AA669" s="90"/>
      <c r="AB669" s="90"/>
    </row>
    <row r="670" spans="1:28" ht="16">
      <c r="A670" s="100"/>
      <c r="B670" s="87"/>
      <c r="C670" s="94"/>
      <c r="D670" s="95"/>
      <c r="E670" s="96"/>
      <c r="F670" s="88"/>
      <c r="G670" s="89" t="b">
        <v>0</v>
      </c>
      <c r="H670" s="89"/>
      <c r="I670" s="90"/>
      <c r="J670" s="90"/>
      <c r="K670" s="90"/>
      <c r="L670" s="90"/>
      <c r="M670" s="90"/>
      <c r="N670" s="90"/>
      <c r="O670" s="90"/>
      <c r="P670" s="90"/>
      <c r="Q670" s="90"/>
      <c r="R670" s="90"/>
      <c r="S670" s="90"/>
      <c r="T670" s="90"/>
      <c r="U670" s="90"/>
      <c r="V670" s="90"/>
      <c r="W670" s="90"/>
      <c r="X670" s="90"/>
      <c r="Y670" s="90"/>
      <c r="Z670" s="90"/>
      <c r="AA670" s="90"/>
      <c r="AB670" s="90"/>
    </row>
    <row r="671" spans="1:28" ht="16">
      <c r="A671" s="100"/>
      <c r="B671" s="91"/>
      <c r="C671" s="97"/>
      <c r="D671" s="98"/>
      <c r="E671" s="99"/>
      <c r="F671" s="92"/>
      <c r="G671" s="93" t="b">
        <v>0</v>
      </c>
      <c r="H671" s="93"/>
      <c r="I671" s="90"/>
      <c r="J671" s="90"/>
      <c r="K671" s="90"/>
      <c r="L671" s="90"/>
      <c r="M671" s="90"/>
      <c r="N671" s="90"/>
      <c r="O671" s="90"/>
      <c r="P671" s="90"/>
      <c r="Q671" s="90"/>
      <c r="R671" s="90"/>
      <c r="S671" s="90"/>
      <c r="T671" s="90"/>
      <c r="U671" s="90"/>
      <c r="V671" s="90"/>
      <c r="W671" s="90"/>
      <c r="X671" s="90"/>
      <c r="Y671" s="90"/>
      <c r="Z671" s="90"/>
      <c r="AA671" s="90"/>
      <c r="AB671" s="90"/>
    </row>
    <row r="672" spans="1:28" ht="16">
      <c r="A672" s="100"/>
      <c r="B672" s="87"/>
      <c r="C672" s="94"/>
      <c r="D672" s="95"/>
      <c r="E672" s="96"/>
      <c r="F672" s="88"/>
      <c r="G672" s="89" t="b">
        <v>0</v>
      </c>
      <c r="H672" s="89"/>
      <c r="I672" s="90"/>
      <c r="J672" s="90"/>
      <c r="K672" s="90"/>
      <c r="L672" s="90"/>
      <c r="M672" s="90"/>
      <c r="N672" s="90"/>
      <c r="O672" s="90"/>
      <c r="P672" s="90"/>
      <c r="Q672" s="90"/>
      <c r="R672" s="90"/>
      <c r="S672" s="90"/>
      <c r="T672" s="90"/>
      <c r="U672" s="90"/>
      <c r="V672" s="90"/>
      <c r="W672" s="90"/>
      <c r="X672" s="90"/>
      <c r="Y672" s="90"/>
      <c r="Z672" s="90"/>
      <c r="AA672" s="90"/>
      <c r="AB672" s="90"/>
    </row>
    <row r="673" spans="1:28" ht="16">
      <c r="A673" s="100"/>
      <c r="B673" s="91"/>
      <c r="C673" s="97"/>
      <c r="D673" s="98"/>
      <c r="E673" s="99"/>
      <c r="F673" s="92"/>
      <c r="G673" s="93" t="b">
        <v>0</v>
      </c>
      <c r="H673" s="93"/>
      <c r="I673" s="90"/>
      <c r="J673" s="90"/>
      <c r="K673" s="90"/>
      <c r="L673" s="90"/>
      <c r="M673" s="90"/>
      <c r="N673" s="90"/>
      <c r="O673" s="90"/>
      <c r="P673" s="90"/>
      <c r="Q673" s="90"/>
      <c r="R673" s="90"/>
      <c r="S673" s="90"/>
      <c r="T673" s="90"/>
      <c r="U673" s="90"/>
      <c r="V673" s="90"/>
      <c r="W673" s="90"/>
      <c r="X673" s="90"/>
      <c r="Y673" s="90"/>
      <c r="Z673" s="90"/>
      <c r="AA673" s="90"/>
      <c r="AB673" s="90"/>
    </row>
    <row r="674" spans="1:28" ht="16">
      <c r="A674" s="100"/>
      <c r="B674" s="87"/>
      <c r="C674" s="94"/>
      <c r="D674" s="95"/>
      <c r="E674" s="96"/>
      <c r="F674" s="88"/>
      <c r="G674" s="89" t="b">
        <v>0</v>
      </c>
      <c r="H674" s="89"/>
      <c r="I674" s="90"/>
      <c r="J674" s="90"/>
      <c r="K674" s="90"/>
      <c r="L674" s="90"/>
      <c r="M674" s="90"/>
      <c r="N674" s="90"/>
      <c r="O674" s="90"/>
      <c r="P674" s="90"/>
      <c r="Q674" s="90"/>
      <c r="R674" s="90"/>
      <c r="S674" s="90"/>
      <c r="T674" s="90"/>
      <c r="U674" s="90"/>
      <c r="V674" s="90"/>
      <c r="W674" s="90"/>
      <c r="X674" s="90"/>
      <c r="Y674" s="90"/>
      <c r="Z674" s="90"/>
      <c r="AA674" s="90"/>
      <c r="AB674" s="90"/>
    </row>
    <row r="675" spans="1:28" ht="16">
      <c r="A675" s="100"/>
      <c r="B675" s="91"/>
      <c r="C675" s="97"/>
      <c r="D675" s="98"/>
      <c r="E675" s="99"/>
      <c r="F675" s="92"/>
      <c r="G675" s="93" t="b">
        <v>0</v>
      </c>
      <c r="H675" s="93"/>
      <c r="I675" s="90"/>
      <c r="J675" s="90"/>
      <c r="K675" s="90"/>
      <c r="L675" s="90"/>
      <c r="M675" s="90"/>
      <c r="N675" s="90"/>
      <c r="O675" s="90"/>
      <c r="P675" s="90"/>
      <c r="Q675" s="90"/>
      <c r="R675" s="90"/>
      <c r="S675" s="90"/>
      <c r="T675" s="90"/>
      <c r="U675" s="90"/>
      <c r="V675" s="90"/>
      <c r="W675" s="90"/>
      <c r="X675" s="90"/>
      <c r="Y675" s="90"/>
      <c r="Z675" s="90"/>
      <c r="AA675" s="90"/>
      <c r="AB675" s="90"/>
    </row>
    <row r="676" spans="1:28" ht="16">
      <c r="A676" s="100"/>
      <c r="B676" s="87"/>
      <c r="C676" s="94"/>
      <c r="D676" s="95"/>
      <c r="E676" s="96"/>
      <c r="F676" s="88"/>
      <c r="G676" s="89" t="b">
        <v>0</v>
      </c>
      <c r="H676" s="89"/>
      <c r="I676" s="90"/>
      <c r="J676" s="90"/>
      <c r="K676" s="90"/>
      <c r="L676" s="90"/>
      <c r="M676" s="90"/>
      <c r="N676" s="90"/>
      <c r="O676" s="90"/>
      <c r="P676" s="90"/>
      <c r="Q676" s="90"/>
      <c r="R676" s="90"/>
      <c r="S676" s="90"/>
      <c r="T676" s="90"/>
      <c r="U676" s="90"/>
      <c r="V676" s="90"/>
      <c r="W676" s="90"/>
      <c r="X676" s="90"/>
      <c r="Y676" s="90"/>
      <c r="Z676" s="90"/>
      <c r="AA676" s="90"/>
      <c r="AB676" s="90"/>
    </row>
    <row r="677" spans="1:28" ht="16">
      <c r="A677" s="100"/>
      <c r="B677" s="91"/>
      <c r="C677" s="97"/>
      <c r="D677" s="98"/>
      <c r="E677" s="99"/>
      <c r="F677" s="92"/>
      <c r="G677" s="93" t="b">
        <v>0</v>
      </c>
      <c r="H677" s="93"/>
      <c r="I677" s="90"/>
      <c r="J677" s="90"/>
      <c r="K677" s="90"/>
      <c r="L677" s="90"/>
      <c r="M677" s="90"/>
      <c r="N677" s="90"/>
      <c r="O677" s="90"/>
      <c r="P677" s="90"/>
      <c r="Q677" s="90"/>
      <c r="R677" s="90"/>
      <c r="S677" s="90"/>
      <c r="T677" s="90"/>
      <c r="U677" s="90"/>
      <c r="V677" s="90"/>
      <c r="W677" s="90"/>
      <c r="X677" s="90"/>
      <c r="Y677" s="90"/>
      <c r="Z677" s="90"/>
      <c r="AA677" s="90"/>
      <c r="AB677" s="90"/>
    </row>
    <row r="678" spans="1:28" ht="16">
      <c r="A678" s="100"/>
      <c r="B678" s="87"/>
      <c r="C678" s="94"/>
      <c r="D678" s="95"/>
      <c r="E678" s="96"/>
      <c r="F678" s="88"/>
      <c r="G678" s="89" t="b">
        <v>0</v>
      </c>
      <c r="H678" s="89"/>
      <c r="I678" s="90"/>
      <c r="J678" s="90"/>
      <c r="K678" s="90"/>
      <c r="L678" s="90"/>
      <c r="M678" s="90"/>
      <c r="N678" s="90"/>
      <c r="O678" s="90"/>
      <c r="P678" s="90"/>
      <c r="Q678" s="90"/>
      <c r="R678" s="90"/>
      <c r="S678" s="90"/>
      <c r="T678" s="90"/>
      <c r="U678" s="90"/>
      <c r="V678" s="90"/>
      <c r="W678" s="90"/>
      <c r="X678" s="90"/>
      <c r="Y678" s="90"/>
      <c r="Z678" s="90"/>
      <c r="AA678" s="90"/>
      <c r="AB678" s="90"/>
    </row>
    <row r="679" spans="1:28" ht="16">
      <c r="A679" s="100"/>
      <c r="B679" s="91"/>
      <c r="C679" s="97"/>
      <c r="D679" s="98"/>
      <c r="E679" s="99"/>
      <c r="F679" s="92"/>
      <c r="G679" s="93" t="b">
        <v>0</v>
      </c>
      <c r="H679" s="93"/>
      <c r="I679" s="90"/>
      <c r="J679" s="90"/>
      <c r="K679" s="90"/>
      <c r="L679" s="90"/>
      <c r="M679" s="90"/>
      <c r="N679" s="90"/>
      <c r="O679" s="90"/>
      <c r="P679" s="90"/>
      <c r="Q679" s="90"/>
      <c r="R679" s="90"/>
      <c r="S679" s="90"/>
      <c r="T679" s="90"/>
      <c r="U679" s="90"/>
      <c r="V679" s="90"/>
      <c r="W679" s="90"/>
      <c r="X679" s="90"/>
      <c r="Y679" s="90"/>
      <c r="Z679" s="90"/>
      <c r="AA679" s="90"/>
      <c r="AB679" s="90"/>
    </row>
    <row r="680" spans="1:28" ht="16">
      <c r="A680" s="100"/>
      <c r="B680" s="87"/>
      <c r="C680" s="94"/>
      <c r="D680" s="95"/>
      <c r="E680" s="96"/>
      <c r="F680" s="88"/>
      <c r="G680" s="89" t="b">
        <v>0</v>
      </c>
      <c r="H680" s="89"/>
      <c r="I680" s="90"/>
      <c r="J680" s="90"/>
      <c r="K680" s="90"/>
      <c r="L680" s="90"/>
      <c r="M680" s="90"/>
      <c r="N680" s="90"/>
      <c r="O680" s="90"/>
      <c r="P680" s="90"/>
      <c r="Q680" s="90"/>
      <c r="R680" s="90"/>
      <c r="S680" s="90"/>
      <c r="T680" s="90"/>
      <c r="U680" s="90"/>
      <c r="V680" s="90"/>
      <c r="W680" s="90"/>
      <c r="X680" s="90"/>
      <c r="Y680" s="90"/>
      <c r="Z680" s="90"/>
      <c r="AA680" s="90"/>
      <c r="AB680" s="90"/>
    </row>
    <row r="681" spans="1:28" ht="16">
      <c r="A681" s="100"/>
      <c r="B681" s="91"/>
      <c r="C681" s="97"/>
      <c r="D681" s="98"/>
      <c r="E681" s="99"/>
      <c r="F681" s="92"/>
      <c r="G681" s="93" t="b">
        <v>0</v>
      </c>
      <c r="H681" s="93"/>
      <c r="I681" s="90"/>
      <c r="J681" s="90"/>
      <c r="K681" s="90"/>
      <c r="L681" s="90"/>
      <c r="M681" s="90"/>
      <c r="N681" s="90"/>
      <c r="O681" s="90"/>
      <c r="P681" s="90"/>
      <c r="Q681" s="90"/>
      <c r="R681" s="90"/>
      <c r="S681" s="90"/>
      <c r="T681" s="90"/>
      <c r="U681" s="90"/>
      <c r="V681" s="90"/>
      <c r="W681" s="90"/>
      <c r="X681" s="90"/>
      <c r="Y681" s="90"/>
      <c r="Z681" s="90"/>
      <c r="AA681" s="90"/>
      <c r="AB681" s="90"/>
    </row>
    <row r="682" spans="1:28" ht="16">
      <c r="A682" s="100"/>
      <c r="B682" s="87"/>
      <c r="C682" s="94"/>
      <c r="D682" s="95"/>
      <c r="E682" s="96"/>
      <c r="F682" s="88"/>
      <c r="G682" s="89" t="b">
        <v>0</v>
      </c>
      <c r="H682" s="89"/>
      <c r="I682" s="90"/>
      <c r="J682" s="90"/>
      <c r="K682" s="90"/>
      <c r="L682" s="90"/>
      <c r="M682" s="90"/>
      <c r="N682" s="90"/>
      <c r="O682" s="90"/>
      <c r="P682" s="90"/>
      <c r="Q682" s="90"/>
      <c r="R682" s="90"/>
      <c r="S682" s="90"/>
      <c r="T682" s="90"/>
      <c r="U682" s="90"/>
      <c r="V682" s="90"/>
      <c r="W682" s="90"/>
      <c r="X682" s="90"/>
      <c r="Y682" s="90"/>
      <c r="Z682" s="90"/>
      <c r="AA682" s="90"/>
      <c r="AB682" s="90"/>
    </row>
    <row r="683" spans="1:28" ht="16">
      <c r="A683" s="100"/>
      <c r="B683" s="91"/>
      <c r="C683" s="97"/>
      <c r="D683" s="98"/>
      <c r="E683" s="99"/>
      <c r="F683" s="92"/>
      <c r="G683" s="93" t="b">
        <v>0</v>
      </c>
      <c r="H683" s="93"/>
      <c r="I683" s="90"/>
      <c r="J683" s="90"/>
      <c r="K683" s="90"/>
      <c r="L683" s="90"/>
      <c r="M683" s="90"/>
      <c r="N683" s="90"/>
      <c r="O683" s="90"/>
      <c r="P683" s="90"/>
      <c r="Q683" s="90"/>
      <c r="R683" s="90"/>
      <c r="S683" s="90"/>
      <c r="T683" s="90"/>
      <c r="U683" s="90"/>
      <c r="V683" s="90"/>
      <c r="W683" s="90"/>
      <c r="X683" s="90"/>
      <c r="Y683" s="90"/>
      <c r="Z683" s="90"/>
      <c r="AA683" s="90"/>
      <c r="AB683" s="90"/>
    </row>
    <row r="684" spans="1:28" ht="16">
      <c r="A684" s="100"/>
      <c r="B684" s="87"/>
      <c r="C684" s="94"/>
      <c r="D684" s="95"/>
      <c r="E684" s="96"/>
      <c r="F684" s="88"/>
      <c r="G684" s="89" t="b">
        <v>0</v>
      </c>
      <c r="H684" s="89"/>
      <c r="I684" s="90"/>
      <c r="J684" s="90"/>
      <c r="K684" s="90"/>
      <c r="L684" s="90"/>
      <c r="M684" s="90"/>
      <c r="N684" s="90"/>
      <c r="O684" s="90"/>
      <c r="P684" s="90"/>
      <c r="Q684" s="90"/>
      <c r="R684" s="90"/>
      <c r="S684" s="90"/>
      <c r="T684" s="90"/>
      <c r="U684" s="90"/>
      <c r="V684" s="90"/>
      <c r="W684" s="90"/>
      <c r="X684" s="90"/>
      <c r="Y684" s="90"/>
      <c r="Z684" s="90"/>
      <c r="AA684" s="90"/>
      <c r="AB684" s="90"/>
    </row>
    <row r="685" spans="1:28" ht="16">
      <c r="A685" s="100"/>
      <c r="B685" s="91"/>
      <c r="C685" s="97"/>
      <c r="D685" s="98"/>
      <c r="E685" s="99"/>
      <c r="F685" s="92"/>
      <c r="G685" s="93" t="b">
        <v>0</v>
      </c>
      <c r="H685" s="93"/>
      <c r="I685" s="90"/>
      <c r="J685" s="90"/>
      <c r="K685" s="90"/>
      <c r="L685" s="90"/>
      <c r="M685" s="90"/>
      <c r="N685" s="90"/>
      <c r="O685" s="90"/>
      <c r="P685" s="90"/>
      <c r="Q685" s="90"/>
      <c r="R685" s="90"/>
      <c r="S685" s="90"/>
      <c r="T685" s="90"/>
      <c r="U685" s="90"/>
      <c r="V685" s="90"/>
      <c r="W685" s="90"/>
      <c r="X685" s="90"/>
      <c r="Y685" s="90"/>
      <c r="Z685" s="90"/>
      <c r="AA685" s="90"/>
      <c r="AB685" s="90"/>
    </row>
    <row r="686" spans="1:28" ht="16">
      <c r="A686" s="100"/>
      <c r="B686" s="87"/>
      <c r="C686" s="94"/>
      <c r="D686" s="95"/>
      <c r="E686" s="96"/>
      <c r="F686" s="88"/>
      <c r="G686" s="89" t="b">
        <v>0</v>
      </c>
      <c r="H686" s="89"/>
      <c r="I686" s="90"/>
      <c r="J686" s="90"/>
      <c r="K686" s="90"/>
      <c r="L686" s="90"/>
      <c r="M686" s="90"/>
      <c r="N686" s="90"/>
      <c r="O686" s="90"/>
      <c r="P686" s="90"/>
      <c r="Q686" s="90"/>
      <c r="R686" s="90"/>
      <c r="S686" s="90"/>
      <c r="T686" s="90"/>
      <c r="U686" s="90"/>
      <c r="V686" s="90"/>
      <c r="W686" s="90"/>
      <c r="X686" s="90"/>
      <c r="Y686" s="90"/>
      <c r="Z686" s="90"/>
      <c r="AA686" s="90"/>
      <c r="AB686" s="90"/>
    </row>
    <row r="687" spans="1:28" ht="16">
      <c r="A687" s="100"/>
      <c r="B687" s="91"/>
      <c r="C687" s="97"/>
      <c r="D687" s="98"/>
      <c r="E687" s="99"/>
      <c r="F687" s="92"/>
      <c r="G687" s="93" t="b">
        <v>0</v>
      </c>
      <c r="H687" s="93"/>
      <c r="I687" s="90"/>
      <c r="J687" s="90"/>
      <c r="K687" s="90"/>
      <c r="L687" s="90"/>
      <c r="M687" s="90"/>
      <c r="N687" s="90"/>
      <c r="O687" s="90"/>
      <c r="P687" s="90"/>
      <c r="Q687" s="90"/>
      <c r="R687" s="90"/>
      <c r="S687" s="90"/>
      <c r="T687" s="90"/>
      <c r="U687" s="90"/>
      <c r="V687" s="90"/>
      <c r="W687" s="90"/>
      <c r="X687" s="90"/>
      <c r="Y687" s="90"/>
      <c r="Z687" s="90"/>
      <c r="AA687" s="90"/>
      <c r="AB687" s="90"/>
    </row>
    <row r="688" spans="1:28" ht="16">
      <c r="A688" s="100"/>
      <c r="B688" s="87"/>
      <c r="C688" s="94"/>
      <c r="D688" s="95"/>
      <c r="E688" s="96"/>
      <c r="F688" s="88"/>
      <c r="G688" s="89" t="b">
        <v>0</v>
      </c>
      <c r="H688" s="89"/>
      <c r="I688" s="90"/>
      <c r="J688" s="90"/>
      <c r="K688" s="90"/>
      <c r="L688" s="90"/>
      <c r="M688" s="90"/>
      <c r="N688" s="90"/>
      <c r="O688" s="90"/>
      <c r="P688" s="90"/>
      <c r="Q688" s="90"/>
      <c r="R688" s="90"/>
      <c r="S688" s="90"/>
      <c r="T688" s="90"/>
      <c r="U688" s="90"/>
      <c r="V688" s="90"/>
      <c r="W688" s="90"/>
      <c r="X688" s="90"/>
      <c r="Y688" s="90"/>
      <c r="Z688" s="90"/>
      <c r="AA688" s="90"/>
      <c r="AB688" s="90"/>
    </row>
    <row r="689" spans="1:28" ht="16">
      <c r="A689" s="100"/>
      <c r="B689" s="91"/>
      <c r="C689" s="97"/>
      <c r="D689" s="98"/>
      <c r="E689" s="99"/>
      <c r="F689" s="92"/>
      <c r="G689" s="93" t="b">
        <v>0</v>
      </c>
      <c r="H689" s="93"/>
      <c r="I689" s="90"/>
      <c r="J689" s="90"/>
      <c r="K689" s="90"/>
      <c r="L689" s="90"/>
      <c r="M689" s="90"/>
      <c r="N689" s="90"/>
      <c r="O689" s="90"/>
      <c r="P689" s="90"/>
      <c r="Q689" s="90"/>
      <c r="R689" s="90"/>
      <c r="S689" s="90"/>
      <c r="T689" s="90"/>
      <c r="U689" s="90"/>
      <c r="V689" s="90"/>
      <c r="W689" s="90"/>
      <c r="X689" s="90"/>
      <c r="Y689" s="90"/>
      <c r="Z689" s="90"/>
      <c r="AA689" s="90"/>
      <c r="AB689" s="90"/>
    </row>
    <row r="690" spans="1:28" ht="16">
      <c r="A690" s="100"/>
      <c r="B690" s="87"/>
      <c r="C690" s="94"/>
      <c r="D690" s="95"/>
      <c r="E690" s="96"/>
      <c r="F690" s="88"/>
      <c r="G690" s="89" t="b">
        <v>0</v>
      </c>
      <c r="H690" s="89"/>
      <c r="I690" s="90"/>
      <c r="J690" s="90"/>
      <c r="K690" s="90"/>
      <c r="L690" s="90"/>
      <c r="M690" s="90"/>
      <c r="N690" s="90"/>
      <c r="O690" s="90"/>
      <c r="P690" s="90"/>
      <c r="Q690" s="90"/>
      <c r="R690" s="90"/>
      <c r="S690" s="90"/>
      <c r="T690" s="90"/>
      <c r="U690" s="90"/>
      <c r="V690" s="90"/>
      <c r="W690" s="90"/>
      <c r="X690" s="90"/>
      <c r="Y690" s="90"/>
      <c r="Z690" s="90"/>
      <c r="AA690" s="90"/>
      <c r="AB690" s="90"/>
    </row>
    <row r="691" spans="1:28" ht="16">
      <c r="A691" s="100"/>
      <c r="B691" s="91"/>
      <c r="C691" s="97"/>
      <c r="D691" s="98"/>
      <c r="E691" s="99"/>
      <c r="F691" s="92"/>
      <c r="G691" s="93" t="b">
        <v>0</v>
      </c>
      <c r="H691" s="93"/>
      <c r="I691" s="90"/>
      <c r="J691" s="90"/>
      <c r="K691" s="90"/>
      <c r="L691" s="90"/>
      <c r="M691" s="90"/>
      <c r="N691" s="90"/>
      <c r="O691" s="90"/>
      <c r="P691" s="90"/>
      <c r="Q691" s="90"/>
      <c r="R691" s="90"/>
      <c r="S691" s="90"/>
      <c r="T691" s="90"/>
      <c r="U691" s="90"/>
      <c r="V691" s="90"/>
      <c r="W691" s="90"/>
      <c r="X691" s="90"/>
      <c r="Y691" s="90"/>
      <c r="Z691" s="90"/>
      <c r="AA691" s="90"/>
      <c r="AB691" s="90"/>
    </row>
    <row r="692" spans="1:28" ht="16">
      <c r="A692" s="100"/>
      <c r="B692" s="87"/>
      <c r="C692" s="94"/>
      <c r="D692" s="95"/>
      <c r="E692" s="96"/>
      <c r="F692" s="88"/>
      <c r="G692" s="89" t="b">
        <v>0</v>
      </c>
      <c r="H692" s="89"/>
      <c r="I692" s="90"/>
      <c r="J692" s="90"/>
      <c r="K692" s="90"/>
      <c r="L692" s="90"/>
      <c r="M692" s="90"/>
      <c r="N692" s="90"/>
      <c r="O692" s="90"/>
      <c r="P692" s="90"/>
      <c r="Q692" s="90"/>
      <c r="R692" s="90"/>
      <c r="S692" s="90"/>
      <c r="T692" s="90"/>
      <c r="U692" s="90"/>
      <c r="V692" s="90"/>
      <c r="W692" s="90"/>
      <c r="X692" s="90"/>
      <c r="Y692" s="90"/>
      <c r="Z692" s="90"/>
      <c r="AA692" s="90"/>
      <c r="AB692" s="90"/>
    </row>
    <row r="693" spans="1:28" ht="16">
      <c r="A693" s="100"/>
      <c r="B693" s="91"/>
      <c r="C693" s="97"/>
      <c r="D693" s="98"/>
      <c r="E693" s="99"/>
      <c r="F693" s="92"/>
      <c r="G693" s="93" t="b">
        <v>0</v>
      </c>
      <c r="H693" s="93"/>
      <c r="I693" s="90"/>
      <c r="J693" s="90"/>
      <c r="K693" s="90"/>
      <c r="L693" s="90"/>
      <c r="M693" s="90"/>
      <c r="N693" s="90"/>
      <c r="O693" s="90"/>
      <c r="P693" s="90"/>
      <c r="Q693" s="90"/>
      <c r="R693" s="90"/>
      <c r="S693" s="90"/>
      <c r="T693" s="90"/>
      <c r="U693" s="90"/>
      <c r="V693" s="90"/>
      <c r="W693" s="90"/>
      <c r="X693" s="90"/>
      <c r="Y693" s="90"/>
      <c r="Z693" s="90"/>
      <c r="AA693" s="90"/>
      <c r="AB693" s="90"/>
    </row>
    <row r="694" spans="1:28" ht="16">
      <c r="A694" s="100"/>
      <c r="B694" s="87"/>
      <c r="C694" s="94"/>
      <c r="D694" s="95"/>
      <c r="E694" s="96"/>
      <c r="F694" s="88"/>
      <c r="G694" s="89" t="b">
        <v>0</v>
      </c>
      <c r="H694" s="89"/>
      <c r="I694" s="90"/>
      <c r="J694" s="90"/>
      <c r="K694" s="90"/>
      <c r="L694" s="90"/>
      <c r="M694" s="90"/>
      <c r="N694" s="90"/>
      <c r="O694" s="90"/>
      <c r="P694" s="90"/>
      <c r="Q694" s="90"/>
      <c r="R694" s="90"/>
      <c r="S694" s="90"/>
      <c r="T694" s="90"/>
      <c r="U694" s="90"/>
      <c r="V694" s="90"/>
      <c r="W694" s="90"/>
      <c r="X694" s="90"/>
      <c r="Y694" s="90"/>
      <c r="Z694" s="90"/>
      <c r="AA694" s="90"/>
      <c r="AB694" s="90"/>
    </row>
    <row r="695" spans="1:28" ht="16">
      <c r="A695" s="100"/>
      <c r="B695" s="91"/>
      <c r="C695" s="97"/>
      <c r="D695" s="98"/>
      <c r="E695" s="99"/>
      <c r="F695" s="92"/>
      <c r="G695" s="93" t="b">
        <v>0</v>
      </c>
      <c r="H695" s="93"/>
      <c r="I695" s="90"/>
      <c r="J695" s="90"/>
      <c r="K695" s="90"/>
      <c r="L695" s="90"/>
      <c r="M695" s="90"/>
      <c r="N695" s="90"/>
      <c r="O695" s="90"/>
      <c r="P695" s="90"/>
      <c r="Q695" s="90"/>
      <c r="R695" s="90"/>
      <c r="S695" s="90"/>
      <c r="T695" s="90"/>
      <c r="U695" s="90"/>
      <c r="V695" s="90"/>
      <c r="W695" s="90"/>
      <c r="X695" s="90"/>
      <c r="Y695" s="90"/>
      <c r="Z695" s="90"/>
      <c r="AA695" s="90"/>
      <c r="AB695" s="90"/>
    </row>
    <row r="696" spans="1:28" ht="16">
      <c r="A696" s="100"/>
      <c r="B696" s="87"/>
      <c r="C696" s="94"/>
      <c r="D696" s="95"/>
      <c r="E696" s="96"/>
      <c r="F696" s="88"/>
      <c r="G696" s="89" t="b">
        <v>0</v>
      </c>
      <c r="H696" s="89"/>
      <c r="I696" s="90"/>
      <c r="J696" s="90"/>
      <c r="K696" s="90"/>
      <c r="L696" s="90"/>
      <c r="M696" s="90"/>
      <c r="N696" s="90"/>
      <c r="O696" s="90"/>
      <c r="P696" s="90"/>
      <c r="Q696" s="90"/>
      <c r="R696" s="90"/>
      <c r="S696" s="90"/>
      <c r="T696" s="90"/>
      <c r="U696" s="90"/>
      <c r="V696" s="90"/>
      <c r="W696" s="90"/>
      <c r="X696" s="90"/>
      <c r="Y696" s="90"/>
      <c r="Z696" s="90"/>
      <c r="AA696" s="90"/>
      <c r="AB696" s="90"/>
    </row>
    <row r="697" spans="1:28" ht="16">
      <c r="A697" s="100"/>
      <c r="B697" s="91"/>
      <c r="C697" s="97"/>
      <c r="D697" s="98"/>
      <c r="E697" s="99"/>
      <c r="F697" s="92"/>
      <c r="G697" s="93" t="b">
        <v>0</v>
      </c>
      <c r="H697" s="93"/>
      <c r="I697" s="90"/>
      <c r="J697" s="90"/>
      <c r="K697" s="90"/>
      <c r="L697" s="90"/>
      <c r="M697" s="90"/>
      <c r="N697" s="90"/>
      <c r="O697" s="90"/>
      <c r="P697" s="90"/>
      <c r="Q697" s="90"/>
      <c r="R697" s="90"/>
      <c r="S697" s="90"/>
      <c r="T697" s="90"/>
      <c r="U697" s="90"/>
      <c r="V697" s="90"/>
      <c r="W697" s="90"/>
      <c r="X697" s="90"/>
      <c r="Y697" s="90"/>
      <c r="Z697" s="90"/>
      <c r="AA697" s="90"/>
      <c r="AB697" s="90"/>
    </row>
    <row r="698" spans="1:28" ht="16">
      <c r="A698" s="100"/>
      <c r="B698" s="87"/>
      <c r="C698" s="94"/>
      <c r="D698" s="95"/>
      <c r="E698" s="96"/>
      <c r="F698" s="88"/>
      <c r="G698" s="89" t="b">
        <v>0</v>
      </c>
      <c r="H698" s="89"/>
      <c r="I698" s="90"/>
      <c r="J698" s="90"/>
      <c r="K698" s="90"/>
      <c r="L698" s="90"/>
      <c r="M698" s="90"/>
      <c r="N698" s="90"/>
      <c r="O698" s="90"/>
      <c r="P698" s="90"/>
      <c r="Q698" s="90"/>
      <c r="R698" s="90"/>
      <c r="S698" s="90"/>
      <c r="T698" s="90"/>
      <c r="U698" s="90"/>
      <c r="V698" s="90"/>
      <c r="W698" s="90"/>
      <c r="X698" s="90"/>
      <c r="Y698" s="90"/>
      <c r="Z698" s="90"/>
      <c r="AA698" s="90"/>
      <c r="AB698" s="90"/>
    </row>
    <row r="699" spans="1:28" ht="16">
      <c r="A699" s="100"/>
      <c r="B699" s="91"/>
      <c r="C699" s="97"/>
      <c r="D699" s="98"/>
      <c r="E699" s="99"/>
      <c r="F699" s="92"/>
      <c r="G699" s="93" t="b">
        <v>0</v>
      </c>
      <c r="H699" s="93"/>
      <c r="I699" s="90"/>
      <c r="J699" s="90"/>
      <c r="K699" s="90"/>
      <c r="L699" s="90"/>
      <c r="M699" s="90"/>
      <c r="N699" s="90"/>
      <c r="O699" s="90"/>
      <c r="P699" s="90"/>
      <c r="Q699" s="90"/>
      <c r="R699" s="90"/>
      <c r="S699" s="90"/>
      <c r="T699" s="90"/>
      <c r="U699" s="90"/>
      <c r="V699" s="90"/>
      <c r="W699" s="90"/>
      <c r="X699" s="90"/>
      <c r="Y699" s="90"/>
      <c r="Z699" s="90"/>
      <c r="AA699" s="90"/>
      <c r="AB699" s="90"/>
    </row>
    <row r="700" spans="1:28" ht="16">
      <c r="A700" s="100"/>
      <c r="B700" s="87"/>
      <c r="C700" s="94"/>
      <c r="D700" s="95"/>
      <c r="E700" s="96"/>
      <c r="F700" s="88"/>
      <c r="G700" s="89" t="b">
        <v>0</v>
      </c>
      <c r="H700" s="89"/>
      <c r="I700" s="90"/>
      <c r="J700" s="90"/>
      <c r="K700" s="90"/>
      <c r="L700" s="90"/>
      <c r="M700" s="90"/>
      <c r="N700" s="90"/>
      <c r="O700" s="90"/>
      <c r="P700" s="90"/>
      <c r="Q700" s="90"/>
      <c r="R700" s="90"/>
      <c r="S700" s="90"/>
      <c r="T700" s="90"/>
      <c r="U700" s="90"/>
      <c r="V700" s="90"/>
      <c r="W700" s="90"/>
      <c r="X700" s="90"/>
      <c r="Y700" s="90"/>
      <c r="Z700" s="90"/>
      <c r="AA700" s="90"/>
      <c r="AB700" s="90"/>
    </row>
    <row r="701" spans="1:28" ht="16">
      <c r="A701" s="100"/>
      <c r="B701" s="91"/>
      <c r="C701" s="97"/>
      <c r="D701" s="98"/>
      <c r="E701" s="99"/>
      <c r="F701" s="92"/>
      <c r="G701" s="93" t="b">
        <v>0</v>
      </c>
      <c r="H701" s="93"/>
      <c r="I701" s="90"/>
      <c r="J701" s="90"/>
      <c r="K701" s="90"/>
      <c r="L701" s="90"/>
      <c r="M701" s="90"/>
      <c r="N701" s="90"/>
      <c r="O701" s="90"/>
      <c r="P701" s="90"/>
      <c r="Q701" s="90"/>
      <c r="R701" s="90"/>
      <c r="S701" s="90"/>
      <c r="T701" s="90"/>
      <c r="U701" s="90"/>
      <c r="V701" s="90"/>
      <c r="W701" s="90"/>
      <c r="X701" s="90"/>
      <c r="Y701" s="90"/>
      <c r="Z701" s="90"/>
      <c r="AA701" s="90"/>
      <c r="AB701" s="90"/>
    </row>
    <row r="702" spans="1:28" ht="16">
      <c r="A702" s="100"/>
      <c r="B702" s="87"/>
      <c r="C702" s="94"/>
      <c r="D702" s="95"/>
      <c r="E702" s="96"/>
      <c r="F702" s="88"/>
      <c r="G702" s="89" t="b">
        <v>0</v>
      </c>
      <c r="H702" s="89"/>
      <c r="I702" s="90"/>
      <c r="J702" s="90"/>
      <c r="K702" s="90"/>
      <c r="L702" s="90"/>
      <c r="M702" s="90"/>
      <c r="N702" s="90"/>
      <c r="O702" s="90"/>
      <c r="P702" s="90"/>
      <c r="Q702" s="90"/>
      <c r="R702" s="90"/>
      <c r="S702" s="90"/>
      <c r="T702" s="90"/>
      <c r="U702" s="90"/>
      <c r="V702" s="90"/>
      <c r="W702" s="90"/>
      <c r="X702" s="90"/>
      <c r="Y702" s="90"/>
      <c r="Z702" s="90"/>
      <c r="AA702" s="90"/>
      <c r="AB702" s="90"/>
    </row>
    <row r="703" spans="1:28" ht="16">
      <c r="A703" s="100"/>
      <c r="B703" s="91"/>
      <c r="C703" s="97"/>
      <c r="D703" s="98"/>
      <c r="E703" s="99"/>
      <c r="F703" s="92"/>
      <c r="G703" s="93" t="b">
        <v>0</v>
      </c>
      <c r="H703" s="93"/>
      <c r="I703" s="90"/>
      <c r="J703" s="90"/>
      <c r="K703" s="90"/>
      <c r="L703" s="90"/>
      <c r="M703" s="90"/>
      <c r="N703" s="90"/>
      <c r="O703" s="90"/>
      <c r="P703" s="90"/>
      <c r="Q703" s="90"/>
      <c r="R703" s="90"/>
      <c r="S703" s="90"/>
      <c r="T703" s="90"/>
      <c r="U703" s="90"/>
      <c r="V703" s="90"/>
      <c r="W703" s="90"/>
      <c r="X703" s="90"/>
      <c r="Y703" s="90"/>
      <c r="Z703" s="90"/>
      <c r="AA703" s="90"/>
      <c r="AB703" s="90"/>
    </row>
    <row r="704" spans="1:28" ht="16">
      <c r="A704" s="100"/>
      <c r="B704" s="87"/>
      <c r="C704" s="94"/>
      <c r="D704" s="95"/>
      <c r="E704" s="96"/>
      <c r="F704" s="88"/>
      <c r="G704" s="89" t="b">
        <v>0</v>
      </c>
      <c r="H704" s="89"/>
      <c r="I704" s="90"/>
      <c r="J704" s="90"/>
      <c r="K704" s="90"/>
      <c r="L704" s="90"/>
      <c r="M704" s="90"/>
      <c r="N704" s="90"/>
      <c r="O704" s="90"/>
      <c r="P704" s="90"/>
      <c r="Q704" s="90"/>
      <c r="R704" s="90"/>
      <c r="S704" s="90"/>
      <c r="T704" s="90"/>
      <c r="U704" s="90"/>
      <c r="V704" s="90"/>
      <c r="W704" s="90"/>
      <c r="X704" s="90"/>
      <c r="Y704" s="90"/>
      <c r="Z704" s="90"/>
      <c r="AA704" s="90"/>
      <c r="AB704" s="90"/>
    </row>
    <row r="705" spans="1:28" ht="16">
      <c r="A705" s="100"/>
      <c r="B705" s="91"/>
      <c r="C705" s="97"/>
      <c r="D705" s="98"/>
      <c r="E705" s="99"/>
      <c r="F705" s="92"/>
      <c r="G705" s="93" t="b">
        <v>0</v>
      </c>
      <c r="H705" s="93"/>
      <c r="I705" s="90"/>
      <c r="J705" s="90"/>
      <c r="K705" s="90"/>
      <c r="L705" s="90"/>
      <c r="M705" s="90"/>
      <c r="N705" s="90"/>
      <c r="O705" s="90"/>
      <c r="P705" s="90"/>
      <c r="Q705" s="90"/>
      <c r="R705" s="90"/>
      <c r="S705" s="90"/>
      <c r="T705" s="90"/>
      <c r="U705" s="90"/>
      <c r="V705" s="90"/>
      <c r="W705" s="90"/>
      <c r="X705" s="90"/>
      <c r="Y705" s="90"/>
      <c r="Z705" s="90"/>
      <c r="AA705" s="90"/>
      <c r="AB705" s="90"/>
    </row>
    <row r="706" spans="1:28" ht="16">
      <c r="A706" s="100"/>
      <c r="B706" s="87"/>
      <c r="C706" s="94"/>
      <c r="D706" s="95"/>
      <c r="E706" s="96"/>
      <c r="F706" s="88"/>
      <c r="G706" s="89" t="b">
        <v>0</v>
      </c>
      <c r="H706" s="89"/>
      <c r="I706" s="90"/>
      <c r="J706" s="90"/>
      <c r="K706" s="90"/>
      <c r="L706" s="90"/>
      <c r="M706" s="90"/>
      <c r="N706" s="90"/>
      <c r="O706" s="90"/>
      <c r="P706" s="90"/>
      <c r="Q706" s="90"/>
      <c r="R706" s="90"/>
      <c r="S706" s="90"/>
      <c r="T706" s="90"/>
      <c r="U706" s="90"/>
      <c r="V706" s="90"/>
      <c r="W706" s="90"/>
      <c r="X706" s="90"/>
      <c r="Y706" s="90"/>
      <c r="Z706" s="90"/>
      <c r="AA706" s="90"/>
      <c r="AB706" s="90"/>
    </row>
    <row r="707" spans="1:28" ht="16">
      <c r="A707" s="100"/>
      <c r="B707" s="91"/>
      <c r="C707" s="97"/>
      <c r="D707" s="98"/>
      <c r="E707" s="99"/>
      <c r="F707" s="92"/>
      <c r="G707" s="93" t="b">
        <v>0</v>
      </c>
      <c r="H707" s="93"/>
      <c r="I707" s="90"/>
      <c r="J707" s="90"/>
      <c r="K707" s="90"/>
      <c r="L707" s="90"/>
      <c r="M707" s="90"/>
      <c r="N707" s="90"/>
      <c r="O707" s="90"/>
      <c r="P707" s="90"/>
      <c r="Q707" s="90"/>
      <c r="R707" s="90"/>
      <c r="S707" s="90"/>
      <c r="T707" s="90"/>
      <c r="U707" s="90"/>
      <c r="V707" s="90"/>
      <c r="W707" s="90"/>
      <c r="X707" s="90"/>
      <c r="Y707" s="90"/>
      <c r="Z707" s="90"/>
      <c r="AA707" s="90"/>
      <c r="AB707" s="90"/>
    </row>
    <row r="708" spans="1:28" ht="16">
      <c r="A708" s="100"/>
      <c r="B708" s="87"/>
      <c r="C708" s="94"/>
      <c r="D708" s="95"/>
      <c r="E708" s="96"/>
      <c r="F708" s="88"/>
      <c r="G708" s="89" t="b">
        <v>0</v>
      </c>
      <c r="H708" s="89"/>
      <c r="I708" s="90"/>
      <c r="J708" s="90"/>
      <c r="K708" s="90"/>
      <c r="L708" s="90"/>
      <c r="M708" s="90"/>
      <c r="N708" s="90"/>
      <c r="O708" s="90"/>
      <c r="P708" s="90"/>
      <c r="Q708" s="90"/>
      <c r="R708" s="90"/>
      <c r="S708" s="90"/>
      <c r="T708" s="90"/>
      <c r="U708" s="90"/>
      <c r="V708" s="90"/>
      <c r="W708" s="90"/>
      <c r="X708" s="90"/>
      <c r="Y708" s="90"/>
      <c r="Z708" s="90"/>
      <c r="AA708" s="90"/>
      <c r="AB708" s="90"/>
    </row>
    <row r="709" spans="1:28" ht="16">
      <c r="A709" s="100"/>
      <c r="B709" s="91"/>
      <c r="C709" s="97"/>
      <c r="D709" s="98"/>
      <c r="E709" s="99"/>
      <c r="F709" s="92"/>
      <c r="G709" s="93" t="b">
        <v>0</v>
      </c>
      <c r="H709" s="93"/>
      <c r="I709" s="90"/>
      <c r="J709" s="90"/>
      <c r="K709" s="90"/>
      <c r="L709" s="90"/>
      <c r="M709" s="90"/>
      <c r="N709" s="90"/>
      <c r="O709" s="90"/>
      <c r="P709" s="90"/>
      <c r="Q709" s="90"/>
      <c r="R709" s="90"/>
      <c r="S709" s="90"/>
      <c r="T709" s="90"/>
      <c r="U709" s="90"/>
      <c r="V709" s="90"/>
      <c r="W709" s="90"/>
      <c r="X709" s="90"/>
      <c r="Y709" s="90"/>
      <c r="Z709" s="90"/>
      <c r="AA709" s="90"/>
      <c r="AB709" s="90"/>
    </row>
    <row r="710" spans="1:28" ht="16">
      <c r="A710" s="100"/>
      <c r="B710" s="87"/>
      <c r="C710" s="94"/>
      <c r="D710" s="95"/>
      <c r="E710" s="96"/>
      <c r="F710" s="88"/>
      <c r="G710" s="89" t="b">
        <v>0</v>
      </c>
      <c r="H710" s="89"/>
      <c r="I710" s="90"/>
      <c r="J710" s="90"/>
      <c r="K710" s="90"/>
      <c r="L710" s="90"/>
      <c r="M710" s="90"/>
      <c r="N710" s="90"/>
      <c r="O710" s="90"/>
      <c r="P710" s="90"/>
      <c r="Q710" s="90"/>
      <c r="R710" s="90"/>
      <c r="S710" s="90"/>
      <c r="T710" s="90"/>
      <c r="U710" s="90"/>
      <c r="V710" s="90"/>
      <c r="W710" s="90"/>
      <c r="X710" s="90"/>
      <c r="Y710" s="90"/>
      <c r="Z710" s="90"/>
      <c r="AA710" s="90"/>
      <c r="AB710" s="90"/>
    </row>
    <row r="711" spans="1:28" ht="16">
      <c r="A711" s="100"/>
      <c r="B711" s="91"/>
      <c r="C711" s="97"/>
      <c r="D711" s="98"/>
      <c r="E711" s="99"/>
      <c r="F711" s="92"/>
      <c r="G711" s="93" t="b">
        <v>0</v>
      </c>
      <c r="H711" s="93"/>
      <c r="I711" s="90"/>
      <c r="J711" s="90"/>
      <c r="K711" s="90"/>
      <c r="L711" s="90"/>
      <c r="M711" s="90"/>
      <c r="N711" s="90"/>
      <c r="O711" s="90"/>
      <c r="P711" s="90"/>
      <c r="Q711" s="90"/>
      <c r="R711" s="90"/>
      <c r="S711" s="90"/>
      <c r="T711" s="90"/>
      <c r="U711" s="90"/>
      <c r="V711" s="90"/>
      <c r="W711" s="90"/>
      <c r="X711" s="90"/>
      <c r="Y711" s="90"/>
      <c r="Z711" s="90"/>
      <c r="AA711" s="90"/>
      <c r="AB711" s="90"/>
    </row>
    <row r="712" spans="1:28" ht="16">
      <c r="A712" s="100"/>
      <c r="B712" s="87"/>
      <c r="C712" s="94"/>
      <c r="D712" s="95"/>
      <c r="E712" s="96"/>
      <c r="F712" s="88"/>
      <c r="G712" s="89" t="b">
        <v>0</v>
      </c>
      <c r="H712" s="89"/>
      <c r="I712" s="90"/>
      <c r="J712" s="90"/>
      <c r="K712" s="90"/>
      <c r="L712" s="90"/>
      <c r="M712" s="90"/>
      <c r="N712" s="90"/>
      <c r="O712" s="90"/>
      <c r="P712" s="90"/>
      <c r="Q712" s="90"/>
      <c r="R712" s="90"/>
      <c r="S712" s="90"/>
      <c r="T712" s="90"/>
      <c r="U712" s="90"/>
      <c r="V712" s="90"/>
      <c r="W712" s="90"/>
      <c r="X712" s="90"/>
      <c r="Y712" s="90"/>
      <c r="Z712" s="90"/>
      <c r="AA712" s="90"/>
      <c r="AB712" s="90"/>
    </row>
    <row r="713" spans="1:28" ht="16">
      <c r="A713" s="100"/>
      <c r="B713" s="91"/>
      <c r="C713" s="97"/>
      <c r="D713" s="98"/>
      <c r="E713" s="99"/>
      <c r="F713" s="92"/>
      <c r="G713" s="93" t="b">
        <v>0</v>
      </c>
      <c r="H713" s="93"/>
      <c r="I713" s="90"/>
      <c r="J713" s="90"/>
      <c r="K713" s="90"/>
      <c r="L713" s="90"/>
      <c r="M713" s="90"/>
      <c r="N713" s="90"/>
      <c r="O713" s="90"/>
      <c r="P713" s="90"/>
      <c r="Q713" s="90"/>
      <c r="R713" s="90"/>
      <c r="S713" s="90"/>
      <c r="T713" s="90"/>
      <c r="U713" s="90"/>
      <c r="V713" s="90"/>
      <c r="W713" s="90"/>
      <c r="X713" s="90"/>
      <c r="Y713" s="90"/>
      <c r="Z713" s="90"/>
      <c r="AA713" s="90"/>
      <c r="AB713" s="90"/>
    </row>
    <row r="714" spans="1:28" ht="16">
      <c r="A714" s="100"/>
      <c r="B714" s="87"/>
      <c r="C714" s="94"/>
      <c r="D714" s="95"/>
      <c r="E714" s="96"/>
      <c r="F714" s="88"/>
      <c r="G714" s="89" t="b">
        <v>0</v>
      </c>
      <c r="H714" s="89"/>
      <c r="I714" s="90"/>
      <c r="J714" s="90"/>
      <c r="K714" s="90"/>
      <c r="L714" s="90"/>
      <c r="M714" s="90"/>
      <c r="N714" s="90"/>
      <c r="O714" s="90"/>
      <c r="P714" s="90"/>
      <c r="Q714" s="90"/>
      <c r="R714" s="90"/>
      <c r="S714" s="90"/>
      <c r="T714" s="90"/>
      <c r="U714" s="90"/>
      <c r="V714" s="90"/>
      <c r="W714" s="90"/>
      <c r="X714" s="90"/>
      <c r="Y714" s="90"/>
      <c r="Z714" s="90"/>
      <c r="AA714" s="90"/>
      <c r="AB714" s="90"/>
    </row>
    <row r="715" spans="1:28" ht="16">
      <c r="A715" s="100"/>
      <c r="B715" s="91"/>
      <c r="C715" s="97"/>
      <c r="D715" s="98"/>
      <c r="E715" s="99"/>
      <c r="F715" s="92"/>
      <c r="G715" s="93" t="b">
        <v>0</v>
      </c>
      <c r="H715" s="93"/>
      <c r="I715" s="90"/>
      <c r="J715" s="90"/>
      <c r="K715" s="90"/>
      <c r="L715" s="90"/>
      <c r="M715" s="90"/>
      <c r="N715" s="90"/>
      <c r="O715" s="90"/>
      <c r="P715" s="90"/>
      <c r="Q715" s="90"/>
      <c r="R715" s="90"/>
      <c r="S715" s="90"/>
      <c r="T715" s="90"/>
      <c r="U715" s="90"/>
      <c r="V715" s="90"/>
      <c r="W715" s="90"/>
      <c r="X715" s="90"/>
      <c r="Y715" s="90"/>
      <c r="Z715" s="90"/>
      <c r="AA715" s="90"/>
      <c r="AB715" s="90"/>
    </row>
    <row r="716" spans="1:28" ht="16">
      <c r="A716" s="100"/>
      <c r="B716" s="87"/>
      <c r="C716" s="94"/>
      <c r="D716" s="95"/>
      <c r="E716" s="96"/>
      <c r="F716" s="88"/>
      <c r="G716" s="89" t="b">
        <v>0</v>
      </c>
      <c r="H716" s="89"/>
      <c r="I716" s="90"/>
      <c r="J716" s="90"/>
      <c r="K716" s="90"/>
      <c r="L716" s="90"/>
      <c r="M716" s="90"/>
      <c r="N716" s="90"/>
      <c r="O716" s="90"/>
      <c r="P716" s="90"/>
      <c r="Q716" s="90"/>
      <c r="R716" s="90"/>
      <c r="S716" s="90"/>
      <c r="T716" s="90"/>
      <c r="U716" s="90"/>
      <c r="V716" s="90"/>
      <c r="W716" s="90"/>
      <c r="X716" s="90"/>
      <c r="Y716" s="90"/>
      <c r="Z716" s="90"/>
      <c r="AA716" s="90"/>
      <c r="AB716" s="90"/>
    </row>
    <row r="717" spans="1:28" ht="16">
      <c r="A717" s="100"/>
      <c r="B717" s="91"/>
      <c r="C717" s="97"/>
      <c r="D717" s="98"/>
      <c r="E717" s="99"/>
      <c r="F717" s="92"/>
      <c r="G717" s="93" t="b">
        <v>0</v>
      </c>
      <c r="H717" s="93"/>
      <c r="I717" s="90"/>
      <c r="J717" s="90"/>
      <c r="K717" s="90"/>
      <c r="L717" s="90"/>
      <c r="M717" s="90"/>
      <c r="N717" s="90"/>
      <c r="O717" s="90"/>
      <c r="P717" s="90"/>
      <c r="Q717" s="90"/>
      <c r="R717" s="90"/>
      <c r="S717" s="90"/>
      <c r="T717" s="90"/>
      <c r="U717" s="90"/>
      <c r="V717" s="90"/>
      <c r="W717" s="90"/>
      <c r="X717" s="90"/>
      <c r="Y717" s="90"/>
      <c r="Z717" s="90"/>
      <c r="AA717" s="90"/>
      <c r="AB717" s="90"/>
    </row>
    <row r="718" spans="1:28" ht="16">
      <c r="A718" s="100"/>
      <c r="B718" s="87"/>
      <c r="C718" s="94"/>
      <c r="D718" s="95"/>
      <c r="E718" s="96"/>
      <c r="F718" s="88"/>
      <c r="G718" s="89" t="b">
        <v>0</v>
      </c>
      <c r="H718" s="89"/>
      <c r="I718" s="90"/>
      <c r="J718" s="90"/>
      <c r="K718" s="90"/>
      <c r="L718" s="90"/>
      <c r="M718" s="90"/>
      <c r="N718" s="90"/>
      <c r="O718" s="90"/>
      <c r="P718" s="90"/>
      <c r="Q718" s="90"/>
      <c r="R718" s="90"/>
      <c r="S718" s="90"/>
      <c r="T718" s="90"/>
      <c r="U718" s="90"/>
      <c r="V718" s="90"/>
      <c r="W718" s="90"/>
      <c r="X718" s="90"/>
      <c r="Y718" s="90"/>
      <c r="Z718" s="90"/>
      <c r="AA718" s="90"/>
      <c r="AB718" s="90"/>
    </row>
    <row r="719" spans="1:28" ht="16">
      <c r="A719" s="100"/>
      <c r="B719" s="91"/>
      <c r="C719" s="97"/>
      <c r="D719" s="98"/>
      <c r="E719" s="99"/>
      <c r="F719" s="92"/>
      <c r="G719" s="93" t="b">
        <v>0</v>
      </c>
      <c r="H719" s="93"/>
      <c r="I719" s="90"/>
      <c r="J719" s="90"/>
      <c r="K719" s="90"/>
      <c r="L719" s="90"/>
      <c r="M719" s="90"/>
      <c r="N719" s="90"/>
      <c r="O719" s="90"/>
      <c r="P719" s="90"/>
      <c r="Q719" s="90"/>
      <c r="R719" s="90"/>
      <c r="S719" s="90"/>
      <c r="T719" s="90"/>
      <c r="U719" s="90"/>
      <c r="V719" s="90"/>
      <c r="W719" s="90"/>
      <c r="X719" s="90"/>
      <c r="Y719" s="90"/>
      <c r="Z719" s="90"/>
      <c r="AA719" s="90"/>
      <c r="AB719" s="90"/>
    </row>
    <row r="720" spans="1:28" ht="16">
      <c r="A720" s="100"/>
      <c r="B720" s="87"/>
      <c r="C720" s="94"/>
      <c r="D720" s="95"/>
      <c r="E720" s="96"/>
      <c r="F720" s="88"/>
      <c r="G720" s="89" t="b">
        <v>0</v>
      </c>
      <c r="H720" s="89"/>
      <c r="I720" s="90"/>
      <c r="J720" s="90"/>
      <c r="K720" s="90"/>
      <c r="L720" s="90"/>
      <c r="M720" s="90"/>
      <c r="N720" s="90"/>
      <c r="O720" s="90"/>
      <c r="P720" s="90"/>
      <c r="Q720" s="90"/>
      <c r="R720" s="90"/>
      <c r="S720" s="90"/>
      <c r="T720" s="90"/>
      <c r="U720" s="90"/>
      <c r="V720" s="90"/>
      <c r="W720" s="90"/>
      <c r="X720" s="90"/>
      <c r="Y720" s="90"/>
      <c r="Z720" s="90"/>
      <c r="AA720" s="90"/>
      <c r="AB720" s="90"/>
    </row>
    <row r="721" spans="1:28" ht="16">
      <c r="A721" s="100"/>
      <c r="B721" s="91"/>
      <c r="C721" s="97"/>
      <c r="D721" s="98"/>
      <c r="E721" s="99"/>
      <c r="F721" s="92"/>
      <c r="G721" s="93" t="b">
        <v>0</v>
      </c>
      <c r="H721" s="93"/>
      <c r="I721" s="90"/>
      <c r="J721" s="90"/>
      <c r="K721" s="90"/>
      <c r="L721" s="90"/>
      <c r="M721" s="90"/>
      <c r="N721" s="90"/>
      <c r="O721" s="90"/>
      <c r="P721" s="90"/>
      <c r="Q721" s="90"/>
      <c r="R721" s="90"/>
      <c r="S721" s="90"/>
      <c r="T721" s="90"/>
      <c r="U721" s="90"/>
      <c r="V721" s="90"/>
      <c r="W721" s="90"/>
      <c r="X721" s="90"/>
      <c r="Y721" s="90"/>
      <c r="Z721" s="90"/>
      <c r="AA721" s="90"/>
      <c r="AB721" s="90"/>
    </row>
    <row r="722" spans="1:28" ht="16">
      <c r="A722" s="100"/>
      <c r="B722" s="87"/>
      <c r="C722" s="94"/>
      <c r="D722" s="95"/>
      <c r="E722" s="96"/>
      <c r="F722" s="88"/>
      <c r="G722" s="89" t="b">
        <v>0</v>
      </c>
      <c r="H722" s="89"/>
      <c r="I722" s="90"/>
      <c r="J722" s="90"/>
      <c r="K722" s="90"/>
      <c r="L722" s="90"/>
      <c r="M722" s="90"/>
      <c r="N722" s="90"/>
      <c r="O722" s="90"/>
      <c r="P722" s="90"/>
      <c r="Q722" s="90"/>
      <c r="R722" s="90"/>
      <c r="S722" s="90"/>
      <c r="T722" s="90"/>
      <c r="U722" s="90"/>
      <c r="V722" s="90"/>
      <c r="W722" s="90"/>
      <c r="X722" s="90"/>
      <c r="Y722" s="90"/>
      <c r="Z722" s="90"/>
      <c r="AA722" s="90"/>
      <c r="AB722" s="90"/>
    </row>
    <row r="723" spans="1:28" ht="16">
      <c r="A723" s="100"/>
      <c r="B723" s="91"/>
      <c r="C723" s="97"/>
      <c r="D723" s="98"/>
      <c r="E723" s="99"/>
      <c r="F723" s="92"/>
      <c r="G723" s="93" t="b">
        <v>0</v>
      </c>
      <c r="H723" s="93"/>
      <c r="I723" s="90"/>
      <c r="J723" s="90"/>
      <c r="K723" s="90"/>
      <c r="L723" s="90"/>
      <c r="M723" s="90"/>
      <c r="N723" s="90"/>
      <c r="O723" s="90"/>
      <c r="P723" s="90"/>
      <c r="Q723" s="90"/>
      <c r="R723" s="90"/>
      <c r="S723" s="90"/>
      <c r="T723" s="90"/>
      <c r="U723" s="90"/>
      <c r="V723" s="90"/>
      <c r="W723" s="90"/>
      <c r="X723" s="90"/>
      <c r="Y723" s="90"/>
      <c r="Z723" s="90"/>
      <c r="AA723" s="90"/>
      <c r="AB723" s="90"/>
    </row>
    <row r="724" spans="1:28" ht="16">
      <c r="A724" s="100"/>
      <c r="B724" s="87"/>
      <c r="C724" s="94"/>
      <c r="D724" s="95"/>
      <c r="E724" s="96"/>
      <c r="F724" s="88"/>
      <c r="G724" s="89" t="b">
        <v>0</v>
      </c>
      <c r="H724" s="89"/>
      <c r="I724" s="90"/>
      <c r="J724" s="90"/>
      <c r="K724" s="90"/>
      <c r="L724" s="90"/>
      <c r="M724" s="90"/>
      <c r="N724" s="90"/>
      <c r="O724" s="90"/>
      <c r="P724" s="90"/>
      <c r="Q724" s="90"/>
      <c r="R724" s="90"/>
      <c r="S724" s="90"/>
      <c r="T724" s="90"/>
      <c r="U724" s="90"/>
      <c r="V724" s="90"/>
      <c r="W724" s="90"/>
      <c r="X724" s="90"/>
      <c r="Y724" s="90"/>
      <c r="Z724" s="90"/>
      <c r="AA724" s="90"/>
      <c r="AB724" s="90"/>
    </row>
    <row r="725" spans="1:28" ht="16">
      <c r="A725" s="100"/>
      <c r="B725" s="91"/>
      <c r="C725" s="97"/>
      <c r="D725" s="98"/>
      <c r="E725" s="99"/>
      <c r="F725" s="92"/>
      <c r="G725" s="93" t="b">
        <v>0</v>
      </c>
      <c r="H725" s="93"/>
      <c r="I725" s="90"/>
      <c r="J725" s="90"/>
      <c r="K725" s="90"/>
      <c r="L725" s="90"/>
      <c r="M725" s="90"/>
      <c r="N725" s="90"/>
      <c r="O725" s="90"/>
      <c r="P725" s="90"/>
      <c r="Q725" s="90"/>
      <c r="R725" s="90"/>
      <c r="S725" s="90"/>
      <c r="T725" s="90"/>
      <c r="U725" s="90"/>
      <c r="V725" s="90"/>
      <c r="W725" s="90"/>
      <c r="X725" s="90"/>
      <c r="Y725" s="90"/>
      <c r="Z725" s="90"/>
      <c r="AA725" s="90"/>
      <c r="AB725" s="90"/>
    </row>
    <row r="726" spans="1:28" ht="16">
      <c r="A726" s="100"/>
      <c r="B726" s="87"/>
      <c r="C726" s="94"/>
      <c r="D726" s="95"/>
      <c r="E726" s="96"/>
      <c r="F726" s="88"/>
      <c r="G726" s="89" t="b">
        <v>0</v>
      </c>
      <c r="H726" s="89"/>
      <c r="I726" s="90"/>
      <c r="J726" s="90"/>
      <c r="K726" s="90"/>
      <c r="L726" s="90"/>
      <c r="M726" s="90"/>
      <c r="N726" s="90"/>
      <c r="O726" s="90"/>
      <c r="P726" s="90"/>
      <c r="Q726" s="90"/>
      <c r="R726" s="90"/>
      <c r="S726" s="90"/>
      <c r="T726" s="90"/>
      <c r="U726" s="90"/>
      <c r="V726" s="90"/>
      <c r="W726" s="90"/>
      <c r="X726" s="90"/>
      <c r="Y726" s="90"/>
      <c r="Z726" s="90"/>
      <c r="AA726" s="90"/>
      <c r="AB726" s="90"/>
    </row>
    <row r="727" spans="1:28" ht="16">
      <c r="A727" s="100"/>
      <c r="B727" s="91"/>
      <c r="C727" s="97"/>
      <c r="D727" s="98"/>
      <c r="E727" s="99"/>
      <c r="F727" s="92"/>
      <c r="G727" s="93" t="b">
        <v>0</v>
      </c>
      <c r="H727" s="93"/>
      <c r="I727" s="90"/>
      <c r="J727" s="90"/>
      <c r="K727" s="90"/>
      <c r="L727" s="90"/>
      <c r="M727" s="90"/>
      <c r="N727" s="90"/>
      <c r="O727" s="90"/>
      <c r="P727" s="90"/>
      <c r="Q727" s="90"/>
      <c r="R727" s="90"/>
      <c r="S727" s="90"/>
      <c r="T727" s="90"/>
      <c r="U727" s="90"/>
      <c r="V727" s="90"/>
      <c r="W727" s="90"/>
      <c r="X727" s="90"/>
      <c r="Y727" s="90"/>
      <c r="Z727" s="90"/>
      <c r="AA727" s="90"/>
      <c r="AB727" s="90"/>
    </row>
    <row r="728" spans="1:28" ht="16">
      <c r="A728" s="100"/>
      <c r="B728" s="87"/>
      <c r="C728" s="94"/>
      <c r="D728" s="95"/>
      <c r="E728" s="96"/>
      <c r="F728" s="88"/>
      <c r="G728" s="89" t="b">
        <v>0</v>
      </c>
      <c r="H728" s="89"/>
      <c r="I728" s="90"/>
      <c r="J728" s="90"/>
      <c r="K728" s="90"/>
      <c r="L728" s="90"/>
      <c r="M728" s="90"/>
      <c r="N728" s="90"/>
      <c r="O728" s="90"/>
      <c r="P728" s="90"/>
      <c r="Q728" s="90"/>
      <c r="R728" s="90"/>
      <c r="S728" s="90"/>
      <c r="T728" s="90"/>
      <c r="U728" s="90"/>
      <c r="V728" s="90"/>
      <c r="W728" s="90"/>
      <c r="X728" s="90"/>
      <c r="Y728" s="90"/>
      <c r="Z728" s="90"/>
      <c r="AA728" s="90"/>
      <c r="AB728" s="90"/>
    </row>
    <row r="729" spans="1:28" ht="16">
      <c r="A729" s="100"/>
      <c r="B729" s="91"/>
      <c r="C729" s="97"/>
      <c r="D729" s="98"/>
      <c r="E729" s="99"/>
      <c r="F729" s="92"/>
      <c r="G729" s="93" t="b">
        <v>0</v>
      </c>
      <c r="H729" s="93"/>
      <c r="I729" s="90"/>
      <c r="J729" s="90"/>
      <c r="K729" s="90"/>
      <c r="L729" s="90"/>
      <c r="M729" s="90"/>
      <c r="N729" s="90"/>
      <c r="O729" s="90"/>
      <c r="P729" s="90"/>
      <c r="Q729" s="90"/>
      <c r="R729" s="90"/>
      <c r="S729" s="90"/>
      <c r="T729" s="90"/>
      <c r="U729" s="90"/>
      <c r="V729" s="90"/>
      <c r="W729" s="90"/>
      <c r="X729" s="90"/>
      <c r="Y729" s="90"/>
      <c r="Z729" s="90"/>
      <c r="AA729" s="90"/>
      <c r="AB729" s="90"/>
    </row>
    <row r="730" spans="1:28" ht="16">
      <c r="A730" s="100"/>
      <c r="B730" s="87"/>
      <c r="C730" s="94"/>
      <c r="D730" s="95"/>
      <c r="E730" s="96"/>
      <c r="F730" s="88"/>
      <c r="G730" s="89" t="b">
        <v>0</v>
      </c>
      <c r="H730" s="89"/>
      <c r="I730" s="90"/>
      <c r="J730" s="90"/>
      <c r="K730" s="90"/>
      <c r="L730" s="90"/>
      <c r="M730" s="90"/>
      <c r="N730" s="90"/>
      <c r="O730" s="90"/>
      <c r="P730" s="90"/>
      <c r="Q730" s="90"/>
      <c r="R730" s="90"/>
      <c r="S730" s="90"/>
      <c r="T730" s="90"/>
      <c r="U730" s="90"/>
      <c r="V730" s="90"/>
      <c r="W730" s="90"/>
      <c r="X730" s="90"/>
      <c r="Y730" s="90"/>
      <c r="Z730" s="90"/>
      <c r="AA730" s="90"/>
      <c r="AB730" s="90"/>
    </row>
    <row r="731" spans="1:28" ht="16">
      <c r="A731" s="100"/>
      <c r="B731" s="91"/>
      <c r="C731" s="97"/>
      <c r="D731" s="98"/>
      <c r="E731" s="99"/>
      <c r="F731" s="92"/>
      <c r="G731" s="93" t="b">
        <v>0</v>
      </c>
      <c r="H731" s="93"/>
      <c r="I731" s="90"/>
      <c r="J731" s="90"/>
      <c r="K731" s="90"/>
      <c r="L731" s="90"/>
      <c r="M731" s="90"/>
      <c r="N731" s="90"/>
      <c r="O731" s="90"/>
      <c r="P731" s="90"/>
      <c r="Q731" s="90"/>
      <c r="R731" s="90"/>
      <c r="S731" s="90"/>
      <c r="T731" s="90"/>
      <c r="U731" s="90"/>
      <c r="V731" s="90"/>
      <c r="W731" s="90"/>
      <c r="X731" s="90"/>
      <c r="Y731" s="90"/>
      <c r="Z731" s="90"/>
      <c r="AA731" s="90"/>
      <c r="AB731" s="90"/>
    </row>
    <row r="732" spans="1:28" ht="16">
      <c r="A732" s="100"/>
      <c r="B732" s="87"/>
      <c r="C732" s="94"/>
      <c r="D732" s="95"/>
      <c r="E732" s="96"/>
      <c r="F732" s="88"/>
      <c r="G732" s="89" t="b">
        <v>0</v>
      </c>
      <c r="H732" s="89"/>
      <c r="I732" s="90"/>
      <c r="J732" s="90"/>
      <c r="K732" s="90"/>
      <c r="L732" s="90"/>
      <c r="M732" s="90"/>
      <c r="N732" s="90"/>
      <c r="O732" s="90"/>
      <c r="P732" s="90"/>
      <c r="Q732" s="90"/>
      <c r="R732" s="90"/>
      <c r="S732" s="90"/>
      <c r="T732" s="90"/>
      <c r="U732" s="90"/>
      <c r="V732" s="90"/>
      <c r="W732" s="90"/>
      <c r="X732" s="90"/>
      <c r="Y732" s="90"/>
      <c r="Z732" s="90"/>
      <c r="AA732" s="90"/>
      <c r="AB732" s="90"/>
    </row>
    <row r="733" spans="1:28" ht="16">
      <c r="A733" s="100"/>
      <c r="B733" s="91"/>
      <c r="C733" s="97"/>
      <c r="D733" s="98"/>
      <c r="E733" s="99"/>
      <c r="F733" s="92"/>
      <c r="G733" s="93" t="b">
        <v>0</v>
      </c>
      <c r="H733" s="93"/>
      <c r="I733" s="90"/>
      <c r="J733" s="90"/>
      <c r="K733" s="90"/>
      <c r="L733" s="90"/>
      <c r="M733" s="90"/>
      <c r="N733" s="90"/>
      <c r="O733" s="90"/>
      <c r="P733" s="90"/>
      <c r="Q733" s="90"/>
      <c r="R733" s="90"/>
      <c r="S733" s="90"/>
      <c r="T733" s="90"/>
      <c r="U733" s="90"/>
      <c r="V733" s="90"/>
      <c r="W733" s="90"/>
      <c r="X733" s="90"/>
      <c r="Y733" s="90"/>
      <c r="Z733" s="90"/>
      <c r="AA733" s="90"/>
      <c r="AB733" s="90"/>
    </row>
    <row r="734" spans="1:28" ht="16">
      <c r="A734" s="100"/>
      <c r="B734" s="87"/>
      <c r="C734" s="94"/>
      <c r="D734" s="95"/>
      <c r="E734" s="96"/>
      <c r="F734" s="88"/>
      <c r="G734" s="89" t="b">
        <v>0</v>
      </c>
      <c r="H734" s="89"/>
      <c r="I734" s="90"/>
      <c r="J734" s="90"/>
      <c r="K734" s="90"/>
      <c r="L734" s="90"/>
      <c r="M734" s="90"/>
      <c r="N734" s="90"/>
      <c r="O734" s="90"/>
      <c r="P734" s="90"/>
      <c r="Q734" s="90"/>
      <c r="R734" s="90"/>
      <c r="S734" s="90"/>
      <c r="T734" s="90"/>
      <c r="U734" s="90"/>
      <c r="V734" s="90"/>
      <c r="W734" s="90"/>
      <c r="X734" s="90"/>
      <c r="Y734" s="90"/>
      <c r="Z734" s="90"/>
      <c r="AA734" s="90"/>
      <c r="AB734" s="90"/>
    </row>
    <row r="735" spans="1:28" ht="16">
      <c r="A735" s="100"/>
      <c r="B735" s="91"/>
      <c r="C735" s="97"/>
      <c r="D735" s="98"/>
      <c r="E735" s="99"/>
      <c r="F735" s="92"/>
      <c r="G735" s="93" t="b">
        <v>0</v>
      </c>
      <c r="H735" s="93"/>
      <c r="I735" s="90"/>
      <c r="J735" s="90"/>
      <c r="K735" s="90"/>
      <c r="L735" s="90"/>
      <c r="M735" s="90"/>
      <c r="N735" s="90"/>
      <c r="O735" s="90"/>
      <c r="P735" s="90"/>
      <c r="Q735" s="90"/>
      <c r="R735" s="90"/>
      <c r="S735" s="90"/>
      <c r="T735" s="90"/>
      <c r="U735" s="90"/>
      <c r="V735" s="90"/>
      <c r="W735" s="90"/>
      <c r="X735" s="90"/>
      <c r="Y735" s="90"/>
      <c r="Z735" s="90"/>
      <c r="AA735" s="90"/>
      <c r="AB735" s="90"/>
    </row>
    <row r="736" spans="1:28" ht="16">
      <c r="A736" s="100"/>
      <c r="B736" s="87"/>
      <c r="C736" s="94"/>
      <c r="D736" s="95"/>
      <c r="E736" s="96"/>
      <c r="F736" s="88"/>
      <c r="G736" s="89" t="b">
        <v>0</v>
      </c>
      <c r="H736" s="89"/>
      <c r="I736" s="90"/>
      <c r="J736" s="90"/>
      <c r="K736" s="90"/>
      <c r="L736" s="90"/>
      <c r="M736" s="90"/>
      <c r="N736" s="90"/>
      <c r="O736" s="90"/>
      <c r="P736" s="90"/>
      <c r="Q736" s="90"/>
      <c r="R736" s="90"/>
      <c r="S736" s="90"/>
      <c r="T736" s="90"/>
      <c r="U736" s="90"/>
      <c r="V736" s="90"/>
      <c r="W736" s="90"/>
      <c r="X736" s="90"/>
      <c r="Y736" s="90"/>
      <c r="Z736" s="90"/>
      <c r="AA736" s="90"/>
      <c r="AB736" s="90"/>
    </row>
    <row r="737" spans="1:28" ht="16">
      <c r="A737" s="100"/>
      <c r="B737" s="91"/>
      <c r="C737" s="97"/>
      <c r="D737" s="98"/>
      <c r="E737" s="99"/>
      <c r="F737" s="92"/>
      <c r="G737" s="93" t="b">
        <v>0</v>
      </c>
      <c r="H737" s="93"/>
      <c r="I737" s="90"/>
      <c r="J737" s="90"/>
      <c r="K737" s="90"/>
      <c r="L737" s="90"/>
      <c r="M737" s="90"/>
      <c r="N737" s="90"/>
      <c r="O737" s="90"/>
      <c r="P737" s="90"/>
      <c r="Q737" s="90"/>
      <c r="R737" s="90"/>
      <c r="S737" s="90"/>
      <c r="T737" s="90"/>
      <c r="U737" s="90"/>
      <c r="V737" s="90"/>
      <c r="W737" s="90"/>
      <c r="X737" s="90"/>
      <c r="Y737" s="90"/>
      <c r="Z737" s="90"/>
      <c r="AA737" s="90"/>
      <c r="AB737" s="90"/>
    </row>
    <row r="738" spans="1:28" ht="16">
      <c r="A738" s="100"/>
      <c r="B738" s="87"/>
      <c r="C738" s="94"/>
      <c r="D738" s="95"/>
      <c r="E738" s="96"/>
      <c r="F738" s="88"/>
      <c r="G738" s="89" t="b">
        <v>0</v>
      </c>
      <c r="H738" s="89"/>
      <c r="I738" s="90"/>
      <c r="J738" s="90"/>
      <c r="K738" s="90"/>
      <c r="L738" s="90"/>
      <c r="M738" s="90"/>
      <c r="N738" s="90"/>
      <c r="O738" s="90"/>
      <c r="P738" s="90"/>
      <c r="Q738" s="90"/>
      <c r="R738" s="90"/>
      <c r="S738" s="90"/>
      <c r="T738" s="90"/>
      <c r="U738" s="90"/>
      <c r="V738" s="90"/>
      <c r="W738" s="90"/>
      <c r="X738" s="90"/>
      <c r="Y738" s="90"/>
      <c r="Z738" s="90"/>
      <c r="AA738" s="90"/>
      <c r="AB738" s="90"/>
    </row>
    <row r="739" spans="1:28" ht="16">
      <c r="A739" s="100"/>
      <c r="B739" s="91"/>
      <c r="C739" s="97"/>
      <c r="D739" s="98"/>
      <c r="E739" s="99"/>
      <c r="F739" s="92"/>
      <c r="G739" s="93" t="b">
        <v>0</v>
      </c>
      <c r="H739" s="93"/>
      <c r="I739" s="90"/>
      <c r="J739" s="90"/>
      <c r="K739" s="90"/>
      <c r="L739" s="90"/>
      <c r="M739" s="90"/>
      <c r="N739" s="90"/>
      <c r="O739" s="90"/>
      <c r="P739" s="90"/>
      <c r="Q739" s="90"/>
      <c r="R739" s="90"/>
      <c r="S739" s="90"/>
      <c r="T739" s="90"/>
      <c r="U739" s="90"/>
      <c r="V739" s="90"/>
      <c r="W739" s="90"/>
      <c r="X739" s="90"/>
      <c r="Y739" s="90"/>
      <c r="Z739" s="90"/>
      <c r="AA739" s="90"/>
      <c r="AB739" s="90"/>
    </row>
    <row r="740" spans="1:28" ht="16">
      <c r="A740" s="100"/>
      <c r="B740" s="87"/>
      <c r="C740" s="94"/>
      <c r="D740" s="95"/>
      <c r="E740" s="96"/>
      <c r="F740" s="88"/>
      <c r="G740" s="89" t="b">
        <v>0</v>
      </c>
      <c r="H740" s="89"/>
      <c r="I740" s="90"/>
      <c r="J740" s="90"/>
      <c r="K740" s="90"/>
      <c r="L740" s="90"/>
      <c r="M740" s="90"/>
      <c r="N740" s="90"/>
      <c r="O740" s="90"/>
      <c r="P740" s="90"/>
      <c r="Q740" s="90"/>
      <c r="R740" s="90"/>
      <c r="S740" s="90"/>
      <c r="T740" s="90"/>
      <c r="U740" s="90"/>
      <c r="V740" s="90"/>
      <c r="W740" s="90"/>
      <c r="X740" s="90"/>
      <c r="Y740" s="90"/>
      <c r="Z740" s="90"/>
      <c r="AA740" s="90"/>
      <c r="AB740" s="90"/>
    </row>
    <row r="741" spans="1:28" ht="16">
      <c r="A741" s="100"/>
      <c r="B741" s="91"/>
      <c r="C741" s="97"/>
      <c r="D741" s="98"/>
      <c r="E741" s="99"/>
      <c r="F741" s="92"/>
      <c r="G741" s="93" t="b">
        <v>0</v>
      </c>
      <c r="H741" s="93"/>
      <c r="I741" s="90"/>
      <c r="J741" s="90"/>
      <c r="K741" s="90"/>
      <c r="L741" s="90"/>
      <c r="M741" s="90"/>
      <c r="N741" s="90"/>
      <c r="O741" s="90"/>
      <c r="P741" s="90"/>
      <c r="Q741" s="90"/>
      <c r="R741" s="90"/>
      <c r="S741" s="90"/>
      <c r="T741" s="90"/>
      <c r="U741" s="90"/>
      <c r="V741" s="90"/>
      <c r="W741" s="90"/>
      <c r="X741" s="90"/>
      <c r="Y741" s="90"/>
      <c r="Z741" s="90"/>
      <c r="AA741" s="90"/>
      <c r="AB741" s="90"/>
    </row>
    <row r="742" spans="1:28" ht="16">
      <c r="A742" s="100"/>
      <c r="B742" s="87"/>
      <c r="C742" s="94"/>
      <c r="D742" s="95"/>
      <c r="E742" s="96"/>
      <c r="F742" s="88"/>
      <c r="G742" s="89" t="b">
        <v>0</v>
      </c>
      <c r="H742" s="89"/>
      <c r="I742" s="90"/>
      <c r="J742" s="90"/>
      <c r="K742" s="90"/>
      <c r="L742" s="90"/>
      <c r="M742" s="90"/>
      <c r="N742" s="90"/>
      <c r="O742" s="90"/>
      <c r="P742" s="90"/>
      <c r="Q742" s="90"/>
      <c r="R742" s="90"/>
      <c r="S742" s="90"/>
      <c r="T742" s="90"/>
      <c r="U742" s="90"/>
      <c r="V742" s="90"/>
      <c r="W742" s="90"/>
      <c r="X742" s="90"/>
      <c r="Y742" s="90"/>
      <c r="Z742" s="90"/>
      <c r="AA742" s="90"/>
      <c r="AB742" s="90"/>
    </row>
    <row r="743" spans="1:28" ht="16">
      <c r="A743" s="100"/>
      <c r="B743" s="91"/>
      <c r="C743" s="97"/>
      <c r="D743" s="98"/>
      <c r="E743" s="99"/>
      <c r="F743" s="92"/>
      <c r="G743" s="93" t="b">
        <v>0</v>
      </c>
      <c r="H743" s="93"/>
      <c r="I743" s="90"/>
      <c r="J743" s="90"/>
      <c r="K743" s="90"/>
      <c r="L743" s="90"/>
      <c r="M743" s="90"/>
      <c r="N743" s="90"/>
      <c r="O743" s="90"/>
      <c r="P743" s="90"/>
      <c r="Q743" s="90"/>
      <c r="R743" s="90"/>
      <c r="S743" s="90"/>
      <c r="T743" s="90"/>
      <c r="U743" s="90"/>
      <c r="V743" s="90"/>
      <c r="W743" s="90"/>
      <c r="X743" s="90"/>
      <c r="Y743" s="90"/>
      <c r="Z743" s="90"/>
      <c r="AA743" s="90"/>
      <c r="AB743" s="90"/>
    </row>
    <row r="744" spans="1:28" ht="16">
      <c r="A744" s="100"/>
      <c r="B744" s="87"/>
      <c r="C744" s="94"/>
      <c r="D744" s="95"/>
      <c r="E744" s="96"/>
      <c r="F744" s="88"/>
      <c r="G744" s="89" t="b">
        <v>0</v>
      </c>
      <c r="H744" s="89"/>
      <c r="I744" s="90"/>
      <c r="J744" s="90"/>
      <c r="K744" s="90"/>
      <c r="L744" s="90"/>
      <c r="M744" s="90"/>
      <c r="N744" s="90"/>
      <c r="O744" s="90"/>
      <c r="P744" s="90"/>
      <c r="Q744" s="90"/>
      <c r="R744" s="90"/>
      <c r="S744" s="90"/>
      <c r="T744" s="90"/>
      <c r="U744" s="90"/>
      <c r="V744" s="90"/>
      <c r="W744" s="90"/>
      <c r="X744" s="90"/>
      <c r="Y744" s="90"/>
      <c r="Z744" s="90"/>
      <c r="AA744" s="90"/>
      <c r="AB744" s="90"/>
    </row>
    <row r="745" spans="1:28" ht="16">
      <c r="A745" s="100"/>
      <c r="B745" s="91"/>
      <c r="C745" s="97"/>
      <c r="D745" s="98"/>
      <c r="E745" s="99"/>
      <c r="F745" s="92"/>
      <c r="G745" s="93" t="b">
        <v>0</v>
      </c>
      <c r="H745" s="93"/>
      <c r="I745" s="90"/>
      <c r="J745" s="90"/>
      <c r="K745" s="90"/>
      <c r="L745" s="90"/>
      <c r="M745" s="90"/>
      <c r="N745" s="90"/>
      <c r="O745" s="90"/>
      <c r="P745" s="90"/>
      <c r="Q745" s="90"/>
      <c r="R745" s="90"/>
      <c r="S745" s="90"/>
      <c r="T745" s="90"/>
      <c r="U745" s="90"/>
      <c r="V745" s="90"/>
      <c r="W745" s="90"/>
      <c r="X745" s="90"/>
      <c r="Y745" s="90"/>
      <c r="Z745" s="90"/>
      <c r="AA745" s="90"/>
      <c r="AB745" s="90"/>
    </row>
    <row r="746" spans="1:28" ht="16">
      <c r="A746" s="100"/>
      <c r="B746" s="87"/>
      <c r="C746" s="94"/>
      <c r="D746" s="95"/>
      <c r="E746" s="96"/>
      <c r="F746" s="88"/>
      <c r="G746" s="89" t="b">
        <v>0</v>
      </c>
      <c r="H746" s="89"/>
      <c r="I746" s="90"/>
      <c r="J746" s="90"/>
      <c r="K746" s="90"/>
      <c r="L746" s="90"/>
      <c r="M746" s="90"/>
      <c r="N746" s="90"/>
      <c r="O746" s="90"/>
      <c r="P746" s="90"/>
      <c r="Q746" s="90"/>
      <c r="R746" s="90"/>
      <c r="S746" s="90"/>
      <c r="T746" s="90"/>
      <c r="U746" s="90"/>
      <c r="V746" s="90"/>
      <c r="W746" s="90"/>
      <c r="X746" s="90"/>
      <c r="Y746" s="90"/>
      <c r="Z746" s="90"/>
      <c r="AA746" s="90"/>
      <c r="AB746" s="90"/>
    </row>
    <row r="747" spans="1:28" ht="16">
      <c r="A747" s="100"/>
      <c r="B747" s="91"/>
      <c r="C747" s="97"/>
      <c r="D747" s="98"/>
      <c r="E747" s="99"/>
      <c r="F747" s="92"/>
      <c r="G747" s="93" t="b">
        <v>0</v>
      </c>
      <c r="H747" s="93"/>
      <c r="I747" s="90"/>
      <c r="J747" s="90"/>
      <c r="K747" s="90"/>
      <c r="L747" s="90"/>
      <c r="M747" s="90"/>
      <c r="N747" s="90"/>
      <c r="O747" s="90"/>
      <c r="P747" s="90"/>
      <c r="Q747" s="90"/>
      <c r="R747" s="90"/>
      <c r="S747" s="90"/>
      <c r="T747" s="90"/>
      <c r="U747" s="90"/>
      <c r="V747" s="90"/>
      <c r="W747" s="90"/>
      <c r="X747" s="90"/>
      <c r="Y747" s="90"/>
      <c r="Z747" s="90"/>
      <c r="AA747" s="90"/>
      <c r="AB747" s="90"/>
    </row>
    <row r="748" spans="1:28" ht="16">
      <c r="A748" s="100"/>
      <c r="B748" s="87"/>
      <c r="C748" s="94"/>
      <c r="D748" s="95"/>
      <c r="E748" s="96"/>
      <c r="F748" s="88"/>
      <c r="G748" s="89" t="b">
        <v>0</v>
      </c>
      <c r="H748" s="89"/>
      <c r="I748" s="90"/>
      <c r="J748" s="90"/>
      <c r="K748" s="90"/>
      <c r="L748" s="90"/>
      <c r="M748" s="90"/>
      <c r="N748" s="90"/>
      <c r="O748" s="90"/>
      <c r="P748" s="90"/>
      <c r="Q748" s="90"/>
      <c r="R748" s="90"/>
      <c r="S748" s="90"/>
      <c r="T748" s="90"/>
      <c r="U748" s="90"/>
      <c r="V748" s="90"/>
      <c r="W748" s="90"/>
      <c r="X748" s="90"/>
      <c r="Y748" s="90"/>
      <c r="Z748" s="90"/>
      <c r="AA748" s="90"/>
      <c r="AB748" s="90"/>
    </row>
    <row r="749" spans="1:28" ht="16">
      <c r="A749" s="100"/>
      <c r="B749" s="91"/>
      <c r="C749" s="97"/>
      <c r="D749" s="98"/>
      <c r="E749" s="99"/>
      <c r="F749" s="92"/>
      <c r="G749" s="93" t="b">
        <v>0</v>
      </c>
      <c r="H749" s="93"/>
      <c r="I749" s="90"/>
      <c r="J749" s="90"/>
      <c r="K749" s="90"/>
      <c r="L749" s="90"/>
      <c r="M749" s="90"/>
      <c r="N749" s="90"/>
      <c r="O749" s="90"/>
      <c r="P749" s="90"/>
      <c r="Q749" s="90"/>
      <c r="R749" s="90"/>
      <c r="S749" s="90"/>
      <c r="T749" s="90"/>
      <c r="U749" s="90"/>
      <c r="V749" s="90"/>
      <c r="W749" s="90"/>
      <c r="X749" s="90"/>
      <c r="Y749" s="90"/>
      <c r="Z749" s="90"/>
      <c r="AA749" s="90"/>
      <c r="AB749" s="90"/>
    </row>
    <row r="750" spans="1:28" ht="16">
      <c r="A750" s="100"/>
      <c r="B750" s="87"/>
      <c r="C750" s="94"/>
      <c r="D750" s="95"/>
      <c r="E750" s="96"/>
      <c r="F750" s="88"/>
      <c r="G750" s="89" t="b">
        <v>0</v>
      </c>
      <c r="H750" s="89"/>
      <c r="I750" s="90"/>
      <c r="J750" s="90"/>
      <c r="K750" s="90"/>
      <c r="L750" s="90"/>
      <c r="M750" s="90"/>
      <c r="N750" s="90"/>
      <c r="O750" s="90"/>
      <c r="P750" s="90"/>
      <c r="Q750" s="90"/>
      <c r="R750" s="90"/>
      <c r="S750" s="90"/>
      <c r="T750" s="90"/>
      <c r="U750" s="90"/>
      <c r="V750" s="90"/>
      <c r="W750" s="90"/>
      <c r="X750" s="90"/>
      <c r="Y750" s="90"/>
      <c r="Z750" s="90"/>
      <c r="AA750" s="90"/>
      <c r="AB750" s="90"/>
    </row>
    <row r="751" spans="1:28" ht="16">
      <c r="A751" s="100"/>
      <c r="B751" s="91"/>
      <c r="C751" s="97"/>
      <c r="D751" s="98"/>
      <c r="E751" s="99"/>
      <c r="F751" s="92"/>
      <c r="G751" s="93" t="b">
        <v>0</v>
      </c>
      <c r="H751" s="93"/>
      <c r="I751" s="90"/>
      <c r="J751" s="90"/>
      <c r="K751" s="90"/>
      <c r="L751" s="90"/>
      <c r="M751" s="90"/>
      <c r="N751" s="90"/>
      <c r="O751" s="90"/>
      <c r="P751" s="90"/>
      <c r="Q751" s="90"/>
      <c r="R751" s="90"/>
      <c r="S751" s="90"/>
      <c r="T751" s="90"/>
      <c r="U751" s="90"/>
      <c r="V751" s="90"/>
      <c r="W751" s="90"/>
      <c r="X751" s="90"/>
      <c r="Y751" s="90"/>
      <c r="Z751" s="90"/>
      <c r="AA751" s="90"/>
      <c r="AB751" s="90"/>
    </row>
    <row r="752" spans="1:28" ht="16">
      <c r="A752" s="100"/>
      <c r="B752" s="87"/>
      <c r="C752" s="94"/>
      <c r="D752" s="95"/>
      <c r="E752" s="96"/>
      <c r="F752" s="88"/>
      <c r="G752" s="89" t="b">
        <v>0</v>
      </c>
      <c r="H752" s="89"/>
      <c r="I752" s="90"/>
      <c r="J752" s="90"/>
      <c r="K752" s="90"/>
      <c r="L752" s="90"/>
      <c r="M752" s="90"/>
      <c r="N752" s="90"/>
      <c r="O752" s="90"/>
      <c r="P752" s="90"/>
      <c r="Q752" s="90"/>
      <c r="R752" s="90"/>
      <c r="S752" s="90"/>
      <c r="T752" s="90"/>
      <c r="U752" s="90"/>
      <c r="V752" s="90"/>
      <c r="W752" s="90"/>
      <c r="X752" s="90"/>
      <c r="Y752" s="90"/>
      <c r="Z752" s="90"/>
      <c r="AA752" s="90"/>
      <c r="AB752" s="90"/>
    </row>
    <row r="753" spans="1:28" ht="16">
      <c r="A753" s="100"/>
      <c r="B753" s="91"/>
      <c r="C753" s="97"/>
      <c r="D753" s="98"/>
      <c r="E753" s="99"/>
      <c r="F753" s="92"/>
      <c r="G753" s="93" t="b">
        <v>0</v>
      </c>
      <c r="H753" s="93"/>
      <c r="I753" s="90"/>
      <c r="J753" s="90"/>
      <c r="K753" s="90"/>
      <c r="L753" s="90"/>
      <c r="M753" s="90"/>
      <c r="N753" s="90"/>
      <c r="O753" s="90"/>
      <c r="P753" s="90"/>
      <c r="Q753" s="90"/>
      <c r="R753" s="90"/>
      <c r="S753" s="90"/>
      <c r="T753" s="90"/>
      <c r="U753" s="90"/>
      <c r="V753" s="90"/>
      <c r="W753" s="90"/>
      <c r="X753" s="90"/>
      <c r="Y753" s="90"/>
      <c r="Z753" s="90"/>
      <c r="AA753" s="90"/>
      <c r="AB753" s="90"/>
    </row>
    <row r="754" spans="1:28" ht="16">
      <c r="A754" s="100"/>
      <c r="B754" s="87"/>
      <c r="C754" s="94"/>
      <c r="D754" s="95"/>
      <c r="E754" s="96"/>
      <c r="F754" s="88"/>
      <c r="G754" s="89" t="b">
        <v>0</v>
      </c>
      <c r="H754" s="89"/>
      <c r="I754" s="90"/>
      <c r="J754" s="90"/>
      <c r="K754" s="90"/>
      <c r="L754" s="90"/>
      <c r="M754" s="90"/>
      <c r="N754" s="90"/>
      <c r="O754" s="90"/>
      <c r="P754" s="90"/>
      <c r="Q754" s="90"/>
      <c r="R754" s="90"/>
      <c r="S754" s="90"/>
      <c r="T754" s="90"/>
      <c r="U754" s="90"/>
      <c r="V754" s="90"/>
      <c r="W754" s="90"/>
      <c r="X754" s="90"/>
      <c r="Y754" s="90"/>
      <c r="Z754" s="90"/>
      <c r="AA754" s="90"/>
      <c r="AB754" s="90"/>
    </row>
    <row r="755" spans="1:28" ht="16">
      <c r="A755" s="100"/>
      <c r="B755" s="91"/>
      <c r="C755" s="97"/>
      <c r="D755" s="98"/>
      <c r="E755" s="99"/>
      <c r="F755" s="92"/>
      <c r="G755" s="93" t="b">
        <v>0</v>
      </c>
      <c r="H755" s="93"/>
      <c r="I755" s="90"/>
      <c r="J755" s="90"/>
      <c r="K755" s="90"/>
      <c r="L755" s="90"/>
      <c r="M755" s="90"/>
      <c r="N755" s="90"/>
      <c r="O755" s="90"/>
      <c r="P755" s="90"/>
      <c r="Q755" s="90"/>
      <c r="R755" s="90"/>
      <c r="S755" s="90"/>
      <c r="T755" s="90"/>
      <c r="U755" s="90"/>
      <c r="V755" s="90"/>
      <c r="W755" s="90"/>
      <c r="X755" s="90"/>
      <c r="Y755" s="90"/>
      <c r="Z755" s="90"/>
      <c r="AA755" s="90"/>
      <c r="AB755" s="90"/>
    </row>
    <row r="756" spans="1:28" ht="16">
      <c r="A756" s="100"/>
      <c r="B756" s="87"/>
      <c r="C756" s="94"/>
      <c r="D756" s="95"/>
      <c r="E756" s="96"/>
      <c r="F756" s="88"/>
      <c r="G756" s="89" t="b">
        <v>0</v>
      </c>
      <c r="H756" s="89"/>
      <c r="I756" s="90"/>
      <c r="J756" s="90"/>
      <c r="K756" s="90"/>
      <c r="L756" s="90"/>
      <c r="M756" s="90"/>
      <c r="N756" s="90"/>
      <c r="O756" s="90"/>
      <c r="P756" s="90"/>
      <c r="Q756" s="90"/>
      <c r="R756" s="90"/>
      <c r="S756" s="90"/>
      <c r="T756" s="90"/>
      <c r="U756" s="90"/>
      <c r="V756" s="90"/>
      <c r="W756" s="90"/>
      <c r="X756" s="90"/>
      <c r="Y756" s="90"/>
      <c r="Z756" s="90"/>
      <c r="AA756" s="90"/>
      <c r="AB756" s="90"/>
    </row>
    <row r="757" spans="1:28" ht="16">
      <c r="A757" s="100"/>
      <c r="B757" s="91"/>
      <c r="C757" s="97"/>
      <c r="D757" s="98"/>
      <c r="E757" s="99"/>
      <c r="F757" s="92"/>
      <c r="G757" s="93" t="b">
        <v>0</v>
      </c>
      <c r="H757" s="93"/>
      <c r="I757" s="90"/>
      <c r="J757" s="90"/>
      <c r="K757" s="90"/>
      <c r="L757" s="90"/>
      <c r="M757" s="90"/>
      <c r="N757" s="90"/>
      <c r="O757" s="90"/>
      <c r="P757" s="90"/>
      <c r="Q757" s="90"/>
      <c r="R757" s="90"/>
      <c r="S757" s="90"/>
      <c r="T757" s="90"/>
      <c r="U757" s="90"/>
      <c r="V757" s="90"/>
      <c r="W757" s="90"/>
      <c r="X757" s="90"/>
      <c r="Y757" s="90"/>
      <c r="Z757" s="90"/>
      <c r="AA757" s="90"/>
      <c r="AB757" s="90"/>
    </row>
    <row r="758" spans="1:28" ht="16">
      <c r="A758" s="100"/>
      <c r="B758" s="87"/>
      <c r="C758" s="94"/>
      <c r="D758" s="95"/>
      <c r="E758" s="96"/>
      <c r="F758" s="88"/>
      <c r="G758" s="89" t="b">
        <v>0</v>
      </c>
      <c r="H758" s="89"/>
      <c r="I758" s="90"/>
      <c r="J758" s="90"/>
      <c r="K758" s="90"/>
      <c r="L758" s="90"/>
      <c r="M758" s="90"/>
      <c r="N758" s="90"/>
      <c r="O758" s="90"/>
      <c r="P758" s="90"/>
      <c r="Q758" s="90"/>
      <c r="R758" s="90"/>
      <c r="S758" s="90"/>
      <c r="T758" s="90"/>
      <c r="U758" s="90"/>
      <c r="V758" s="90"/>
      <c r="W758" s="90"/>
      <c r="X758" s="90"/>
      <c r="Y758" s="90"/>
      <c r="Z758" s="90"/>
      <c r="AA758" s="90"/>
      <c r="AB758" s="90"/>
    </row>
    <row r="759" spans="1:28" ht="16">
      <c r="A759" s="100"/>
      <c r="B759" s="91"/>
      <c r="C759" s="97"/>
      <c r="D759" s="98"/>
      <c r="E759" s="99"/>
      <c r="F759" s="92"/>
      <c r="G759" s="93" t="b">
        <v>0</v>
      </c>
      <c r="H759" s="93"/>
      <c r="I759" s="90"/>
      <c r="J759" s="90"/>
      <c r="K759" s="90"/>
      <c r="L759" s="90"/>
      <c r="M759" s="90"/>
      <c r="N759" s="90"/>
      <c r="O759" s="90"/>
      <c r="P759" s="90"/>
      <c r="Q759" s="90"/>
      <c r="R759" s="90"/>
      <c r="S759" s="90"/>
      <c r="T759" s="90"/>
      <c r="U759" s="90"/>
      <c r="V759" s="90"/>
      <c r="W759" s="90"/>
      <c r="X759" s="90"/>
      <c r="Y759" s="90"/>
      <c r="Z759" s="90"/>
      <c r="AA759" s="90"/>
      <c r="AB759" s="90"/>
    </row>
    <row r="760" spans="1:28" ht="16">
      <c r="A760" s="100"/>
      <c r="B760" s="87"/>
      <c r="C760" s="94"/>
      <c r="D760" s="95"/>
      <c r="E760" s="96"/>
      <c r="F760" s="88"/>
      <c r="G760" s="89" t="b">
        <v>0</v>
      </c>
      <c r="H760" s="89"/>
      <c r="I760" s="90"/>
      <c r="J760" s="90"/>
      <c r="K760" s="90"/>
      <c r="L760" s="90"/>
      <c r="M760" s="90"/>
      <c r="N760" s="90"/>
      <c r="O760" s="90"/>
      <c r="P760" s="90"/>
      <c r="Q760" s="90"/>
      <c r="R760" s="90"/>
      <c r="S760" s="90"/>
      <c r="T760" s="90"/>
      <c r="U760" s="90"/>
      <c r="V760" s="90"/>
      <c r="W760" s="90"/>
      <c r="X760" s="90"/>
      <c r="Y760" s="90"/>
      <c r="Z760" s="90"/>
      <c r="AA760" s="90"/>
      <c r="AB760" s="90"/>
    </row>
    <row r="761" spans="1:28" ht="16">
      <c r="A761" s="100"/>
      <c r="B761" s="91"/>
      <c r="C761" s="97"/>
      <c r="D761" s="98"/>
      <c r="E761" s="99"/>
      <c r="F761" s="92"/>
      <c r="G761" s="93" t="b">
        <v>0</v>
      </c>
      <c r="H761" s="93"/>
      <c r="I761" s="90"/>
      <c r="J761" s="90"/>
      <c r="K761" s="90"/>
      <c r="L761" s="90"/>
      <c r="M761" s="90"/>
      <c r="N761" s="90"/>
      <c r="O761" s="90"/>
      <c r="P761" s="90"/>
      <c r="Q761" s="90"/>
      <c r="R761" s="90"/>
      <c r="S761" s="90"/>
      <c r="T761" s="90"/>
      <c r="U761" s="90"/>
      <c r="V761" s="90"/>
      <c r="W761" s="90"/>
      <c r="X761" s="90"/>
      <c r="Y761" s="90"/>
      <c r="Z761" s="90"/>
      <c r="AA761" s="90"/>
      <c r="AB761" s="90"/>
    </row>
    <row r="762" spans="1:28" ht="16">
      <c r="A762" s="100"/>
      <c r="B762" s="87"/>
      <c r="C762" s="94"/>
      <c r="D762" s="95"/>
      <c r="E762" s="96"/>
      <c r="F762" s="88"/>
      <c r="G762" s="89" t="b">
        <v>0</v>
      </c>
      <c r="H762" s="89"/>
      <c r="I762" s="90"/>
      <c r="J762" s="90"/>
      <c r="K762" s="90"/>
      <c r="L762" s="90"/>
      <c r="M762" s="90"/>
      <c r="N762" s="90"/>
      <c r="O762" s="90"/>
      <c r="P762" s="90"/>
      <c r="Q762" s="90"/>
      <c r="R762" s="90"/>
      <c r="S762" s="90"/>
      <c r="T762" s="90"/>
      <c r="U762" s="90"/>
      <c r="V762" s="90"/>
      <c r="W762" s="90"/>
      <c r="X762" s="90"/>
      <c r="Y762" s="90"/>
      <c r="Z762" s="90"/>
      <c r="AA762" s="90"/>
      <c r="AB762" s="90"/>
    </row>
    <row r="763" spans="1:28" ht="16">
      <c r="A763" s="100"/>
      <c r="B763" s="91"/>
      <c r="C763" s="97"/>
      <c r="D763" s="98"/>
      <c r="E763" s="99"/>
      <c r="F763" s="92"/>
      <c r="G763" s="93" t="b">
        <v>0</v>
      </c>
      <c r="H763" s="93"/>
      <c r="I763" s="90"/>
      <c r="J763" s="90"/>
      <c r="K763" s="90"/>
      <c r="L763" s="90"/>
      <c r="M763" s="90"/>
      <c r="N763" s="90"/>
      <c r="O763" s="90"/>
      <c r="P763" s="90"/>
      <c r="Q763" s="90"/>
      <c r="R763" s="90"/>
      <c r="S763" s="90"/>
      <c r="T763" s="90"/>
      <c r="U763" s="90"/>
      <c r="V763" s="90"/>
      <c r="W763" s="90"/>
      <c r="X763" s="90"/>
      <c r="Y763" s="90"/>
      <c r="Z763" s="90"/>
      <c r="AA763" s="90"/>
      <c r="AB763" s="90"/>
    </row>
    <row r="764" spans="1:28" ht="16">
      <c r="A764" s="100"/>
      <c r="B764" s="87"/>
      <c r="C764" s="94"/>
      <c r="D764" s="95"/>
      <c r="E764" s="96"/>
      <c r="F764" s="88"/>
      <c r="G764" s="89" t="b">
        <v>0</v>
      </c>
      <c r="H764" s="89"/>
      <c r="I764" s="90"/>
      <c r="J764" s="90"/>
      <c r="K764" s="90"/>
      <c r="L764" s="90"/>
      <c r="M764" s="90"/>
      <c r="N764" s="90"/>
      <c r="O764" s="90"/>
      <c r="P764" s="90"/>
      <c r="Q764" s="90"/>
      <c r="R764" s="90"/>
      <c r="S764" s="90"/>
      <c r="T764" s="90"/>
      <c r="U764" s="90"/>
      <c r="V764" s="90"/>
      <c r="W764" s="90"/>
      <c r="X764" s="90"/>
      <c r="Y764" s="90"/>
      <c r="Z764" s="90"/>
      <c r="AA764" s="90"/>
      <c r="AB764" s="90"/>
    </row>
    <row r="765" spans="1:28" ht="16">
      <c r="A765" s="100"/>
      <c r="B765" s="91"/>
      <c r="C765" s="97"/>
      <c r="D765" s="98"/>
      <c r="E765" s="99"/>
      <c r="F765" s="92"/>
      <c r="G765" s="93" t="b">
        <v>0</v>
      </c>
      <c r="H765" s="93"/>
      <c r="I765" s="90"/>
      <c r="J765" s="90"/>
      <c r="K765" s="90"/>
      <c r="L765" s="90"/>
      <c r="M765" s="90"/>
      <c r="N765" s="90"/>
      <c r="O765" s="90"/>
      <c r="P765" s="90"/>
      <c r="Q765" s="90"/>
      <c r="R765" s="90"/>
      <c r="S765" s="90"/>
      <c r="T765" s="90"/>
      <c r="U765" s="90"/>
      <c r="V765" s="90"/>
      <c r="W765" s="90"/>
      <c r="X765" s="90"/>
      <c r="Y765" s="90"/>
      <c r="Z765" s="90"/>
      <c r="AA765" s="90"/>
      <c r="AB765" s="90"/>
    </row>
    <row r="766" spans="1:28" ht="16">
      <c r="A766" s="100"/>
      <c r="B766" s="87"/>
      <c r="C766" s="94"/>
      <c r="D766" s="95"/>
      <c r="E766" s="96"/>
      <c r="F766" s="88"/>
      <c r="G766" s="89" t="b">
        <v>0</v>
      </c>
      <c r="H766" s="89"/>
      <c r="I766" s="90"/>
      <c r="J766" s="90"/>
      <c r="K766" s="90"/>
      <c r="L766" s="90"/>
      <c r="M766" s="90"/>
      <c r="N766" s="90"/>
      <c r="O766" s="90"/>
      <c r="P766" s="90"/>
      <c r="Q766" s="90"/>
      <c r="R766" s="90"/>
      <c r="S766" s="90"/>
      <c r="T766" s="90"/>
      <c r="U766" s="90"/>
      <c r="V766" s="90"/>
      <c r="W766" s="90"/>
      <c r="X766" s="90"/>
      <c r="Y766" s="90"/>
      <c r="Z766" s="90"/>
      <c r="AA766" s="90"/>
      <c r="AB766" s="90"/>
    </row>
    <row r="767" spans="1:28" ht="16">
      <c r="A767" s="100"/>
      <c r="B767" s="91"/>
      <c r="C767" s="97"/>
      <c r="D767" s="98"/>
      <c r="E767" s="99"/>
      <c r="F767" s="92"/>
      <c r="G767" s="93" t="b">
        <v>0</v>
      </c>
      <c r="H767" s="93"/>
      <c r="I767" s="90"/>
      <c r="J767" s="90"/>
      <c r="K767" s="90"/>
      <c r="L767" s="90"/>
      <c r="M767" s="90"/>
      <c r="N767" s="90"/>
      <c r="O767" s="90"/>
      <c r="P767" s="90"/>
      <c r="Q767" s="90"/>
      <c r="R767" s="90"/>
      <c r="S767" s="90"/>
      <c r="T767" s="90"/>
      <c r="U767" s="90"/>
      <c r="V767" s="90"/>
      <c r="W767" s="90"/>
      <c r="X767" s="90"/>
      <c r="Y767" s="90"/>
      <c r="Z767" s="90"/>
      <c r="AA767" s="90"/>
      <c r="AB767" s="90"/>
    </row>
    <row r="768" spans="1:28" ht="16">
      <c r="A768" s="100"/>
      <c r="B768" s="87"/>
      <c r="C768" s="94"/>
      <c r="D768" s="95"/>
      <c r="E768" s="96"/>
      <c r="F768" s="88"/>
      <c r="G768" s="89" t="b">
        <v>0</v>
      </c>
      <c r="H768" s="89"/>
      <c r="I768" s="90"/>
      <c r="J768" s="90"/>
      <c r="K768" s="90"/>
      <c r="L768" s="90"/>
      <c r="M768" s="90"/>
      <c r="N768" s="90"/>
      <c r="O768" s="90"/>
      <c r="P768" s="90"/>
      <c r="Q768" s="90"/>
      <c r="R768" s="90"/>
      <c r="S768" s="90"/>
      <c r="T768" s="90"/>
      <c r="U768" s="90"/>
      <c r="V768" s="90"/>
      <c r="W768" s="90"/>
      <c r="X768" s="90"/>
      <c r="Y768" s="90"/>
      <c r="Z768" s="90"/>
      <c r="AA768" s="90"/>
      <c r="AB768" s="90"/>
    </row>
    <row r="769" spans="1:28" ht="16">
      <c r="A769" s="100"/>
      <c r="B769" s="91"/>
      <c r="C769" s="97"/>
      <c r="D769" s="98"/>
      <c r="E769" s="99"/>
      <c r="F769" s="92"/>
      <c r="G769" s="93" t="b">
        <v>0</v>
      </c>
      <c r="H769" s="93"/>
      <c r="I769" s="90"/>
      <c r="J769" s="90"/>
      <c r="K769" s="90"/>
      <c r="L769" s="90"/>
      <c r="M769" s="90"/>
      <c r="N769" s="90"/>
      <c r="O769" s="90"/>
      <c r="P769" s="90"/>
      <c r="Q769" s="90"/>
      <c r="R769" s="90"/>
      <c r="S769" s="90"/>
      <c r="T769" s="90"/>
      <c r="U769" s="90"/>
      <c r="V769" s="90"/>
      <c r="W769" s="90"/>
      <c r="X769" s="90"/>
      <c r="Y769" s="90"/>
      <c r="Z769" s="90"/>
      <c r="AA769" s="90"/>
      <c r="AB769" s="90"/>
    </row>
    <row r="770" spans="1:28" ht="16">
      <c r="A770" s="100"/>
      <c r="B770" s="87"/>
      <c r="C770" s="94"/>
      <c r="D770" s="95"/>
      <c r="E770" s="96"/>
      <c r="F770" s="88"/>
      <c r="G770" s="89" t="b">
        <v>0</v>
      </c>
      <c r="H770" s="89"/>
      <c r="I770" s="90"/>
      <c r="J770" s="90"/>
      <c r="K770" s="90"/>
      <c r="L770" s="90"/>
      <c r="M770" s="90"/>
      <c r="N770" s="90"/>
      <c r="O770" s="90"/>
      <c r="P770" s="90"/>
      <c r="Q770" s="90"/>
      <c r="R770" s="90"/>
      <c r="S770" s="90"/>
      <c r="T770" s="90"/>
      <c r="U770" s="90"/>
      <c r="V770" s="90"/>
      <c r="W770" s="90"/>
      <c r="X770" s="90"/>
      <c r="Y770" s="90"/>
      <c r="Z770" s="90"/>
      <c r="AA770" s="90"/>
      <c r="AB770" s="90"/>
    </row>
    <row r="771" spans="1:28" ht="16">
      <c r="A771" s="100"/>
      <c r="B771" s="91"/>
      <c r="C771" s="97"/>
      <c r="D771" s="98"/>
      <c r="E771" s="99"/>
      <c r="F771" s="92"/>
      <c r="G771" s="93" t="b">
        <v>0</v>
      </c>
      <c r="H771" s="93"/>
      <c r="I771" s="90"/>
      <c r="J771" s="90"/>
      <c r="K771" s="90"/>
      <c r="L771" s="90"/>
      <c r="M771" s="90"/>
      <c r="N771" s="90"/>
      <c r="O771" s="90"/>
      <c r="P771" s="90"/>
      <c r="Q771" s="90"/>
      <c r="R771" s="90"/>
      <c r="S771" s="90"/>
      <c r="T771" s="90"/>
      <c r="U771" s="90"/>
      <c r="V771" s="90"/>
      <c r="W771" s="90"/>
      <c r="X771" s="90"/>
      <c r="Y771" s="90"/>
      <c r="Z771" s="90"/>
      <c r="AA771" s="90"/>
      <c r="AB771" s="90"/>
    </row>
    <row r="772" spans="1:28" ht="16">
      <c r="A772" s="100"/>
      <c r="B772" s="87"/>
      <c r="C772" s="94"/>
      <c r="D772" s="95"/>
      <c r="E772" s="96"/>
      <c r="F772" s="88"/>
      <c r="G772" s="89" t="b">
        <v>0</v>
      </c>
      <c r="H772" s="89"/>
      <c r="I772" s="90"/>
      <c r="J772" s="90"/>
      <c r="K772" s="90"/>
      <c r="L772" s="90"/>
      <c r="M772" s="90"/>
      <c r="N772" s="90"/>
      <c r="O772" s="90"/>
      <c r="P772" s="90"/>
      <c r="Q772" s="90"/>
      <c r="R772" s="90"/>
      <c r="S772" s="90"/>
      <c r="T772" s="90"/>
      <c r="U772" s="90"/>
      <c r="V772" s="90"/>
      <c r="W772" s="90"/>
      <c r="X772" s="90"/>
      <c r="Y772" s="90"/>
      <c r="Z772" s="90"/>
      <c r="AA772" s="90"/>
      <c r="AB772" s="90"/>
    </row>
    <row r="773" spans="1:28" ht="16">
      <c r="A773" s="100"/>
      <c r="B773" s="91"/>
      <c r="C773" s="97"/>
      <c r="D773" s="98"/>
      <c r="E773" s="99"/>
      <c r="F773" s="92"/>
      <c r="G773" s="93" t="b">
        <v>0</v>
      </c>
      <c r="H773" s="93"/>
      <c r="I773" s="90"/>
      <c r="J773" s="90"/>
      <c r="K773" s="90"/>
      <c r="L773" s="90"/>
      <c r="M773" s="90"/>
      <c r="N773" s="90"/>
      <c r="O773" s="90"/>
      <c r="P773" s="90"/>
      <c r="Q773" s="90"/>
      <c r="R773" s="90"/>
      <c r="S773" s="90"/>
      <c r="T773" s="90"/>
      <c r="U773" s="90"/>
      <c r="V773" s="90"/>
      <c r="W773" s="90"/>
      <c r="X773" s="90"/>
      <c r="Y773" s="90"/>
      <c r="Z773" s="90"/>
      <c r="AA773" s="90"/>
      <c r="AB773" s="90"/>
    </row>
    <row r="774" spans="1:28" ht="16">
      <c r="A774" s="100"/>
      <c r="B774" s="87"/>
      <c r="C774" s="94"/>
      <c r="D774" s="95"/>
      <c r="E774" s="96"/>
      <c r="F774" s="88"/>
      <c r="G774" s="89" t="b">
        <v>0</v>
      </c>
      <c r="H774" s="89"/>
      <c r="I774" s="90"/>
      <c r="J774" s="90"/>
      <c r="K774" s="90"/>
      <c r="L774" s="90"/>
      <c r="M774" s="90"/>
      <c r="N774" s="90"/>
      <c r="O774" s="90"/>
      <c r="P774" s="90"/>
      <c r="Q774" s="90"/>
      <c r="R774" s="90"/>
      <c r="S774" s="90"/>
      <c r="T774" s="90"/>
      <c r="U774" s="90"/>
      <c r="V774" s="90"/>
      <c r="W774" s="90"/>
      <c r="X774" s="90"/>
      <c r="Y774" s="90"/>
      <c r="Z774" s="90"/>
      <c r="AA774" s="90"/>
      <c r="AB774" s="90"/>
    </row>
    <row r="775" spans="1:28" ht="16">
      <c r="A775" s="100"/>
      <c r="B775" s="91"/>
      <c r="C775" s="97"/>
      <c r="D775" s="98"/>
      <c r="E775" s="99"/>
      <c r="F775" s="92"/>
      <c r="G775" s="93" t="b">
        <v>0</v>
      </c>
      <c r="H775" s="93"/>
      <c r="I775" s="90"/>
      <c r="J775" s="90"/>
      <c r="K775" s="90"/>
      <c r="L775" s="90"/>
      <c r="M775" s="90"/>
      <c r="N775" s="90"/>
      <c r="O775" s="90"/>
      <c r="P775" s="90"/>
      <c r="Q775" s="90"/>
      <c r="R775" s="90"/>
      <c r="S775" s="90"/>
      <c r="T775" s="90"/>
      <c r="U775" s="90"/>
      <c r="V775" s="90"/>
      <c r="W775" s="90"/>
      <c r="X775" s="90"/>
      <c r="Y775" s="90"/>
      <c r="Z775" s="90"/>
      <c r="AA775" s="90"/>
      <c r="AB775" s="90"/>
    </row>
    <row r="776" spans="1:28" ht="16">
      <c r="A776" s="100"/>
      <c r="B776" s="87"/>
      <c r="C776" s="94"/>
      <c r="D776" s="95"/>
      <c r="E776" s="96"/>
      <c r="F776" s="88"/>
      <c r="G776" s="89" t="b">
        <v>0</v>
      </c>
      <c r="H776" s="89"/>
      <c r="I776" s="90"/>
      <c r="J776" s="90"/>
      <c r="K776" s="90"/>
      <c r="L776" s="90"/>
      <c r="M776" s="90"/>
      <c r="N776" s="90"/>
      <c r="O776" s="90"/>
      <c r="P776" s="90"/>
      <c r="Q776" s="90"/>
      <c r="R776" s="90"/>
      <c r="S776" s="90"/>
      <c r="T776" s="90"/>
      <c r="U776" s="90"/>
      <c r="V776" s="90"/>
      <c r="W776" s="90"/>
      <c r="X776" s="90"/>
      <c r="Y776" s="90"/>
      <c r="Z776" s="90"/>
      <c r="AA776" s="90"/>
      <c r="AB776" s="90"/>
    </row>
    <row r="777" spans="1:28" ht="16">
      <c r="A777" s="100"/>
      <c r="B777" s="91"/>
      <c r="C777" s="97"/>
      <c r="D777" s="98"/>
      <c r="E777" s="99"/>
      <c r="F777" s="92"/>
      <c r="G777" s="93" t="b">
        <v>0</v>
      </c>
      <c r="H777" s="93"/>
      <c r="I777" s="90"/>
      <c r="J777" s="90"/>
      <c r="K777" s="90"/>
      <c r="L777" s="90"/>
      <c r="M777" s="90"/>
      <c r="N777" s="90"/>
      <c r="O777" s="90"/>
      <c r="P777" s="90"/>
      <c r="Q777" s="90"/>
      <c r="R777" s="90"/>
      <c r="S777" s="90"/>
      <c r="T777" s="90"/>
      <c r="U777" s="90"/>
      <c r="V777" s="90"/>
      <c r="W777" s="90"/>
      <c r="X777" s="90"/>
      <c r="Y777" s="90"/>
      <c r="Z777" s="90"/>
      <c r="AA777" s="90"/>
      <c r="AB777" s="90"/>
    </row>
    <row r="778" spans="1:28" ht="16">
      <c r="A778" s="100"/>
      <c r="B778" s="87"/>
      <c r="C778" s="94"/>
      <c r="D778" s="95"/>
      <c r="E778" s="96"/>
      <c r="F778" s="88"/>
      <c r="G778" s="89" t="b">
        <v>0</v>
      </c>
      <c r="H778" s="89"/>
      <c r="I778" s="90"/>
      <c r="J778" s="90"/>
      <c r="K778" s="90"/>
      <c r="L778" s="90"/>
      <c r="M778" s="90"/>
      <c r="N778" s="90"/>
      <c r="O778" s="90"/>
      <c r="P778" s="90"/>
      <c r="Q778" s="90"/>
      <c r="R778" s="90"/>
      <c r="S778" s="90"/>
      <c r="T778" s="90"/>
      <c r="U778" s="90"/>
      <c r="V778" s="90"/>
      <c r="W778" s="90"/>
      <c r="X778" s="90"/>
      <c r="Y778" s="90"/>
      <c r="Z778" s="90"/>
      <c r="AA778" s="90"/>
      <c r="AB778" s="90"/>
    </row>
    <row r="779" spans="1:28" ht="16">
      <c r="A779" s="100"/>
      <c r="B779" s="91"/>
      <c r="C779" s="97"/>
      <c r="D779" s="98"/>
      <c r="E779" s="99"/>
      <c r="F779" s="92"/>
      <c r="G779" s="93" t="b">
        <v>0</v>
      </c>
      <c r="H779" s="93"/>
      <c r="I779" s="90"/>
      <c r="J779" s="90"/>
      <c r="K779" s="90"/>
      <c r="L779" s="90"/>
      <c r="M779" s="90"/>
      <c r="N779" s="90"/>
      <c r="O779" s="90"/>
      <c r="P779" s="90"/>
      <c r="Q779" s="90"/>
      <c r="R779" s="90"/>
      <c r="S779" s="90"/>
      <c r="T779" s="90"/>
      <c r="U779" s="90"/>
      <c r="V779" s="90"/>
      <c r="W779" s="90"/>
      <c r="X779" s="90"/>
      <c r="Y779" s="90"/>
      <c r="Z779" s="90"/>
      <c r="AA779" s="90"/>
      <c r="AB779" s="90"/>
    </row>
    <row r="780" spans="1:28" ht="16">
      <c r="A780" s="100"/>
      <c r="B780" s="87"/>
      <c r="C780" s="94"/>
      <c r="D780" s="95"/>
      <c r="E780" s="96"/>
      <c r="F780" s="88"/>
      <c r="G780" s="89" t="b">
        <v>0</v>
      </c>
      <c r="H780" s="89"/>
      <c r="I780" s="90"/>
      <c r="J780" s="90"/>
      <c r="K780" s="90"/>
      <c r="L780" s="90"/>
      <c r="M780" s="90"/>
      <c r="N780" s="90"/>
      <c r="O780" s="90"/>
      <c r="P780" s="90"/>
      <c r="Q780" s="90"/>
      <c r="R780" s="90"/>
      <c r="S780" s="90"/>
      <c r="T780" s="90"/>
      <c r="U780" s="90"/>
      <c r="V780" s="90"/>
      <c r="W780" s="90"/>
      <c r="X780" s="90"/>
      <c r="Y780" s="90"/>
      <c r="Z780" s="90"/>
      <c r="AA780" s="90"/>
      <c r="AB780" s="90"/>
    </row>
    <row r="781" spans="1:28" ht="16">
      <c r="A781" s="100"/>
      <c r="B781" s="91"/>
      <c r="C781" s="97"/>
      <c r="D781" s="98"/>
      <c r="E781" s="99"/>
      <c r="F781" s="92"/>
      <c r="G781" s="93" t="b">
        <v>0</v>
      </c>
      <c r="H781" s="93"/>
      <c r="I781" s="90"/>
      <c r="J781" s="90"/>
      <c r="K781" s="90"/>
      <c r="L781" s="90"/>
      <c r="M781" s="90"/>
      <c r="N781" s="90"/>
      <c r="O781" s="90"/>
      <c r="P781" s="90"/>
      <c r="Q781" s="90"/>
      <c r="R781" s="90"/>
      <c r="S781" s="90"/>
      <c r="T781" s="90"/>
      <c r="U781" s="90"/>
      <c r="V781" s="90"/>
      <c r="W781" s="90"/>
      <c r="X781" s="90"/>
      <c r="Y781" s="90"/>
      <c r="Z781" s="90"/>
      <c r="AA781" s="90"/>
      <c r="AB781" s="90"/>
    </row>
    <row r="782" spans="1:28" ht="16">
      <c r="A782" s="100"/>
      <c r="B782" s="87"/>
      <c r="C782" s="94"/>
      <c r="D782" s="95"/>
      <c r="E782" s="96"/>
      <c r="F782" s="88"/>
      <c r="G782" s="89" t="b">
        <v>0</v>
      </c>
      <c r="H782" s="89"/>
      <c r="I782" s="90"/>
      <c r="J782" s="90"/>
      <c r="K782" s="90"/>
      <c r="L782" s="90"/>
      <c r="M782" s="90"/>
      <c r="N782" s="90"/>
      <c r="O782" s="90"/>
      <c r="P782" s="90"/>
      <c r="Q782" s="90"/>
      <c r="R782" s="90"/>
      <c r="S782" s="90"/>
      <c r="T782" s="90"/>
      <c r="U782" s="90"/>
      <c r="V782" s="90"/>
      <c r="W782" s="90"/>
      <c r="X782" s="90"/>
      <c r="Y782" s="90"/>
      <c r="Z782" s="90"/>
      <c r="AA782" s="90"/>
      <c r="AB782" s="90"/>
    </row>
    <row r="783" spans="1:28" ht="16">
      <c r="A783" s="100"/>
      <c r="B783" s="91"/>
      <c r="C783" s="97"/>
      <c r="D783" s="98"/>
      <c r="E783" s="99"/>
      <c r="F783" s="92"/>
      <c r="G783" s="93" t="b">
        <v>0</v>
      </c>
      <c r="H783" s="93"/>
      <c r="I783" s="90"/>
      <c r="J783" s="90"/>
      <c r="K783" s="90"/>
      <c r="L783" s="90"/>
      <c r="M783" s="90"/>
      <c r="N783" s="90"/>
      <c r="O783" s="90"/>
      <c r="P783" s="90"/>
      <c r="Q783" s="90"/>
      <c r="R783" s="90"/>
      <c r="S783" s="90"/>
      <c r="T783" s="90"/>
      <c r="U783" s="90"/>
      <c r="V783" s="90"/>
      <c r="W783" s="90"/>
      <c r="X783" s="90"/>
      <c r="Y783" s="90"/>
      <c r="Z783" s="90"/>
      <c r="AA783" s="90"/>
      <c r="AB783" s="90"/>
    </row>
    <row r="784" spans="1:28" ht="16">
      <c r="A784" s="100"/>
      <c r="B784" s="87"/>
      <c r="C784" s="94"/>
      <c r="D784" s="95"/>
      <c r="E784" s="96"/>
      <c r="F784" s="88"/>
      <c r="G784" s="89" t="b">
        <v>0</v>
      </c>
      <c r="H784" s="89"/>
      <c r="I784" s="90"/>
      <c r="J784" s="90"/>
      <c r="K784" s="90"/>
      <c r="L784" s="90"/>
      <c r="M784" s="90"/>
      <c r="N784" s="90"/>
      <c r="O784" s="90"/>
      <c r="P784" s="90"/>
      <c r="Q784" s="90"/>
      <c r="R784" s="90"/>
      <c r="S784" s="90"/>
      <c r="T784" s="90"/>
      <c r="U784" s="90"/>
      <c r="V784" s="90"/>
      <c r="W784" s="90"/>
      <c r="X784" s="90"/>
      <c r="Y784" s="90"/>
      <c r="Z784" s="90"/>
      <c r="AA784" s="90"/>
      <c r="AB784" s="90"/>
    </row>
    <row r="785" spans="1:28" ht="16">
      <c r="A785" s="100"/>
      <c r="B785" s="91"/>
      <c r="C785" s="97"/>
      <c r="D785" s="98"/>
      <c r="E785" s="99"/>
      <c r="F785" s="92"/>
      <c r="G785" s="93" t="b">
        <v>0</v>
      </c>
      <c r="H785" s="93"/>
      <c r="I785" s="90"/>
      <c r="J785" s="90"/>
      <c r="K785" s="90"/>
      <c r="L785" s="90"/>
      <c r="M785" s="90"/>
      <c r="N785" s="90"/>
      <c r="O785" s="90"/>
      <c r="P785" s="90"/>
      <c r="Q785" s="90"/>
      <c r="R785" s="90"/>
      <c r="S785" s="90"/>
      <c r="T785" s="90"/>
      <c r="U785" s="90"/>
      <c r="V785" s="90"/>
      <c r="W785" s="90"/>
      <c r="X785" s="90"/>
      <c r="Y785" s="90"/>
      <c r="Z785" s="90"/>
      <c r="AA785" s="90"/>
      <c r="AB785" s="90"/>
    </row>
    <row r="786" spans="1:28" ht="16">
      <c r="A786" s="100"/>
      <c r="B786" s="87"/>
      <c r="C786" s="94"/>
      <c r="D786" s="95"/>
      <c r="E786" s="96"/>
      <c r="F786" s="88"/>
      <c r="G786" s="89" t="b">
        <v>0</v>
      </c>
      <c r="H786" s="89"/>
      <c r="I786" s="90"/>
      <c r="J786" s="90"/>
      <c r="K786" s="90"/>
      <c r="L786" s="90"/>
      <c r="M786" s="90"/>
      <c r="N786" s="90"/>
      <c r="O786" s="90"/>
      <c r="P786" s="90"/>
      <c r="Q786" s="90"/>
      <c r="R786" s="90"/>
      <c r="S786" s="90"/>
      <c r="T786" s="90"/>
      <c r="U786" s="90"/>
      <c r="V786" s="90"/>
      <c r="W786" s="90"/>
      <c r="X786" s="90"/>
      <c r="Y786" s="90"/>
      <c r="Z786" s="90"/>
      <c r="AA786" s="90"/>
      <c r="AB786" s="90"/>
    </row>
    <row r="787" spans="1:28" ht="16">
      <c r="A787" s="100"/>
      <c r="B787" s="91"/>
      <c r="C787" s="97"/>
      <c r="D787" s="98"/>
      <c r="E787" s="99"/>
      <c r="F787" s="92"/>
      <c r="G787" s="93" t="b">
        <v>0</v>
      </c>
      <c r="H787" s="93"/>
      <c r="I787" s="90"/>
      <c r="J787" s="90"/>
      <c r="K787" s="90"/>
      <c r="L787" s="90"/>
      <c r="M787" s="90"/>
      <c r="N787" s="90"/>
      <c r="O787" s="90"/>
      <c r="P787" s="90"/>
      <c r="Q787" s="90"/>
      <c r="R787" s="90"/>
      <c r="S787" s="90"/>
      <c r="T787" s="90"/>
      <c r="U787" s="90"/>
      <c r="V787" s="90"/>
      <c r="W787" s="90"/>
      <c r="X787" s="90"/>
      <c r="Y787" s="90"/>
      <c r="Z787" s="90"/>
      <c r="AA787" s="90"/>
      <c r="AB787" s="90"/>
    </row>
    <row r="788" spans="1:28" ht="16">
      <c r="A788" s="100"/>
      <c r="B788" s="87"/>
      <c r="C788" s="94"/>
      <c r="D788" s="95"/>
      <c r="E788" s="96"/>
      <c r="F788" s="88"/>
      <c r="G788" s="89" t="b">
        <v>0</v>
      </c>
      <c r="H788" s="89"/>
      <c r="I788" s="90"/>
      <c r="J788" s="90"/>
      <c r="K788" s="90"/>
      <c r="L788" s="90"/>
      <c r="M788" s="90"/>
      <c r="N788" s="90"/>
      <c r="O788" s="90"/>
      <c r="P788" s="90"/>
      <c r="Q788" s="90"/>
      <c r="R788" s="90"/>
      <c r="S788" s="90"/>
      <c r="T788" s="90"/>
      <c r="U788" s="90"/>
      <c r="V788" s="90"/>
      <c r="W788" s="90"/>
      <c r="X788" s="90"/>
      <c r="Y788" s="90"/>
      <c r="Z788" s="90"/>
      <c r="AA788" s="90"/>
      <c r="AB788" s="90"/>
    </row>
    <row r="789" spans="1:28" ht="16">
      <c r="A789" s="100"/>
      <c r="B789" s="91"/>
      <c r="C789" s="97"/>
      <c r="D789" s="98"/>
      <c r="E789" s="99"/>
      <c r="F789" s="92"/>
      <c r="G789" s="93" t="b">
        <v>0</v>
      </c>
      <c r="H789" s="93"/>
      <c r="I789" s="90"/>
      <c r="J789" s="90"/>
      <c r="K789" s="90"/>
      <c r="L789" s="90"/>
      <c r="M789" s="90"/>
      <c r="N789" s="90"/>
      <c r="O789" s="90"/>
      <c r="P789" s="90"/>
      <c r="Q789" s="90"/>
      <c r="R789" s="90"/>
      <c r="S789" s="90"/>
      <c r="T789" s="90"/>
      <c r="U789" s="90"/>
      <c r="V789" s="90"/>
      <c r="W789" s="90"/>
      <c r="X789" s="90"/>
      <c r="Y789" s="90"/>
      <c r="Z789" s="90"/>
      <c r="AA789" s="90"/>
      <c r="AB789" s="90"/>
    </row>
    <row r="790" spans="1:28" ht="16">
      <c r="A790" s="100"/>
      <c r="B790" s="87"/>
      <c r="C790" s="94"/>
      <c r="D790" s="95"/>
      <c r="E790" s="96"/>
      <c r="F790" s="88"/>
      <c r="G790" s="89" t="b">
        <v>0</v>
      </c>
      <c r="H790" s="89"/>
      <c r="I790" s="90"/>
      <c r="J790" s="90"/>
      <c r="K790" s="90"/>
      <c r="L790" s="90"/>
      <c r="M790" s="90"/>
      <c r="N790" s="90"/>
      <c r="O790" s="90"/>
      <c r="P790" s="90"/>
      <c r="Q790" s="90"/>
      <c r="R790" s="90"/>
      <c r="S790" s="90"/>
      <c r="T790" s="90"/>
      <c r="U790" s="90"/>
      <c r="V790" s="90"/>
      <c r="W790" s="90"/>
      <c r="X790" s="90"/>
      <c r="Y790" s="90"/>
      <c r="Z790" s="90"/>
      <c r="AA790" s="90"/>
      <c r="AB790" s="90"/>
    </row>
    <row r="791" spans="1:28" ht="16">
      <c r="A791" s="100"/>
      <c r="B791" s="91"/>
      <c r="C791" s="97"/>
      <c r="D791" s="98"/>
      <c r="E791" s="99"/>
      <c r="F791" s="92"/>
      <c r="G791" s="93" t="b">
        <v>0</v>
      </c>
      <c r="H791" s="93"/>
      <c r="I791" s="90"/>
      <c r="J791" s="90"/>
      <c r="K791" s="90"/>
      <c r="L791" s="90"/>
      <c r="M791" s="90"/>
      <c r="N791" s="90"/>
      <c r="O791" s="90"/>
      <c r="P791" s="90"/>
      <c r="Q791" s="90"/>
      <c r="R791" s="90"/>
      <c r="S791" s="90"/>
      <c r="T791" s="90"/>
      <c r="U791" s="90"/>
      <c r="V791" s="90"/>
      <c r="W791" s="90"/>
      <c r="X791" s="90"/>
      <c r="Y791" s="90"/>
      <c r="Z791" s="90"/>
      <c r="AA791" s="90"/>
      <c r="AB791" s="90"/>
    </row>
    <row r="792" spans="1:28" ht="16">
      <c r="A792" s="100"/>
      <c r="B792" s="87"/>
      <c r="C792" s="94"/>
      <c r="D792" s="95"/>
      <c r="E792" s="96"/>
      <c r="F792" s="88"/>
      <c r="G792" s="89" t="b">
        <v>0</v>
      </c>
      <c r="H792" s="89"/>
      <c r="I792" s="90"/>
      <c r="J792" s="90"/>
      <c r="K792" s="90"/>
      <c r="L792" s="90"/>
      <c r="M792" s="90"/>
      <c r="N792" s="90"/>
      <c r="O792" s="90"/>
      <c r="P792" s="90"/>
      <c r="Q792" s="90"/>
      <c r="R792" s="90"/>
      <c r="S792" s="90"/>
      <c r="T792" s="90"/>
      <c r="U792" s="90"/>
      <c r="V792" s="90"/>
      <c r="W792" s="90"/>
      <c r="X792" s="90"/>
      <c r="Y792" s="90"/>
      <c r="Z792" s="90"/>
      <c r="AA792" s="90"/>
      <c r="AB792" s="90"/>
    </row>
    <row r="793" spans="1:28" ht="16">
      <c r="A793" s="100"/>
      <c r="B793" s="91"/>
      <c r="C793" s="97"/>
      <c r="D793" s="98"/>
      <c r="E793" s="99"/>
      <c r="F793" s="92"/>
      <c r="G793" s="93" t="b">
        <v>0</v>
      </c>
      <c r="H793" s="93"/>
      <c r="I793" s="90"/>
      <c r="J793" s="90"/>
      <c r="K793" s="90"/>
      <c r="L793" s="90"/>
      <c r="M793" s="90"/>
      <c r="N793" s="90"/>
      <c r="O793" s="90"/>
      <c r="P793" s="90"/>
      <c r="Q793" s="90"/>
      <c r="R793" s="90"/>
      <c r="S793" s="90"/>
      <c r="T793" s="90"/>
      <c r="U793" s="90"/>
      <c r="V793" s="90"/>
      <c r="W793" s="90"/>
      <c r="X793" s="90"/>
      <c r="Y793" s="90"/>
      <c r="Z793" s="90"/>
      <c r="AA793" s="90"/>
      <c r="AB793" s="90"/>
    </row>
    <row r="794" spans="1:28" ht="16">
      <c r="A794" s="100"/>
      <c r="B794" s="87"/>
      <c r="C794" s="94"/>
      <c r="D794" s="95"/>
      <c r="E794" s="96"/>
      <c r="F794" s="88"/>
      <c r="G794" s="89" t="b">
        <v>0</v>
      </c>
      <c r="H794" s="89"/>
      <c r="I794" s="90"/>
      <c r="J794" s="90"/>
      <c r="K794" s="90"/>
      <c r="L794" s="90"/>
      <c r="M794" s="90"/>
      <c r="N794" s="90"/>
      <c r="O794" s="90"/>
      <c r="P794" s="90"/>
      <c r="Q794" s="90"/>
      <c r="R794" s="90"/>
      <c r="S794" s="90"/>
      <c r="T794" s="90"/>
      <c r="U794" s="90"/>
      <c r="V794" s="90"/>
      <c r="W794" s="90"/>
      <c r="X794" s="90"/>
      <c r="Y794" s="90"/>
      <c r="Z794" s="90"/>
      <c r="AA794" s="90"/>
      <c r="AB794" s="90"/>
    </row>
    <row r="795" spans="1:28" ht="16">
      <c r="A795" s="100"/>
      <c r="B795" s="91"/>
      <c r="C795" s="97"/>
      <c r="D795" s="98"/>
      <c r="E795" s="99"/>
      <c r="F795" s="92"/>
      <c r="G795" s="93" t="b">
        <v>0</v>
      </c>
      <c r="H795" s="93"/>
      <c r="I795" s="90"/>
      <c r="J795" s="90"/>
      <c r="K795" s="90"/>
      <c r="L795" s="90"/>
      <c r="M795" s="90"/>
      <c r="N795" s="90"/>
      <c r="O795" s="90"/>
      <c r="P795" s="90"/>
      <c r="Q795" s="90"/>
      <c r="R795" s="90"/>
      <c r="S795" s="90"/>
      <c r="T795" s="90"/>
      <c r="U795" s="90"/>
      <c r="V795" s="90"/>
      <c r="W795" s="90"/>
      <c r="X795" s="90"/>
      <c r="Y795" s="90"/>
      <c r="Z795" s="90"/>
      <c r="AA795" s="90"/>
      <c r="AB795" s="90"/>
    </row>
    <row r="796" spans="1:28" ht="16">
      <c r="A796" s="100"/>
      <c r="B796" s="87"/>
      <c r="C796" s="94"/>
      <c r="D796" s="95"/>
      <c r="E796" s="96"/>
      <c r="F796" s="88"/>
      <c r="G796" s="89" t="b">
        <v>0</v>
      </c>
      <c r="H796" s="89"/>
      <c r="I796" s="90"/>
      <c r="J796" s="90"/>
      <c r="K796" s="90"/>
      <c r="L796" s="90"/>
      <c r="M796" s="90"/>
      <c r="N796" s="90"/>
      <c r="O796" s="90"/>
      <c r="P796" s="90"/>
      <c r="Q796" s="90"/>
      <c r="R796" s="90"/>
      <c r="S796" s="90"/>
      <c r="T796" s="90"/>
      <c r="U796" s="90"/>
      <c r="V796" s="90"/>
      <c r="W796" s="90"/>
      <c r="X796" s="90"/>
      <c r="Y796" s="90"/>
      <c r="Z796" s="90"/>
      <c r="AA796" s="90"/>
      <c r="AB796" s="90"/>
    </row>
    <row r="797" spans="1:28" ht="16">
      <c r="A797" s="100"/>
      <c r="B797" s="91"/>
      <c r="C797" s="97"/>
      <c r="D797" s="98"/>
      <c r="E797" s="99"/>
      <c r="F797" s="92"/>
      <c r="G797" s="93" t="b">
        <v>0</v>
      </c>
      <c r="H797" s="93"/>
      <c r="I797" s="90"/>
      <c r="J797" s="90"/>
      <c r="K797" s="90"/>
      <c r="L797" s="90"/>
      <c r="M797" s="90"/>
      <c r="N797" s="90"/>
      <c r="O797" s="90"/>
      <c r="P797" s="90"/>
      <c r="Q797" s="90"/>
      <c r="R797" s="90"/>
      <c r="S797" s="90"/>
      <c r="T797" s="90"/>
      <c r="U797" s="90"/>
      <c r="V797" s="90"/>
      <c r="W797" s="90"/>
      <c r="X797" s="90"/>
      <c r="Y797" s="90"/>
      <c r="Z797" s="90"/>
      <c r="AA797" s="90"/>
      <c r="AB797" s="90"/>
    </row>
    <row r="798" spans="1:28" ht="16">
      <c r="A798" s="100"/>
      <c r="B798" s="87"/>
      <c r="C798" s="94"/>
      <c r="D798" s="95"/>
      <c r="E798" s="96"/>
      <c r="F798" s="88"/>
      <c r="G798" s="89" t="b">
        <v>0</v>
      </c>
      <c r="H798" s="89"/>
      <c r="I798" s="90"/>
      <c r="J798" s="90"/>
      <c r="K798" s="90"/>
      <c r="L798" s="90"/>
      <c r="M798" s="90"/>
      <c r="N798" s="90"/>
      <c r="O798" s="90"/>
      <c r="P798" s="90"/>
      <c r="Q798" s="90"/>
      <c r="R798" s="90"/>
      <c r="S798" s="90"/>
      <c r="T798" s="90"/>
      <c r="U798" s="90"/>
      <c r="V798" s="90"/>
      <c r="W798" s="90"/>
      <c r="X798" s="90"/>
      <c r="Y798" s="90"/>
      <c r="Z798" s="90"/>
      <c r="AA798" s="90"/>
      <c r="AB798" s="90"/>
    </row>
    <row r="799" spans="1:28" ht="16">
      <c r="A799" s="100"/>
      <c r="B799" s="91"/>
      <c r="C799" s="97"/>
      <c r="D799" s="98"/>
      <c r="E799" s="99"/>
      <c r="F799" s="92"/>
      <c r="G799" s="93" t="b">
        <v>0</v>
      </c>
      <c r="H799" s="93"/>
      <c r="I799" s="90"/>
      <c r="J799" s="90"/>
      <c r="K799" s="90"/>
      <c r="L799" s="90"/>
      <c r="M799" s="90"/>
      <c r="N799" s="90"/>
      <c r="O799" s="90"/>
      <c r="P799" s="90"/>
      <c r="Q799" s="90"/>
      <c r="R799" s="90"/>
      <c r="S799" s="90"/>
      <c r="T799" s="90"/>
      <c r="U799" s="90"/>
      <c r="V799" s="90"/>
      <c r="W799" s="90"/>
      <c r="X799" s="90"/>
      <c r="Y799" s="90"/>
      <c r="Z799" s="90"/>
      <c r="AA799" s="90"/>
      <c r="AB799" s="90"/>
    </row>
    <row r="800" spans="1:28" ht="16">
      <c r="A800" s="100"/>
      <c r="B800" s="87"/>
      <c r="C800" s="94"/>
      <c r="D800" s="95"/>
      <c r="E800" s="96"/>
      <c r="F800" s="88"/>
      <c r="G800" s="89" t="b">
        <v>0</v>
      </c>
      <c r="H800" s="89"/>
      <c r="I800" s="90"/>
      <c r="J800" s="90"/>
      <c r="K800" s="90"/>
      <c r="L800" s="90"/>
      <c r="M800" s="90"/>
      <c r="N800" s="90"/>
      <c r="O800" s="90"/>
      <c r="P800" s="90"/>
      <c r="Q800" s="90"/>
      <c r="R800" s="90"/>
      <c r="S800" s="90"/>
      <c r="T800" s="90"/>
      <c r="U800" s="90"/>
      <c r="V800" s="90"/>
      <c r="W800" s="90"/>
      <c r="X800" s="90"/>
      <c r="Y800" s="90"/>
      <c r="Z800" s="90"/>
      <c r="AA800" s="90"/>
      <c r="AB800" s="90"/>
    </row>
    <row r="801" spans="1:28" ht="16">
      <c r="A801" s="100"/>
      <c r="B801" s="91"/>
      <c r="C801" s="97"/>
      <c r="D801" s="98"/>
      <c r="E801" s="99"/>
      <c r="F801" s="92"/>
      <c r="G801" s="93" t="b">
        <v>0</v>
      </c>
      <c r="H801" s="93"/>
      <c r="I801" s="90"/>
      <c r="J801" s="90"/>
      <c r="K801" s="90"/>
      <c r="L801" s="90"/>
      <c r="M801" s="90"/>
      <c r="N801" s="90"/>
      <c r="O801" s="90"/>
      <c r="P801" s="90"/>
      <c r="Q801" s="90"/>
      <c r="R801" s="90"/>
      <c r="S801" s="90"/>
      <c r="T801" s="90"/>
      <c r="U801" s="90"/>
      <c r="V801" s="90"/>
      <c r="W801" s="90"/>
      <c r="X801" s="90"/>
      <c r="Y801" s="90"/>
      <c r="Z801" s="90"/>
      <c r="AA801" s="90"/>
      <c r="AB801" s="90"/>
    </row>
    <row r="802" spans="1:28" ht="16">
      <c r="A802" s="100"/>
      <c r="B802" s="87"/>
      <c r="C802" s="94"/>
      <c r="D802" s="95"/>
      <c r="E802" s="96"/>
      <c r="F802" s="88"/>
      <c r="G802" s="89" t="b">
        <v>0</v>
      </c>
      <c r="H802" s="89"/>
      <c r="I802" s="90"/>
      <c r="J802" s="90"/>
      <c r="K802" s="90"/>
      <c r="L802" s="90"/>
      <c r="M802" s="90"/>
      <c r="N802" s="90"/>
      <c r="O802" s="90"/>
      <c r="P802" s="90"/>
      <c r="Q802" s="90"/>
      <c r="R802" s="90"/>
      <c r="S802" s="90"/>
      <c r="T802" s="90"/>
      <c r="U802" s="90"/>
      <c r="V802" s="90"/>
      <c r="W802" s="90"/>
      <c r="X802" s="90"/>
      <c r="Y802" s="90"/>
      <c r="Z802" s="90"/>
      <c r="AA802" s="90"/>
      <c r="AB802" s="90"/>
    </row>
    <row r="803" spans="1:28" ht="16">
      <c r="A803" s="100"/>
      <c r="B803" s="91"/>
      <c r="C803" s="97"/>
      <c r="D803" s="98"/>
      <c r="E803" s="99"/>
      <c r="F803" s="92"/>
      <c r="G803" s="93" t="b">
        <v>0</v>
      </c>
      <c r="H803" s="93"/>
      <c r="I803" s="90"/>
      <c r="J803" s="90"/>
      <c r="K803" s="90"/>
      <c r="L803" s="90"/>
      <c r="M803" s="90"/>
      <c r="N803" s="90"/>
      <c r="O803" s="90"/>
      <c r="P803" s="90"/>
      <c r="Q803" s="90"/>
      <c r="R803" s="90"/>
      <c r="S803" s="90"/>
      <c r="T803" s="90"/>
      <c r="U803" s="90"/>
      <c r="V803" s="90"/>
      <c r="W803" s="90"/>
      <c r="X803" s="90"/>
      <c r="Y803" s="90"/>
      <c r="Z803" s="90"/>
      <c r="AA803" s="90"/>
      <c r="AB803" s="90"/>
    </row>
    <row r="804" spans="1:28" ht="16">
      <c r="A804" s="100"/>
      <c r="B804" s="87"/>
      <c r="C804" s="94"/>
      <c r="D804" s="95"/>
      <c r="E804" s="96"/>
      <c r="F804" s="88"/>
      <c r="G804" s="89" t="b">
        <v>0</v>
      </c>
      <c r="H804" s="89"/>
      <c r="I804" s="90"/>
      <c r="J804" s="90"/>
      <c r="K804" s="90"/>
      <c r="L804" s="90"/>
      <c r="M804" s="90"/>
      <c r="N804" s="90"/>
      <c r="O804" s="90"/>
      <c r="P804" s="90"/>
      <c r="Q804" s="90"/>
      <c r="R804" s="90"/>
      <c r="S804" s="90"/>
      <c r="T804" s="90"/>
      <c r="U804" s="90"/>
      <c r="V804" s="90"/>
      <c r="W804" s="90"/>
      <c r="X804" s="90"/>
      <c r="Y804" s="90"/>
      <c r="Z804" s="90"/>
      <c r="AA804" s="90"/>
      <c r="AB804" s="90"/>
    </row>
    <row r="805" spans="1:28" ht="16">
      <c r="A805" s="100"/>
      <c r="B805" s="91"/>
      <c r="C805" s="97"/>
      <c r="D805" s="98"/>
      <c r="E805" s="99"/>
      <c r="F805" s="92"/>
      <c r="G805" s="93" t="b">
        <v>0</v>
      </c>
      <c r="H805" s="93"/>
      <c r="I805" s="90"/>
      <c r="J805" s="90"/>
      <c r="K805" s="90"/>
      <c r="L805" s="90"/>
      <c r="M805" s="90"/>
      <c r="N805" s="90"/>
      <c r="O805" s="90"/>
      <c r="P805" s="90"/>
      <c r="Q805" s="90"/>
      <c r="R805" s="90"/>
      <c r="S805" s="90"/>
      <c r="T805" s="90"/>
      <c r="U805" s="90"/>
      <c r="V805" s="90"/>
      <c r="W805" s="90"/>
      <c r="X805" s="90"/>
      <c r="Y805" s="90"/>
      <c r="Z805" s="90"/>
      <c r="AA805" s="90"/>
      <c r="AB805" s="90"/>
    </row>
    <row r="806" spans="1:28" ht="16">
      <c r="A806" s="100"/>
      <c r="B806" s="87"/>
      <c r="C806" s="94"/>
      <c r="D806" s="95"/>
      <c r="E806" s="96"/>
      <c r="F806" s="88"/>
      <c r="G806" s="89" t="b">
        <v>0</v>
      </c>
      <c r="H806" s="89"/>
      <c r="I806" s="90"/>
      <c r="J806" s="90"/>
      <c r="K806" s="90"/>
      <c r="L806" s="90"/>
      <c r="M806" s="90"/>
      <c r="N806" s="90"/>
      <c r="O806" s="90"/>
      <c r="P806" s="90"/>
      <c r="Q806" s="90"/>
      <c r="R806" s="90"/>
      <c r="S806" s="90"/>
      <c r="T806" s="90"/>
      <c r="U806" s="90"/>
      <c r="V806" s="90"/>
      <c r="W806" s="90"/>
      <c r="X806" s="90"/>
      <c r="Y806" s="90"/>
      <c r="Z806" s="90"/>
      <c r="AA806" s="90"/>
      <c r="AB806" s="90"/>
    </row>
    <row r="807" spans="1:28" ht="16">
      <c r="A807" s="100"/>
      <c r="B807" s="91"/>
      <c r="C807" s="97"/>
      <c r="D807" s="98"/>
      <c r="E807" s="99"/>
      <c r="F807" s="92"/>
      <c r="G807" s="93" t="b">
        <v>0</v>
      </c>
      <c r="H807" s="93"/>
      <c r="I807" s="90"/>
      <c r="J807" s="90"/>
      <c r="K807" s="90"/>
      <c r="L807" s="90"/>
      <c r="M807" s="90"/>
      <c r="N807" s="90"/>
      <c r="O807" s="90"/>
      <c r="P807" s="90"/>
      <c r="Q807" s="90"/>
      <c r="R807" s="90"/>
      <c r="S807" s="90"/>
      <c r="T807" s="90"/>
      <c r="U807" s="90"/>
      <c r="V807" s="90"/>
      <c r="W807" s="90"/>
      <c r="X807" s="90"/>
      <c r="Y807" s="90"/>
      <c r="Z807" s="90"/>
      <c r="AA807" s="90"/>
      <c r="AB807" s="90"/>
    </row>
    <row r="808" spans="1:28" ht="16">
      <c r="A808" s="100"/>
      <c r="B808" s="87"/>
      <c r="C808" s="94"/>
      <c r="D808" s="95"/>
      <c r="E808" s="96"/>
      <c r="F808" s="88"/>
      <c r="G808" s="89" t="b">
        <v>0</v>
      </c>
      <c r="H808" s="89"/>
      <c r="I808" s="90"/>
      <c r="J808" s="90"/>
      <c r="K808" s="90"/>
      <c r="L808" s="90"/>
      <c r="M808" s="90"/>
      <c r="N808" s="90"/>
      <c r="O808" s="90"/>
      <c r="P808" s="90"/>
      <c r="Q808" s="90"/>
      <c r="R808" s="90"/>
      <c r="S808" s="90"/>
      <c r="T808" s="90"/>
      <c r="U808" s="90"/>
      <c r="V808" s="90"/>
      <c r="W808" s="90"/>
      <c r="X808" s="90"/>
      <c r="Y808" s="90"/>
      <c r="Z808" s="90"/>
      <c r="AA808" s="90"/>
      <c r="AB808" s="90"/>
    </row>
    <row r="809" spans="1:28" ht="16">
      <c r="A809" s="100"/>
      <c r="B809" s="91"/>
      <c r="C809" s="97"/>
      <c r="D809" s="98"/>
      <c r="E809" s="99"/>
      <c r="F809" s="92"/>
      <c r="G809" s="93" t="b">
        <v>0</v>
      </c>
      <c r="H809" s="93"/>
      <c r="I809" s="90"/>
      <c r="J809" s="90"/>
      <c r="K809" s="90"/>
      <c r="L809" s="90"/>
      <c r="M809" s="90"/>
      <c r="N809" s="90"/>
      <c r="O809" s="90"/>
      <c r="P809" s="90"/>
      <c r="Q809" s="90"/>
      <c r="R809" s="90"/>
      <c r="S809" s="90"/>
      <c r="T809" s="90"/>
      <c r="U809" s="90"/>
      <c r="V809" s="90"/>
      <c r="W809" s="90"/>
      <c r="X809" s="90"/>
      <c r="Y809" s="90"/>
      <c r="Z809" s="90"/>
      <c r="AA809" s="90"/>
      <c r="AB809" s="90"/>
    </row>
    <row r="810" spans="1:28" ht="16">
      <c r="A810" s="100"/>
      <c r="B810" s="87"/>
      <c r="C810" s="94"/>
      <c r="D810" s="95"/>
      <c r="E810" s="96"/>
      <c r="F810" s="88"/>
      <c r="G810" s="89" t="b">
        <v>0</v>
      </c>
      <c r="H810" s="89"/>
      <c r="I810" s="90"/>
      <c r="J810" s="90"/>
      <c r="K810" s="90"/>
      <c r="L810" s="90"/>
      <c r="M810" s="90"/>
      <c r="N810" s="90"/>
      <c r="O810" s="90"/>
      <c r="P810" s="90"/>
      <c r="Q810" s="90"/>
      <c r="R810" s="90"/>
      <c r="S810" s="90"/>
      <c r="T810" s="90"/>
      <c r="U810" s="90"/>
      <c r="V810" s="90"/>
      <c r="W810" s="90"/>
      <c r="X810" s="90"/>
      <c r="Y810" s="90"/>
      <c r="Z810" s="90"/>
      <c r="AA810" s="90"/>
      <c r="AB810" s="90"/>
    </row>
    <row r="811" spans="1:28" ht="16">
      <c r="A811" s="100"/>
      <c r="B811" s="91"/>
      <c r="C811" s="97"/>
      <c r="D811" s="98"/>
      <c r="E811" s="99"/>
      <c r="F811" s="92"/>
      <c r="G811" s="93" t="b">
        <v>0</v>
      </c>
      <c r="H811" s="93"/>
      <c r="I811" s="90"/>
      <c r="J811" s="90"/>
      <c r="K811" s="90"/>
      <c r="L811" s="90"/>
      <c r="M811" s="90"/>
      <c r="N811" s="90"/>
      <c r="O811" s="90"/>
      <c r="P811" s="90"/>
      <c r="Q811" s="90"/>
      <c r="R811" s="90"/>
      <c r="S811" s="90"/>
      <c r="T811" s="90"/>
      <c r="U811" s="90"/>
      <c r="V811" s="90"/>
      <c r="W811" s="90"/>
      <c r="X811" s="90"/>
      <c r="Y811" s="90"/>
      <c r="Z811" s="90"/>
      <c r="AA811" s="90"/>
      <c r="AB811" s="90"/>
    </row>
    <row r="812" spans="1:28" ht="16">
      <c r="A812" s="100"/>
      <c r="B812" s="87"/>
      <c r="C812" s="94"/>
      <c r="D812" s="95"/>
      <c r="E812" s="96"/>
      <c r="F812" s="88"/>
      <c r="G812" s="89" t="b">
        <v>0</v>
      </c>
      <c r="H812" s="89"/>
      <c r="I812" s="90"/>
      <c r="J812" s="90"/>
      <c r="K812" s="90"/>
      <c r="L812" s="90"/>
      <c r="M812" s="90"/>
      <c r="N812" s="90"/>
      <c r="O812" s="90"/>
      <c r="P812" s="90"/>
      <c r="Q812" s="90"/>
      <c r="R812" s="90"/>
      <c r="S812" s="90"/>
      <c r="T812" s="90"/>
      <c r="U812" s="90"/>
      <c r="V812" s="90"/>
      <c r="W812" s="90"/>
      <c r="X812" s="90"/>
      <c r="Y812" s="90"/>
      <c r="Z812" s="90"/>
      <c r="AA812" s="90"/>
      <c r="AB812" s="90"/>
    </row>
    <row r="813" spans="1:28" ht="16">
      <c r="A813" s="100"/>
      <c r="B813" s="91"/>
      <c r="C813" s="97"/>
      <c r="D813" s="98"/>
      <c r="E813" s="99"/>
      <c r="F813" s="92"/>
      <c r="G813" s="93" t="b">
        <v>0</v>
      </c>
      <c r="H813" s="93"/>
      <c r="I813" s="90"/>
      <c r="J813" s="90"/>
      <c r="K813" s="90"/>
      <c r="L813" s="90"/>
      <c r="M813" s="90"/>
      <c r="N813" s="90"/>
      <c r="O813" s="90"/>
      <c r="P813" s="90"/>
      <c r="Q813" s="90"/>
      <c r="R813" s="90"/>
      <c r="S813" s="90"/>
      <c r="T813" s="90"/>
      <c r="U813" s="90"/>
      <c r="V813" s="90"/>
      <c r="W813" s="90"/>
      <c r="X813" s="90"/>
      <c r="Y813" s="90"/>
      <c r="Z813" s="90"/>
      <c r="AA813" s="90"/>
      <c r="AB813" s="90"/>
    </row>
    <row r="814" spans="1:28" ht="16">
      <c r="A814" s="100"/>
      <c r="B814" s="87"/>
      <c r="C814" s="94"/>
      <c r="D814" s="95"/>
      <c r="E814" s="96"/>
      <c r="F814" s="88"/>
      <c r="G814" s="89" t="b">
        <v>0</v>
      </c>
      <c r="H814" s="89"/>
      <c r="I814" s="90"/>
      <c r="J814" s="90"/>
      <c r="K814" s="90"/>
      <c r="L814" s="90"/>
      <c r="M814" s="90"/>
      <c r="N814" s="90"/>
      <c r="O814" s="90"/>
      <c r="P814" s="90"/>
      <c r="Q814" s="90"/>
      <c r="R814" s="90"/>
      <c r="S814" s="90"/>
      <c r="T814" s="90"/>
      <c r="U814" s="90"/>
      <c r="V814" s="90"/>
      <c r="W814" s="90"/>
      <c r="X814" s="90"/>
      <c r="Y814" s="90"/>
      <c r="Z814" s="90"/>
      <c r="AA814" s="90"/>
      <c r="AB814" s="90"/>
    </row>
    <row r="815" spans="1:28" ht="16">
      <c r="A815" s="100"/>
      <c r="B815" s="91"/>
      <c r="C815" s="97"/>
      <c r="D815" s="98"/>
      <c r="E815" s="99"/>
      <c r="F815" s="92"/>
      <c r="G815" s="93" t="b">
        <v>0</v>
      </c>
      <c r="H815" s="93"/>
      <c r="I815" s="90"/>
      <c r="J815" s="90"/>
      <c r="K815" s="90"/>
      <c r="L815" s="90"/>
      <c r="M815" s="90"/>
      <c r="N815" s="90"/>
      <c r="O815" s="90"/>
      <c r="P815" s="90"/>
      <c r="Q815" s="90"/>
      <c r="R815" s="90"/>
      <c r="S815" s="90"/>
      <c r="T815" s="90"/>
      <c r="U815" s="90"/>
      <c r="V815" s="90"/>
      <c r="W815" s="90"/>
      <c r="X815" s="90"/>
      <c r="Y815" s="90"/>
      <c r="Z815" s="90"/>
      <c r="AA815" s="90"/>
      <c r="AB815" s="90"/>
    </row>
    <row r="816" spans="1:28" ht="16">
      <c r="A816" s="100"/>
      <c r="B816" s="87"/>
      <c r="C816" s="94"/>
      <c r="D816" s="95"/>
      <c r="E816" s="96"/>
      <c r="F816" s="88"/>
      <c r="G816" s="89" t="b">
        <v>0</v>
      </c>
      <c r="H816" s="89"/>
      <c r="I816" s="90"/>
      <c r="J816" s="90"/>
      <c r="K816" s="90"/>
      <c r="L816" s="90"/>
      <c r="M816" s="90"/>
      <c r="N816" s="90"/>
      <c r="O816" s="90"/>
      <c r="P816" s="90"/>
      <c r="Q816" s="90"/>
      <c r="R816" s="90"/>
      <c r="S816" s="90"/>
      <c r="T816" s="90"/>
      <c r="U816" s="90"/>
      <c r="V816" s="90"/>
      <c r="W816" s="90"/>
      <c r="X816" s="90"/>
      <c r="Y816" s="90"/>
      <c r="Z816" s="90"/>
      <c r="AA816" s="90"/>
      <c r="AB816" s="90"/>
    </row>
    <row r="817" spans="1:28" ht="16">
      <c r="A817" s="100"/>
      <c r="B817" s="91"/>
      <c r="C817" s="97"/>
      <c r="D817" s="98"/>
      <c r="E817" s="99"/>
      <c r="F817" s="92"/>
      <c r="G817" s="93" t="b">
        <v>0</v>
      </c>
      <c r="H817" s="93"/>
      <c r="I817" s="90"/>
      <c r="J817" s="90"/>
      <c r="K817" s="90"/>
      <c r="L817" s="90"/>
      <c r="M817" s="90"/>
      <c r="N817" s="90"/>
      <c r="O817" s="90"/>
      <c r="P817" s="90"/>
      <c r="Q817" s="90"/>
      <c r="R817" s="90"/>
      <c r="S817" s="90"/>
      <c r="T817" s="90"/>
      <c r="U817" s="90"/>
      <c r="V817" s="90"/>
      <c r="W817" s="90"/>
      <c r="X817" s="90"/>
      <c r="Y817" s="90"/>
      <c r="Z817" s="90"/>
      <c r="AA817" s="90"/>
      <c r="AB817" s="90"/>
    </row>
    <row r="818" spans="1:28" ht="16">
      <c r="A818" s="100"/>
      <c r="B818" s="87"/>
      <c r="C818" s="94"/>
      <c r="D818" s="95"/>
      <c r="E818" s="96"/>
      <c r="F818" s="88"/>
      <c r="G818" s="89" t="b">
        <v>0</v>
      </c>
      <c r="H818" s="89"/>
      <c r="I818" s="90"/>
      <c r="J818" s="90"/>
      <c r="K818" s="90"/>
      <c r="L818" s="90"/>
      <c r="M818" s="90"/>
      <c r="N818" s="90"/>
      <c r="O818" s="90"/>
      <c r="P818" s="90"/>
      <c r="Q818" s="90"/>
      <c r="R818" s="90"/>
      <c r="S818" s="90"/>
      <c r="T818" s="90"/>
      <c r="U818" s="90"/>
      <c r="V818" s="90"/>
      <c r="W818" s="90"/>
      <c r="X818" s="90"/>
      <c r="Y818" s="90"/>
      <c r="Z818" s="90"/>
      <c r="AA818" s="90"/>
      <c r="AB818" s="90"/>
    </row>
    <row r="819" spans="1:28" ht="16">
      <c r="A819" s="100"/>
      <c r="B819" s="91"/>
      <c r="C819" s="97"/>
      <c r="D819" s="98"/>
      <c r="E819" s="99"/>
      <c r="F819" s="92"/>
      <c r="G819" s="93" t="b">
        <v>0</v>
      </c>
      <c r="H819" s="93"/>
      <c r="I819" s="90"/>
      <c r="J819" s="90"/>
      <c r="K819" s="90"/>
      <c r="L819" s="90"/>
      <c r="M819" s="90"/>
      <c r="N819" s="90"/>
      <c r="O819" s="90"/>
      <c r="P819" s="90"/>
      <c r="Q819" s="90"/>
      <c r="R819" s="90"/>
      <c r="S819" s="90"/>
      <c r="T819" s="90"/>
      <c r="U819" s="90"/>
      <c r="V819" s="90"/>
      <c r="W819" s="90"/>
      <c r="X819" s="90"/>
      <c r="Y819" s="90"/>
      <c r="Z819" s="90"/>
      <c r="AA819" s="90"/>
      <c r="AB819" s="90"/>
    </row>
    <row r="820" spans="1:28" ht="16">
      <c r="A820" s="100"/>
      <c r="B820" s="87"/>
      <c r="C820" s="94"/>
      <c r="D820" s="95"/>
      <c r="E820" s="96"/>
      <c r="F820" s="88"/>
      <c r="G820" s="89" t="b">
        <v>0</v>
      </c>
      <c r="H820" s="89"/>
      <c r="I820" s="90"/>
      <c r="J820" s="90"/>
      <c r="K820" s="90"/>
      <c r="L820" s="90"/>
      <c r="M820" s="90"/>
      <c r="N820" s="90"/>
      <c r="O820" s="90"/>
      <c r="P820" s="90"/>
      <c r="Q820" s="90"/>
      <c r="R820" s="90"/>
      <c r="S820" s="90"/>
      <c r="T820" s="90"/>
      <c r="U820" s="90"/>
      <c r="V820" s="90"/>
      <c r="W820" s="90"/>
      <c r="X820" s="90"/>
      <c r="Y820" s="90"/>
      <c r="Z820" s="90"/>
      <c r="AA820" s="90"/>
      <c r="AB820" s="90"/>
    </row>
    <row r="821" spans="1:28" ht="16">
      <c r="A821" s="100"/>
      <c r="B821" s="91"/>
      <c r="C821" s="97"/>
      <c r="D821" s="98"/>
      <c r="E821" s="99"/>
      <c r="F821" s="92"/>
      <c r="G821" s="93" t="b">
        <v>0</v>
      </c>
      <c r="H821" s="93"/>
      <c r="I821" s="90"/>
      <c r="J821" s="90"/>
      <c r="K821" s="90"/>
      <c r="L821" s="90"/>
      <c r="M821" s="90"/>
      <c r="N821" s="90"/>
      <c r="O821" s="90"/>
      <c r="P821" s="90"/>
      <c r="Q821" s="90"/>
      <c r="R821" s="90"/>
      <c r="S821" s="90"/>
      <c r="T821" s="90"/>
      <c r="U821" s="90"/>
      <c r="V821" s="90"/>
      <c r="W821" s="90"/>
      <c r="X821" s="90"/>
      <c r="Y821" s="90"/>
      <c r="Z821" s="90"/>
      <c r="AA821" s="90"/>
      <c r="AB821" s="90"/>
    </row>
    <row r="822" spans="1:28" ht="16">
      <c r="A822" s="100"/>
      <c r="B822" s="87"/>
      <c r="C822" s="94"/>
      <c r="D822" s="95"/>
      <c r="E822" s="96"/>
      <c r="F822" s="88"/>
      <c r="G822" s="89" t="b">
        <v>0</v>
      </c>
      <c r="H822" s="89"/>
      <c r="I822" s="90"/>
      <c r="J822" s="90"/>
      <c r="K822" s="90"/>
      <c r="L822" s="90"/>
      <c r="M822" s="90"/>
      <c r="N822" s="90"/>
      <c r="O822" s="90"/>
      <c r="P822" s="90"/>
      <c r="Q822" s="90"/>
      <c r="R822" s="90"/>
      <c r="S822" s="90"/>
      <c r="T822" s="90"/>
      <c r="U822" s="90"/>
      <c r="V822" s="90"/>
      <c r="W822" s="90"/>
      <c r="X822" s="90"/>
      <c r="Y822" s="90"/>
      <c r="Z822" s="90"/>
      <c r="AA822" s="90"/>
      <c r="AB822" s="90"/>
    </row>
    <row r="823" spans="1:28" ht="16">
      <c r="A823" s="100"/>
      <c r="B823" s="91"/>
      <c r="C823" s="97"/>
      <c r="D823" s="98"/>
      <c r="E823" s="99"/>
      <c r="F823" s="92"/>
      <c r="G823" s="93" t="b">
        <v>0</v>
      </c>
      <c r="H823" s="93"/>
      <c r="I823" s="90"/>
      <c r="J823" s="90"/>
      <c r="K823" s="90"/>
      <c r="L823" s="90"/>
      <c r="M823" s="90"/>
      <c r="N823" s="90"/>
      <c r="O823" s="90"/>
      <c r="P823" s="90"/>
      <c r="Q823" s="90"/>
      <c r="R823" s="90"/>
      <c r="S823" s="90"/>
      <c r="T823" s="90"/>
      <c r="U823" s="90"/>
      <c r="V823" s="90"/>
      <c r="W823" s="90"/>
      <c r="X823" s="90"/>
      <c r="Y823" s="90"/>
      <c r="Z823" s="90"/>
      <c r="AA823" s="90"/>
      <c r="AB823" s="90"/>
    </row>
    <row r="824" spans="1:28" ht="16">
      <c r="A824" s="100"/>
      <c r="B824" s="87"/>
      <c r="C824" s="94"/>
      <c r="D824" s="95"/>
      <c r="E824" s="96"/>
      <c r="F824" s="88"/>
      <c r="G824" s="89" t="b">
        <v>0</v>
      </c>
      <c r="H824" s="89"/>
      <c r="I824" s="90"/>
      <c r="J824" s="90"/>
      <c r="K824" s="90"/>
      <c r="L824" s="90"/>
      <c r="M824" s="90"/>
      <c r="N824" s="90"/>
      <c r="O824" s="90"/>
      <c r="P824" s="90"/>
      <c r="Q824" s="90"/>
      <c r="R824" s="90"/>
      <c r="S824" s="90"/>
      <c r="T824" s="90"/>
      <c r="U824" s="90"/>
      <c r="V824" s="90"/>
      <c r="W824" s="90"/>
      <c r="X824" s="90"/>
      <c r="Y824" s="90"/>
      <c r="Z824" s="90"/>
      <c r="AA824" s="90"/>
      <c r="AB824" s="90"/>
    </row>
    <row r="825" spans="1:28" ht="16">
      <c r="A825" s="100"/>
      <c r="B825" s="91"/>
      <c r="C825" s="97"/>
      <c r="D825" s="98"/>
      <c r="E825" s="99"/>
      <c r="F825" s="92"/>
      <c r="G825" s="93" t="b">
        <v>0</v>
      </c>
      <c r="H825" s="93"/>
      <c r="I825" s="90"/>
      <c r="J825" s="90"/>
      <c r="K825" s="90"/>
      <c r="L825" s="90"/>
      <c r="M825" s="90"/>
      <c r="N825" s="90"/>
      <c r="O825" s="90"/>
      <c r="P825" s="90"/>
      <c r="Q825" s="90"/>
      <c r="R825" s="90"/>
      <c r="S825" s="90"/>
      <c r="T825" s="90"/>
      <c r="U825" s="90"/>
      <c r="V825" s="90"/>
      <c r="W825" s="90"/>
      <c r="X825" s="90"/>
      <c r="Y825" s="90"/>
      <c r="Z825" s="90"/>
      <c r="AA825" s="90"/>
      <c r="AB825" s="90"/>
    </row>
    <row r="826" spans="1:28" ht="16">
      <c r="A826" s="100"/>
      <c r="B826" s="87"/>
      <c r="C826" s="94"/>
      <c r="D826" s="95"/>
      <c r="E826" s="96"/>
      <c r="F826" s="88"/>
      <c r="G826" s="89" t="b">
        <v>0</v>
      </c>
      <c r="H826" s="89"/>
      <c r="I826" s="90"/>
      <c r="J826" s="90"/>
      <c r="K826" s="90"/>
      <c r="L826" s="90"/>
      <c r="M826" s="90"/>
      <c r="N826" s="90"/>
      <c r="O826" s="90"/>
      <c r="P826" s="90"/>
      <c r="Q826" s="90"/>
      <c r="R826" s="90"/>
      <c r="S826" s="90"/>
      <c r="T826" s="90"/>
      <c r="U826" s="90"/>
      <c r="V826" s="90"/>
      <c r="W826" s="90"/>
      <c r="X826" s="90"/>
      <c r="Y826" s="90"/>
      <c r="Z826" s="90"/>
      <c r="AA826" s="90"/>
      <c r="AB826" s="90"/>
    </row>
    <row r="827" spans="1:28" ht="16">
      <c r="A827" s="100"/>
      <c r="B827" s="91"/>
      <c r="C827" s="97"/>
      <c r="D827" s="98"/>
      <c r="E827" s="99"/>
      <c r="F827" s="92"/>
      <c r="G827" s="93" t="b">
        <v>0</v>
      </c>
      <c r="H827" s="93"/>
      <c r="I827" s="90"/>
      <c r="J827" s="90"/>
      <c r="K827" s="90"/>
      <c r="L827" s="90"/>
      <c r="M827" s="90"/>
      <c r="N827" s="90"/>
      <c r="O827" s="90"/>
      <c r="P827" s="90"/>
      <c r="Q827" s="90"/>
      <c r="R827" s="90"/>
      <c r="S827" s="90"/>
      <c r="T827" s="90"/>
      <c r="U827" s="90"/>
      <c r="V827" s="90"/>
      <c r="W827" s="90"/>
      <c r="X827" s="90"/>
      <c r="Y827" s="90"/>
      <c r="Z827" s="90"/>
      <c r="AA827" s="90"/>
      <c r="AB827" s="90"/>
    </row>
    <row r="828" spans="1:28" ht="16">
      <c r="A828" s="100"/>
      <c r="B828" s="87"/>
      <c r="C828" s="94"/>
      <c r="D828" s="95"/>
      <c r="E828" s="96"/>
      <c r="F828" s="88"/>
      <c r="G828" s="89" t="b">
        <v>0</v>
      </c>
      <c r="H828" s="89"/>
      <c r="I828" s="90"/>
      <c r="J828" s="90"/>
      <c r="K828" s="90"/>
      <c r="L828" s="90"/>
      <c r="M828" s="90"/>
      <c r="N828" s="90"/>
      <c r="O828" s="90"/>
      <c r="P828" s="90"/>
      <c r="Q828" s="90"/>
      <c r="R828" s="90"/>
      <c r="S828" s="90"/>
      <c r="T828" s="90"/>
      <c r="U828" s="90"/>
      <c r="V828" s="90"/>
      <c r="W828" s="90"/>
      <c r="X828" s="90"/>
      <c r="Y828" s="90"/>
      <c r="Z828" s="90"/>
      <c r="AA828" s="90"/>
      <c r="AB828" s="90"/>
    </row>
    <row r="829" spans="1:28" ht="16">
      <c r="A829" s="100"/>
      <c r="B829" s="91"/>
      <c r="C829" s="97"/>
      <c r="D829" s="98"/>
      <c r="E829" s="99"/>
      <c r="F829" s="92"/>
      <c r="G829" s="93" t="b">
        <v>0</v>
      </c>
      <c r="H829" s="93"/>
      <c r="I829" s="90"/>
      <c r="J829" s="90"/>
      <c r="K829" s="90"/>
      <c r="L829" s="90"/>
      <c r="M829" s="90"/>
      <c r="N829" s="90"/>
      <c r="O829" s="90"/>
      <c r="P829" s="90"/>
      <c r="Q829" s="90"/>
      <c r="R829" s="90"/>
      <c r="S829" s="90"/>
      <c r="T829" s="90"/>
      <c r="U829" s="90"/>
      <c r="V829" s="90"/>
      <c r="W829" s="90"/>
      <c r="X829" s="90"/>
      <c r="Y829" s="90"/>
      <c r="Z829" s="90"/>
      <c r="AA829" s="90"/>
      <c r="AB829" s="90"/>
    </row>
    <row r="830" spans="1:28" ht="16">
      <c r="A830" s="100"/>
      <c r="B830" s="87"/>
      <c r="C830" s="94"/>
      <c r="D830" s="95"/>
      <c r="E830" s="96"/>
      <c r="F830" s="88"/>
      <c r="G830" s="89" t="b">
        <v>0</v>
      </c>
      <c r="H830" s="89"/>
      <c r="I830" s="90"/>
      <c r="J830" s="90"/>
      <c r="K830" s="90"/>
      <c r="L830" s="90"/>
      <c r="M830" s="90"/>
      <c r="N830" s="90"/>
      <c r="O830" s="90"/>
      <c r="P830" s="90"/>
      <c r="Q830" s="90"/>
      <c r="R830" s="90"/>
      <c r="S830" s="90"/>
      <c r="T830" s="90"/>
      <c r="U830" s="90"/>
      <c r="V830" s="90"/>
      <c r="W830" s="90"/>
      <c r="X830" s="90"/>
      <c r="Y830" s="90"/>
      <c r="Z830" s="90"/>
      <c r="AA830" s="90"/>
      <c r="AB830" s="90"/>
    </row>
    <row r="831" spans="1:28" ht="16">
      <c r="A831" s="100"/>
      <c r="B831" s="91"/>
      <c r="C831" s="97"/>
      <c r="D831" s="98"/>
      <c r="E831" s="99"/>
      <c r="F831" s="92"/>
      <c r="G831" s="93" t="b">
        <v>0</v>
      </c>
      <c r="H831" s="93"/>
      <c r="I831" s="90"/>
      <c r="J831" s="90"/>
      <c r="K831" s="90"/>
      <c r="L831" s="90"/>
      <c r="M831" s="90"/>
      <c r="N831" s="90"/>
      <c r="O831" s="90"/>
      <c r="P831" s="90"/>
      <c r="Q831" s="90"/>
      <c r="R831" s="90"/>
      <c r="S831" s="90"/>
      <c r="T831" s="90"/>
      <c r="U831" s="90"/>
      <c r="V831" s="90"/>
      <c r="W831" s="90"/>
      <c r="X831" s="90"/>
      <c r="Y831" s="90"/>
      <c r="Z831" s="90"/>
      <c r="AA831" s="90"/>
      <c r="AB831" s="90"/>
    </row>
    <row r="832" spans="1:28" ht="16">
      <c r="A832" s="100"/>
      <c r="B832" s="87"/>
      <c r="C832" s="94"/>
      <c r="D832" s="95"/>
      <c r="E832" s="96"/>
      <c r="F832" s="88"/>
      <c r="G832" s="89" t="b">
        <v>0</v>
      </c>
      <c r="H832" s="89"/>
      <c r="I832" s="90"/>
      <c r="J832" s="90"/>
      <c r="K832" s="90"/>
      <c r="L832" s="90"/>
      <c r="M832" s="90"/>
      <c r="N832" s="90"/>
      <c r="O832" s="90"/>
      <c r="P832" s="90"/>
      <c r="Q832" s="90"/>
      <c r="R832" s="90"/>
      <c r="S832" s="90"/>
      <c r="T832" s="90"/>
      <c r="U832" s="90"/>
      <c r="V832" s="90"/>
      <c r="W832" s="90"/>
      <c r="X832" s="90"/>
      <c r="Y832" s="90"/>
      <c r="Z832" s="90"/>
      <c r="AA832" s="90"/>
      <c r="AB832" s="90"/>
    </row>
    <row r="833" spans="1:28" ht="16">
      <c r="A833" s="100"/>
      <c r="B833" s="91"/>
      <c r="C833" s="97"/>
      <c r="D833" s="98"/>
      <c r="E833" s="99"/>
      <c r="F833" s="92"/>
      <c r="G833" s="93" t="b">
        <v>0</v>
      </c>
      <c r="H833" s="93"/>
      <c r="I833" s="90"/>
      <c r="J833" s="90"/>
      <c r="K833" s="90"/>
      <c r="L833" s="90"/>
      <c r="M833" s="90"/>
      <c r="N833" s="90"/>
      <c r="O833" s="90"/>
      <c r="P833" s="90"/>
      <c r="Q833" s="90"/>
      <c r="R833" s="90"/>
      <c r="S833" s="90"/>
      <c r="T833" s="90"/>
      <c r="U833" s="90"/>
      <c r="V833" s="90"/>
      <c r="W833" s="90"/>
      <c r="X833" s="90"/>
      <c r="Y833" s="90"/>
      <c r="Z833" s="90"/>
      <c r="AA833" s="90"/>
      <c r="AB833" s="90"/>
    </row>
    <row r="834" spans="1:28" ht="16">
      <c r="A834" s="100"/>
      <c r="B834" s="87"/>
      <c r="C834" s="94"/>
      <c r="D834" s="95"/>
      <c r="E834" s="96"/>
      <c r="F834" s="88"/>
      <c r="G834" s="89" t="b">
        <v>0</v>
      </c>
      <c r="H834" s="89"/>
      <c r="I834" s="90"/>
      <c r="J834" s="90"/>
      <c r="K834" s="90"/>
      <c r="L834" s="90"/>
      <c r="M834" s="90"/>
      <c r="N834" s="90"/>
      <c r="O834" s="90"/>
      <c r="P834" s="90"/>
      <c r="Q834" s="90"/>
      <c r="R834" s="90"/>
      <c r="S834" s="90"/>
      <c r="T834" s="90"/>
      <c r="U834" s="90"/>
      <c r="V834" s="90"/>
      <c r="W834" s="90"/>
      <c r="X834" s="90"/>
      <c r="Y834" s="90"/>
      <c r="Z834" s="90"/>
      <c r="AA834" s="90"/>
      <c r="AB834" s="90"/>
    </row>
    <row r="835" spans="1:28" ht="16">
      <c r="A835" s="100"/>
      <c r="B835" s="91"/>
      <c r="C835" s="97"/>
      <c r="D835" s="98"/>
      <c r="E835" s="99"/>
      <c r="F835" s="92"/>
      <c r="G835" s="93" t="b">
        <v>0</v>
      </c>
      <c r="H835" s="93"/>
      <c r="I835" s="90"/>
      <c r="J835" s="90"/>
      <c r="K835" s="90"/>
      <c r="L835" s="90"/>
      <c r="M835" s="90"/>
      <c r="N835" s="90"/>
      <c r="O835" s="90"/>
      <c r="P835" s="90"/>
      <c r="Q835" s="90"/>
      <c r="R835" s="90"/>
      <c r="S835" s="90"/>
      <c r="T835" s="90"/>
      <c r="U835" s="90"/>
      <c r="V835" s="90"/>
      <c r="W835" s="90"/>
      <c r="X835" s="90"/>
      <c r="Y835" s="90"/>
      <c r="Z835" s="90"/>
      <c r="AA835" s="90"/>
      <c r="AB835" s="90"/>
    </row>
    <row r="836" spans="1:28" ht="16">
      <c r="A836" s="100"/>
      <c r="B836" s="87"/>
      <c r="C836" s="94"/>
      <c r="D836" s="95"/>
      <c r="E836" s="96"/>
      <c r="F836" s="88"/>
      <c r="G836" s="89" t="b">
        <v>0</v>
      </c>
      <c r="H836" s="89"/>
      <c r="I836" s="90"/>
      <c r="J836" s="90"/>
      <c r="K836" s="90"/>
      <c r="L836" s="90"/>
      <c r="M836" s="90"/>
      <c r="N836" s="90"/>
      <c r="O836" s="90"/>
      <c r="P836" s="90"/>
      <c r="Q836" s="90"/>
      <c r="R836" s="90"/>
      <c r="S836" s="90"/>
      <c r="T836" s="90"/>
      <c r="U836" s="90"/>
      <c r="V836" s="90"/>
      <c r="W836" s="90"/>
      <c r="X836" s="90"/>
      <c r="Y836" s="90"/>
      <c r="Z836" s="90"/>
      <c r="AA836" s="90"/>
      <c r="AB836" s="90"/>
    </row>
    <row r="837" spans="1:28" ht="16">
      <c r="A837" s="100"/>
      <c r="B837" s="91"/>
      <c r="C837" s="97"/>
      <c r="D837" s="98"/>
      <c r="E837" s="99"/>
      <c r="F837" s="92"/>
      <c r="G837" s="93" t="b">
        <v>0</v>
      </c>
      <c r="H837" s="93"/>
      <c r="I837" s="90"/>
      <c r="J837" s="90"/>
      <c r="K837" s="90"/>
      <c r="L837" s="90"/>
      <c r="M837" s="90"/>
      <c r="N837" s="90"/>
      <c r="O837" s="90"/>
      <c r="P837" s="90"/>
      <c r="Q837" s="90"/>
      <c r="R837" s="90"/>
      <c r="S837" s="90"/>
      <c r="T837" s="90"/>
      <c r="U837" s="90"/>
      <c r="V837" s="90"/>
      <c r="W837" s="90"/>
      <c r="X837" s="90"/>
      <c r="Y837" s="90"/>
      <c r="Z837" s="90"/>
      <c r="AA837" s="90"/>
      <c r="AB837" s="90"/>
    </row>
    <row r="838" spans="1:28" ht="16">
      <c r="A838" s="100"/>
      <c r="B838" s="87"/>
      <c r="C838" s="94"/>
      <c r="D838" s="95"/>
      <c r="E838" s="96"/>
      <c r="F838" s="88"/>
      <c r="G838" s="89" t="b">
        <v>0</v>
      </c>
      <c r="H838" s="89"/>
      <c r="I838" s="90"/>
      <c r="J838" s="90"/>
      <c r="K838" s="90"/>
      <c r="L838" s="90"/>
      <c r="M838" s="90"/>
      <c r="N838" s="90"/>
      <c r="O838" s="90"/>
      <c r="P838" s="90"/>
      <c r="Q838" s="90"/>
      <c r="R838" s="90"/>
      <c r="S838" s="90"/>
      <c r="T838" s="90"/>
      <c r="U838" s="90"/>
      <c r="V838" s="90"/>
      <c r="W838" s="90"/>
      <c r="X838" s="90"/>
      <c r="Y838" s="90"/>
      <c r="Z838" s="90"/>
      <c r="AA838" s="90"/>
      <c r="AB838" s="90"/>
    </row>
    <row r="839" spans="1:28" ht="16">
      <c r="A839" s="100"/>
      <c r="B839" s="91"/>
      <c r="C839" s="97"/>
      <c r="D839" s="98"/>
      <c r="E839" s="99"/>
      <c r="F839" s="92"/>
      <c r="G839" s="93" t="b">
        <v>0</v>
      </c>
      <c r="H839" s="93"/>
      <c r="I839" s="90"/>
      <c r="J839" s="90"/>
      <c r="K839" s="90"/>
      <c r="L839" s="90"/>
      <c r="M839" s="90"/>
      <c r="N839" s="90"/>
      <c r="O839" s="90"/>
      <c r="P839" s="90"/>
      <c r="Q839" s="90"/>
      <c r="R839" s="90"/>
      <c r="S839" s="90"/>
      <c r="T839" s="90"/>
      <c r="U839" s="90"/>
      <c r="V839" s="90"/>
      <c r="W839" s="90"/>
      <c r="X839" s="90"/>
      <c r="Y839" s="90"/>
      <c r="Z839" s="90"/>
      <c r="AA839" s="90"/>
      <c r="AB839" s="90"/>
    </row>
    <row r="840" spans="1:28" ht="16">
      <c r="A840" s="100"/>
      <c r="B840" s="87"/>
      <c r="C840" s="94"/>
      <c r="D840" s="95"/>
      <c r="E840" s="96"/>
      <c r="F840" s="88"/>
      <c r="G840" s="89" t="b">
        <v>0</v>
      </c>
      <c r="H840" s="89"/>
      <c r="I840" s="90"/>
      <c r="J840" s="90"/>
      <c r="K840" s="90"/>
      <c r="L840" s="90"/>
      <c r="M840" s="90"/>
      <c r="N840" s="90"/>
      <c r="O840" s="90"/>
      <c r="P840" s="90"/>
      <c r="Q840" s="90"/>
      <c r="R840" s="90"/>
      <c r="S840" s="90"/>
      <c r="T840" s="90"/>
      <c r="U840" s="90"/>
      <c r="V840" s="90"/>
      <c r="W840" s="90"/>
      <c r="X840" s="90"/>
      <c r="Y840" s="90"/>
      <c r="Z840" s="90"/>
      <c r="AA840" s="90"/>
      <c r="AB840" s="90"/>
    </row>
    <row r="841" spans="1:28" ht="16">
      <c r="A841" s="100"/>
      <c r="B841" s="91"/>
      <c r="C841" s="97"/>
      <c r="D841" s="98"/>
      <c r="E841" s="99"/>
      <c r="F841" s="92"/>
      <c r="G841" s="93" t="b">
        <v>0</v>
      </c>
      <c r="H841" s="93"/>
      <c r="I841" s="90"/>
      <c r="J841" s="90"/>
      <c r="K841" s="90"/>
      <c r="L841" s="90"/>
      <c r="M841" s="90"/>
      <c r="N841" s="90"/>
      <c r="O841" s="90"/>
      <c r="P841" s="90"/>
      <c r="Q841" s="90"/>
      <c r="R841" s="90"/>
      <c r="S841" s="90"/>
      <c r="T841" s="90"/>
      <c r="U841" s="90"/>
      <c r="V841" s="90"/>
      <c r="W841" s="90"/>
      <c r="X841" s="90"/>
      <c r="Y841" s="90"/>
      <c r="Z841" s="90"/>
      <c r="AA841" s="90"/>
      <c r="AB841" s="90"/>
    </row>
    <row r="842" spans="1:28" ht="16">
      <c r="A842" s="100"/>
      <c r="B842" s="87"/>
      <c r="C842" s="94"/>
      <c r="D842" s="95"/>
      <c r="E842" s="96"/>
      <c r="F842" s="88"/>
      <c r="G842" s="89" t="b">
        <v>0</v>
      </c>
      <c r="H842" s="89"/>
      <c r="I842" s="90"/>
      <c r="J842" s="90"/>
      <c r="K842" s="90"/>
      <c r="L842" s="90"/>
      <c r="M842" s="90"/>
      <c r="N842" s="90"/>
      <c r="O842" s="90"/>
      <c r="P842" s="90"/>
      <c r="Q842" s="90"/>
      <c r="R842" s="90"/>
      <c r="S842" s="90"/>
      <c r="T842" s="90"/>
      <c r="U842" s="90"/>
      <c r="V842" s="90"/>
      <c r="W842" s="90"/>
      <c r="X842" s="90"/>
      <c r="Y842" s="90"/>
      <c r="Z842" s="90"/>
      <c r="AA842" s="90"/>
      <c r="AB842" s="90"/>
    </row>
    <row r="843" spans="1:28" ht="16">
      <c r="A843" s="100"/>
      <c r="B843" s="91"/>
      <c r="C843" s="97"/>
      <c r="D843" s="98"/>
      <c r="E843" s="99"/>
      <c r="F843" s="92"/>
      <c r="G843" s="93" t="b">
        <v>0</v>
      </c>
      <c r="H843" s="93"/>
      <c r="I843" s="90"/>
      <c r="J843" s="90"/>
      <c r="K843" s="90"/>
      <c r="L843" s="90"/>
      <c r="M843" s="90"/>
      <c r="N843" s="90"/>
      <c r="O843" s="90"/>
      <c r="P843" s="90"/>
      <c r="Q843" s="90"/>
      <c r="R843" s="90"/>
      <c r="S843" s="90"/>
      <c r="T843" s="90"/>
      <c r="U843" s="90"/>
      <c r="V843" s="90"/>
      <c r="W843" s="90"/>
      <c r="X843" s="90"/>
      <c r="Y843" s="90"/>
      <c r="Z843" s="90"/>
      <c r="AA843" s="90"/>
      <c r="AB843" s="90"/>
    </row>
    <row r="844" spans="1:28" ht="16">
      <c r="A844" s="100"/>
      <c r="B844" s="87"/>
      <c r="C844" s="94"/>
      <c r="D844" s="95"/>
      <c r="E844" s="96"/>
      <c r="F844" s="88"/>
      <c r="G844" s="89" t="b">
        <v>0</v>
      </c>
      <c r="H844" s="89"/>
      <c r="I844" s="90"/>
      <c r="J844" s="90"/>
      <c r="K844" s="90"/>
      <c r="L844" s="90"/>
      <c r="M844" s="90"/>
      <c r="N844" s="90"/>
      <c r="O844" s="90"/>
      <c r="P844" s="90"/>
      <c r="Q844" s="90"/>
      <c r="R844" s="90"/>
      <c r="S844" s="90"/>
      <c r="T844" s="90"/>
      <c r="U844" s="90"/>
      <c r="V844" s="90"/>
      <c r="W844" s="90"/>
      <c r="X844" s="90"/>
      <c r="Y844" s="90"/>
      <c r="Z844" s="90"/>
      <c r="AA844" s="90"/>
      <c r="AB844" s="90"/>
    </row>
    <row r="845" spans="1:28" ht="16">
      <c r="A845" s="100"/>
      <c r="B845" s="91"/>
      <c r="C845" s="97"/>
      <c r="D845" s="98"/>
      <c r="E845" s="99"/>
      <c r="F845" s="92"/>
      <c r="G845" s="93" t="b">
        <v>0</v>
      </c>
      <c r="H845" s="93"/>
      <c r="I845" s="90"/>
      <c r="J845" s="90"/>
      <c r="K845" s="90"/>
      <c r="L845" s="90"/>
      <c r="M845" s="90"/>
      <c r="N845" s="90"/>
      <c r="O845" s="90"/>
      <c r="P845" s="90"/>
      <c r="Q845" s="90"/>
      <c r="R845" s="90"/>
      <c r="S845" s="90"/>
      <c r="T845" s="90"/>
      <c r="U845" s="90"/>
      <c r="V845" s="90"/>
      <c r="W845" s="90"/>
      <c r="X845" s="90"/>
      <c r="Y845" s="90"/>
      <c r="Z845" s="90"/>
      <c r="AA845" s="90"/>
      <c r="AB845" s="90"/>
    </row>
    <row r="846" spans="1:28" ht="16">
      <c r="A846" s="100"/>
      <c r="B846" s="87"/>
      <c r="C846" s="94"/>
      <c r="D846" s="95"/>
      <c r="E846" s="96"/>
      <c r="F846" s="88"/>
      <c r="G846" s="89" t="b">
        <v>0</v>
      </c>
      <c r="H846" s="89"/>
      <c r="I846" s="90"/>
      <c r="J846" s="90"/>
      <c r="K846" s="90"/>
      <c r="L846" s="90"/>
      <c r="M846" s="90"/>
      <c r="N846" s="90"/>
      <c r="O846" s="90"/>
      <c r="P846" s="90"/>
      <c r="Q846" s="90"/>
      <c r="R846" s="90"/>
      <c r="S846" s="90"/>
      <c r="T846" s="90"/>
      <c r="U846" s="90"/>
      <c r="V846" s="90"/>
      <c r="W846" s="90"/>
      <c r="X846" s="90"/>
      <c r="Y846" s="90"/>
      <c r="Z846" s="90"/>
      <c r="AA846" s="90"/>
      <c r="AB846" s="90"/>
    </row>
    <row r="847" spans="1:28" ht="16">
      <c r="A847" s="100"/>
      <c r="B847" s="91"/>
      <c r="C847" s="97"/>
      <c r="D847" s="98"/>
      <c r="E847" s="99"/>
      <c r="F847" s="92"/>
      <c r="G847" s="93" t="b">
        <v>0</v>
      </c>
      <c r="H847" s="93"/>
      <c r="I847" s="90"/>
      <c r="J847" s="90"/>
      <c r="K847" s="90"/>
      <c r="L847" s="90"/>
      <c r="M847" s="90"/>
      <c r="N847" s="90"/>
      <c r="O847" s="90"/>
      <c r="P847" s="90"/>
      <c r="Q847" s="90"/>
      <c r="R847" s="90"/>
      <c r="S847" s="90"/>
      <c r="T847" s="90"/>
      <c r="U847" s="90"/>
      <c r="V847" s="90"/>
      <c r="W847" s="90"/>
      <c r="X847" s="90"/>
      <c r="Y847" s="90"/>
      <c r="Z847" s="90"/>
      <c r="AA847" s="90"/>
      <c r="AB847" s="90"/>
    </row>
    <row r="848" spans="1:28" ht="16">
      <c r="A848" s="100"/>
      <c r="B848" s="87"/>
      <c r="C848" s="94"/>
      <c r="D848" s="95"/>
      <c r="E848" s="96"/>
      <c r="F848" s="88"/>
      <c r="G848" s="89" t="b">
        <v>0</v>
      </c>
      <c r="H848" s="89"/>
      <c r="I848" s="90"/>
      <c r="J848" s="90"/>
      <c r="K848" s="90"/>
      <c r="L848" s="90"/>
      <c r="M848" s="90"/>
      <c r="N848" s="90"/>
      <c r="O848" s="90"/>
      <c r="P848" s="90"/>
      <c r="Q848" s="90"/>
      <c r="R848" s="90"/>
      <c r="S848" s="90"/>
      <c r="T848" s="90"/>
      <c r="U848" s="90"/>
      <c r="V848" s="90"/>
      <c r="W848" s="90"/>
      <c r="X848" s="90"/>
      <c r="Y848" s="90"/>
      <c r="Z848" s="90"/>
      <c r="AA848" s="90"/>
      <c r="AB848" s="90"/>
    </row>
    <row r="849" spans="1:28" ht="16">
      <c r="A849" s="100"/>
      <c r="B849" s="91"/>
      <c r="C849" s="97"/>
      <c r="D849" s="98"/>
      <c r="E849" s="99"/>
      <c r="F849" s="92"/>
      <c r="G849" s="93" t="b">
        <v>0</v>
      </c>
      <c r="H849" s="93"/>
      <c r="I849" s="90"/>
      <c r="J849" s="90"/>
      <c r="K849" s="90"/>
      <c r="L849" s="90"/>
      <c r="M849" s="90"/>
      <c r="N849" s="90"/>
      <c r="O849" s="90"/>
      <c r="P849" s="90"/>
      <c r="Q849" s="90"/>
      <c r="R849" s="90"/>
      <c r="S849" s="90"/>
      <c r="T849" s="90"/>
      <c r="U849" s="90"/>
      <c r="V849" s="90"/>
      <c r="W849" s="90"/>
      <c r="X849" s="90"/>
      <c r="Y849" s="90"/>
      <c r="Z849" s="90"/>
      <c r="AA849" s="90"/>
      <c r="AB849" s="90"/>
    </row>
    <row r="850" spans="1:28" ht="16">
      <c r="A850" s="100"/>
      <c r="B850" s="87"/>
      <c r="C850" s="94"/>
      <c r="D850" s="95"/>
      <c r="E850" s="96"/>
      <c r="F850" s="88"/>
      <c r="G850" s="89" t="b">
        <v>0</v>
      </c>
      <c r="H850" s="89"/>
      <c r="I850" s="90"/>
      <c r="J850" s="90"/>
      <c r="K850" s="90"/>
      <c r="L850" s="90"/>
      <c r="M850" s="90"/>
      <c r="N850" s="90"/>
      <c r="O850" s="90"/>
      <c r="P850" s="90"/>
      <c r="Q850" s="90"/>
      <c r="R850" s="90"/>
      <c r="S850" s="90"/>
      <c r="T850" s="90"/>
      <c r="U850" s="90"/>
      <c r="V850" s="90"/>
      <c r="W850" s="90"/>
      <c r="X850" s="90"/>
      <c r="Y850" s="90"/>
      <c r="Z850" s="90"/>
      <c r="AA850" s="90"/>
      <c r="AB850" s="90"/>
    </row>
    <row r="851" spans="1:28" ht="16">
      <c r="A851" s="100"/>
      <c r="B851" s="91"/>
      <c r="C851" s="97"/>
      <c r="D851" s="98"/>
      <c r="E851" s="99"/>
      <c r="F851" s="92"/>
      <c r="G851" s="93" t="b">
        <v>0</v>
      </c>
      <c r="H851" s="93"/>
      <c r="I851" s="90"/>
      <c r="J851" s="90"/>
      <c r="K851" s="90"/>
      <c r="L851" s="90"/>
      <c r="M851" s="90"/>
      <c r="N851" s="90"/>
      <c r="O851" s="90"/>
      <c r="P851" s="90"/>
      <c r="Q851" s="90"/>
      <c r="R851" s="90"/>
      <c r="S851" s="90"/>
      <c r="T851" s="90"/>
      <c r="U851" s="90"/>
      <c r="V851" s="90"/>
      <c r="W851" s="90"/>
      <c r="X851" s="90"/>
      <c r="Y851" s="90"/>
      <c r="Z851" s="90"/>
      <c r="AA851" s="90"/>
      <c r="AB851" s="90"/>
    </row>
    <row r="852" spans="1:28" ht="16">
      <c r="A852" s="100"/>
      <c r="B852" s="87"/>
      <c r="C852" s="94"/>
      <c r="D852" s="95"/>
      <c r="E852" s="96"/>
      <c r="F852" s="88"/>
      <c r="G852" s="89" t="b">
        <v>0</v>
      </c>
      <c r="H852" s="89"/>
      <c r="I852" s="90"/>
      <c r="J852" s="90"/>
      <c r="K852" s="90"/>
      <c r="L852" s="90"/>
      <c r="M852" s="90"/>
      <c r="N852" s="90"/>
      <c r="O852" s="90"/>
      <c r="P852" s="90"/>
      <c r="Q852" s="90"/>
      <c r="R852" s="90"/>
      <c r="S852" s="90"/>
      <c r="T852" s="90"/>
      <c r="U852" s="90"/>
      <c r="V852" s="90"/>
      <c r="W852" s="90"/>
      <c r="X852" s="90"/>
      <c r="Y852" s="90"/>
      <c r="Z852" s="90"/>
      <c r="AA852" s="90"/>
      <c r="AB852" s="90"/>
    </row>
    <row r="853" spans="1:28" ht="16">
      <c r="A853" s="100"/>
      <c r="B853" s="91"/>
      <c r="C853" s="97"/>
      <c r="D853" s="98"/>
      <c r="E853" s="99"/>
      <c r="F853" s="92"/>
      <c r="G853" s="93" t="b">
        <v>0</v>
      </c>
      <c r="H853" s="93"/>
      <c r="I853" s="90"/>
      <c r="J853" s="90"/>
      <c r="K853" s="90"/>
      <c r="L853" s="90"/>
      <c r="M853" s="90"/>
      <c r="N853" s="90"/>
      <c r="O853" s="90"/>
      <c r="P853" s="90"/>
      <c r="Q853" s="90"/>
      <c r="R853" s="90"/>
      <c r="S853" s="90"/>
      <c r="T853" s="90"/>
      <c r="U853" s="90"/>
      <c r="V853" s="90"/>
      <c r="W853" s="90"/>
      <c r="X853" s="90"/>
      <c r="Y853" s="90"/>
      <c r="Z853" s="90"/>
      <c r="AA853" s="90"/>
      <c r="AB853" s="90"/>
    </row>
    <row r="854" spans="1:28" ht="16">
      <c r="A854" s="100"/>
      <c r="B854" s="87"/>
      <c r="C854" s="94"/>
      <c r="D854" s="95"/>
      <c r="E854" s="96"/>
      <c r="F854" s="88"/>
      <c r="G854" s="89" t="b">
        <v>0</v>
      </c>
      <c r="H854" s="89"/>
      <c r="I854" s="90"/>
      <c r="J854" s="90"/>
      <c r="K854" s="90"/>
      <c r="L854" s="90"/>
      <c r="M854" s="90"/>
      <c r="N854" s="90"/>
      <c r="O854" s="90"/>
      <c r="P854" s="90"/>
      <c r="Q854" s="90"/>
      <c r="R854" s="90"/>
      <c r="S854" s="90"/>
      <c r="T854" s="90"/>
      <c r="U854" s="90"/>
      <c r="V854" s="90"/>
      <c r="W854" s="90"/>
      <c r="X854" s="90"/>
      <c r="Y854" s="90"/>
      <c r="Z854" s="90"/>
      <c r="AA854" s="90"/>
      <c r="AB854" s="90"/>
    </row>
    <row r="855" spans="1:28" ht="16">
      <c r="A855" s="100"/>
      <c r="B855" s="91"/>
      <c r="C855" s="97"/>
      <c r="D855" s="98"/>
      <c r="E855" s="99"/>
      <c r="F855" s="92"/>
      <c r="G855" s="93" t="b">
        <v>0</v>
      </c>
      <c r="H855" s="93"/>
      <c r="I855" s="90"/>
      <c r="J855" s="90"/>
      <c r="K855" s="90"/>
      <c r="L855" s="90"/>
      <c r="M855" s="90"/>
      <c r="N855" s="90"/>
      <c r="O855" s="90"/>
      <c r="P855" s="90"/>
      <c r="Q855" s="90"/>
      <c r="R855" s="90"/>
      <c r="S855" s="90"/>
      <c r="T855" s="90"/>
      <c r="U855" s="90"/>
      <c r="V855" s="90"/>
      <c r="W855" s="90"/>
      <c r="X855" s="90"/>
      <c r="Y855" s="90"/>
      <c r="Z855" s="90"/>
      <c r="AA855" s="90"/>
      <c r="AB855" s="90"/>
    </row>
    <row r="856" spans="1:28" ht="16">
      <c r="A856" s="100"/>
      <c r="B856" s="87"/>
      <c r="C856" s="94"/>
      <c r="D856" s="95"/>
      <c r="E856" s="96"/>
      <c r="F856" s="88"/>
      <c r="G856" s="89" t="b">
        <v>0</v>
      </c>
      <c r="H856" s="89"/>
      <c r="I856" s="90"/>
      <c r="J856" s="90"/>
      <c r="K856" s="90"/>
      <c r="L856" s="90"/>
      <c r="M856" s="90"/>
      <c r="N856" s="90"/>
      <c r="O856" s="90"/>
      <c r="P856" s="90"/>
      <c r="Q856" s="90"/>
      <c r="R856" s="90"/>
      <c r="S856" s="90"/>
      <c r="T856" s="90"/>
      <c r="U856" s="90"/>
      <c r="V856" s="90"/>
      <c r="W856" s="90"/>
      <c r="X856" s="90"/>
      <c r="Y856" s="90"/>
      <c r="Z856" s="90"/>
      <c r="AA856" s="90"/>
      <c r="AB856" s="90"/>
    </row>
    <row r="857" spans="1:28" ht="16">
      <c r="A857" s="100"/>
      <c r="B857" s="91"/>
      <c r="C857" s="97"/>
      <c r="D857" s="98"/>
      <c r="E857" s="99"/>
      <c r="F857" s="92"/>
      <c r="G857" s="93" t="b">
        <v>0</v>
      </c>
      <c r="H857" s="93"/>
      <c r="I857" s="90"/>
      <c r="J857" s="90"/>
      <c r="K857" s="90"/>
      <c r="L857" s="90"/>
      <c r="M857" s="90"/>
      <c r="N857" s="90"/>
      <c r="O857" s="90"/>
      <c r="P857" s="90"/>
      <c r="Q857" s="90"/>
      <c r="R857" s="90"/>
      <c r="S857" s="90"/>
      <c r="T857" s="90"/>
      <c r="U857" s="90"/>
      <c r="V857" s="90"/>
      <c r="W857" s="90"/>
      <c r="X857" s="90"/>
      <c r="Y857" s="90"/>
      <c r="Z857" s="90"/>
      <c r="AA857" s="90"/>
      <c r="AB857" s="90"/>
    </row>
    <row r="858" spans="1:28" ht="16">
      <c r="A858" s="100"/>
      <c r="B858" s="87"/>
      <c r="C858" s="94"/>
      <c r="D858" s="95"/>
      <c r="E858" s="96"/>
      <c r="F858" s="88"/>
      <c r="G858" s="89" t="b">
        <v>0</v>
      </c>
      <c r="H858" s="89"/>
      <c r="I858" s="90"/>
      <c r="J858" s="90"/>
      <c r="K858" s="90"/>
      <c r="L858" s="90"/>
      <c r="M858" s="90"/>
      <c r="N858" s="90"/>
      <c r="O858" s="90"/>
      <c r="P858" s="90"/>
      <c r="Q858" s="90"/>
      <c r="R858" s="90"/>
      <c r="S858" s="90"/>
      <c r="T858" s="90"/>
      <c r="U858" s="90"/>
      <c r="V858" s="90"/>
      <c r="W858" s="90"/>
      <c r="X858" s="90"/>
      <c r="Y858" s="90"/>
      <c r="Z858" s="90"/>
      <c r="AA858" s="90"/>
      <c r="AB858" s="90"/>
    </row>
    <row r="859" spans="1:28" ht="16">
      <c r="A859" s="100"/>
      <c r="B859" s="91"/>
      <c r="C859" s="97"/>
      <c r="D859" s="98"/>
      <c r="E859" s="99"/>
      <c r="F859" s="92"/>
      <c r="G859" s="93" t="b">
        <v>0</v>
      </c>
      <c r="H859" s="93"/>
      <c r="I859" s="90"/>
      <c r="J859" s="90"/>
      <c r="K859" s="90"/>
      <c r="L859" s="90"/>
      <c r="M859" s="90"/>
      <c r="N859" s="90"/>
      <c r="O859" s="90"/>
      <c r="P859" s="90"/>
      <c r="Q859" s="90"/>
      <c r="R859" s="90"/>
      <c r="S859" s="90"/>
      <c r="T859" s="90"/>
      <c r="U859" s="90"/>
      <c r="V859" s="90"/>
      <c r="W859" s="90"/>
      <c r="X859" s="90"/>
      <c r="Y859" s="90"/>
      <c r="Z859" s="90"/>
      <c r="AA859" s="90"/>
      <c r="AB859" s="90"/>
    </row>
    <row r="860" spans="1:28" ht="16">
      <c r="A860" s="100"/>
      <c r="B860" s="87"/>
      <c r="C860" s="94"/>
      <c r="D860" s="95"/>
      <c r="E860" s="96"/>
      <c r="F860" s="88"/>
      <c r="G860" s="89" t="b">
        <v>0</v>
      </c>
      <c r="H860" s="89"/>
      <c r="I860" s="90"/>
      <c r="J860" s="90"/>
      <c r="K860" s="90"/>
      <c r="L860" s="90"/>
      <c r="M860" s="90"/>
      <c r="N860" s="90"/>
      <c r="O860" s="90"/>
      <c r="P860" s="90"/>
      <c r="Q860" s="90"/>
      <c r="R860" s="90"/>
      <c r="S860" s="90"/>
      <c r="T860" s="90"/>
      <c r="U860" s="90"/>
      <c r="V860" s="90"/>
      <c r="W860" s="90"/>
      <c r="X860" s="90"/>
      <c r="Y860" s="90"/>
      <c r="Z860" s="90"/>
      <c r="AA860" s="90"/>
      <c r="AB860" s="90"/>
    </row>
    <row r="861" spans="1:28" ht="16">
      <c r="A861" s="100"/>
      <c r="B861" s="91"/>
      <c r="C861" s="97"/>
      <c r="D861" s="98"/>
      <c r="E861" s="99"/>
      <c r="F861" s="92"/>
      <c r="G861" s="93" t="b">
        <v>0</v>
      </c>
      <c r="H861" s="93"/>
      <c r="I861" s="90"/>
      <c r="J861" s="90"/>
      <c r="K861" s="90"/>
      <c r="L861" s="90"/>
      <c r="M861" s="90"/>
      <c r="N861" s="90"/>
      <c r="O861" s="90"/>
      <c r="P861" s="90"/>
      <c r="Q861" s="90"/>
      <c r="R861" s="90"/>
      <c r="S861" s="90"/>
      <c r="T861" s="90"/>
      <c r="U861" s="90"/>
      <c r="V861" s="90"/>
      <c r="W861" s="90"/>
      <c r="X861" s="90"/>
      <c r="Y861" s="90"/>
      <c r="Z861" s="90"/>
      <c r="AA861" s="90"/>
      <c r="AB861" s="90"/>
    </row>
    <row r="862" spans="1:28" ht="16">
      <c r="A862" s="100"/>
      <c r="B862" s="87"/>
      <c r="C862" s="94"/>
      <c r="D862" s="95"/>
      <c r="E862" s="96"/>
      <c r="F862" s="88"/>
      <c r="G862" s="89" t="b">
        <v>0</v>
      </c>
      <c r="H862" s="89"/>
      <c r="I862" s="90"/>
      <c r="J862" s="90"/>
      <c r="K862" s="90"/>
      <c r="L862" s="90"/>
      <c r="M862" s="90"/>
      <c r="N862" s="90"/>
      <c r="O862" s="90"/>
      <c r="P862" s="90"/>
      <c r="Q862" s="90"/>
      <c r="R862" s="90"/>
      <c r="S862" s="90"/>
      <c r="T862" s="90"/>
      <c r="U862" s="90"/>
      <c r="V862" s="90"/>
      <c r="W862" s="90"/>
      <c r="X862" s="90"/>
      <c r="Y862" s="90"/>
      <c r="Z862" s="90"/>
      <c r="AA862" s="90"/>
      <c r="AB862" s="90"/>
    </row>
    <row r="863" spans="1:28" ht="16">
      <c r="A863" s="100"/>
      <c r="B863" s="91"/>
      <c r="C863" s="97"/>
      <c r="D863" s="98"/>
      <c r="E863" s="99"/>
      <c r="F863" s="92"/>
      <c r="G863" s="93" t="b">
        <v>0</v>
      </c>
      <c r="H863" s="93"/>
      <c r="I863" s="90"/>
      <c r="J863" s="90"/>
      <c r="K863" s="90"/>
      <c r="L863" s="90"/>
      <c r="M863" s="90"/>
      <c r="N863" s="90"/>
      <c r="O863" s="90"/>
      <c r="P863" s="90"/>
      <c r="Q863" s="90"/>
      <c r="R863" s="90"/>
      <c r="S863" s="90"/>
      <c r="T863" s="90"/>
      <c r="U863" s="90"/>
      <c r="V863" s="90"/>
      <c r="W863" s="90"/>
      <c r="X863" s="90"/>
      <c r="Y863" s="90"/>
      <c r="Z863" s="90"/>
      <c r="AA863" s="90"/>
      <c r="AB863" s="90"/>
    </row>
    <row r="864" spans="1:28" ht="16">
      <c r="A864" s="100"/>
      <c r="B864" s="87"/>
      <c r="C864" s="94"/>
      <c r="D864" s="95"/>
      <c r="E864" s="96"/>
      <c r="F864" s="88"/>
      <c r="G864" s="89" t="b">
        <v>0</v>
      </c>
      <c r="H864" s="89"/>
      <c r="I864" s="90"/>
      <c r="J864" s="90"/>
      <c r="K864" s="90"/>
      <c r="L864" s="90"/>
      <c r="M864" s="90"/>
      <c r="N864" s="90"/>
      <c r="O864" s="90"/>
      <c r="P864" s="90"/>
      <c r="Q864" s="90"/>
      <c r="R864" s="90"/>
      <c r="S864" s="90"/>
      <c r="T864" s="90"/>
      <c r="U864" s="90"/>
      <c r="V864" s="90"/>
      <c r="W864" s="90"/>
      <c r="X864" s="90"/>
      <c r="Y864" s="90"/>
      <c r="Z864" s="90"/>
      <c r="AA864" s="90"/>
      <c r="AB864" s="90"/>
    </row>
    <row r="865" spans="1:28" ht="16">
      <c r="A865" s="100"/>
      <c r="B865" s="91"/>
      <c r="C865" s="97"/>
      <c r="D865" s="98"/>
      <c r="E865" s="99"/>
      <c r="F865" s="92"/>
      <c r="G865" s="93" t="b">
        <v>0</v>
      </c>
      <c r="H865" s="93"/>
      <c r="I865" s="90"/>
      <c r="J865" s="90"/>
      <c r="K865" s="90"/>
      <c r="L865" s="90"/>
      <c r="M865" s="90"/>
      <c r="N865" s="90"/>
      <c r="O865" s="90"/>
      <c r="P865" s="90"/>
      <c r="Q865" s="90"/>
      <c r="R865" s="90"/>
      <c r="S865" s="90"/>
      <c r="T865" s="90"/>
      <c r="U865" s="90"/>
      <c r="V865" s="90"/>
      <c r="W865" s="90"/>
      <c r="X865" s="90"/>
      <c r="Y865" s="90"/>
      <c r="Z865" s="90"/>
      <c r="AA865" s="90"/>
      <c r="AB865" s="90"/>
    </row>
    <row r="866" spans="1:28" ht="16">
      <c r="A866" s="100"/>
      <c r="B866" s="87"/>
      <c r="C866" s="94"/>
      <c r="D866" s="95"/>
      <c r="E866" s="96"/>
      <c r="F866" s="88"/>
      <c r="G866" s="89" t="b">
        <v>0</v>
      </c>
      <c r="H866" s="89"/>
      <c r="I866" s="90"/>
      <c r="J866" s="90"/>
      <c r="K866" s="90"/>
      <c r="L866" s="90"/>
      <c r="M866" s="90"/>
      <c r="N866" s="90"/>
      <c r="O866" s="90"/>
      <c r="P866" s="90"/>
      <c r="Q866" s="90"/>
      <c r="R866" s="90"/>
      <c r="S866" s="90"/>
      <c r="T866" s="90"/>
      <c r="U866" s="90"/>
      <c r="V866" s="90"/>
      <c r="W866" s="90"/>
      <c r="X866" s="90"/>
      <c r="Y866" s="90"/>
      <c r="Z866" s="90"/>
      <c r="AA866" s="90"/>
      <c r="AB866" s="90"/>
    </row>
    <row r="867" spans="1:28" ht="16">
      <c r="A867" s="100"/>
      <c r="B867" s="91"/>
      <c r="C867" s="97"/>
      <c r="D867" s="98"/>
      <c r="E867" s="99"/>
      <c r="F867" s="92"/>
      <c r="G867" s="93" t="b">
        <v>0</v>
      </c>
      <c r="H867" s="93"/>
      <c r="I867" s="90"/>
      <c r="J867" s="90"/>
      <c r="K867" s="90"/>
      <c r="L867" s="90"/>
      <c r="M867" s="90"/>
      <c r="N867" s="90"/>
      <c r="O867" s="90"/>
      <c r="P867" s="90"/>
      <c r="Q867" s="90"/>
      <c r="R867" s="90"/>
      <c r="S867" s="90"/>
      <c r="T867" s="90"/>
      <c r="U867" s="90"/>
      <c r="V867" s="90"/>
      <c r="W867" s="90"/>
      <c r="X867" s="90"/>
      <c r="Y867" s="90"/>
      <c r="Z867" s="90"/>
      <c r="AA867" s="90"/>
      <c r="AB867" s="90"/>
    </row>
    <row r="868" spans="1:28" ht="16">
      <c r="A868" s="100"/>
      <c r="B868" s="87"/>
      <c r="C868" s="94"/>
      <c r="D868" s="95"/>
      <c r="E868" s="96"/>
      <c r="F868" s="88"/>
      <c r="G868" s="89" t="b">
        <v>0</v>
      </c>
      <c r="H868" s="89"/>
      <c r="I868" s="90"/>
      <c r="J868" s="90"/>
      <c r="K868" s="90"/>
      <c r="L868" s="90"/>
      <c r="M868" s="90"/>
      <c r="N868" s="90"/>
      <c r="O868" s="90"/>
      <c r="P868" s="90"/>
      <c r="Q868" s="90"/>
      <c r="R868" s="90"/>
      <c r="S868" s="90"/>
      <c r="T868" s="90"/>
      <c r="U868" s="90"/>
      <c r="V868" s="90"/>
      <c r="W868" s="90"/>
      <c r="X868" s="90"/>
      <c r="Y868" s="90"/>
      <c r="Z868" s="90"/>
      <c r="AA868" s="90"/>
      <c r="AB868" s="90"/>
    </row>
    <row r="869" spans="1:28" ht="16">
      <c r="A869" s="100"/>
      <c r="B869" s="91"/>
      <c r="C869" s="97"/>
      <c r="D869" s="98"/>
      <c r="E869" s="99"/>
      <c r="F869" s="92"/>
      <c r="G869" s="93" t="b">
        <v>0</v>
      </c>
      <c r="H869" s="93"/>
      <c r="I869" s="90"/>
      <c r="J869" s="90"/>
      <c r="K869" s="90"/>
      <c r="L869" s="90"/>
      <c r="M869" s="90"/>
      <c r="N869" s="90"/>
      <c r="O869" s="90"/>
      <c r="P869" s="90"/>
      <c r="Q869" s="90"/>
      <c r="R869" s="90"/>
      <c r="S869" s="90"/>
      <c r="T869" s="90"/>
      <c r="U869" s="90"/>
      <c r="V869" s="90"/>
      <c r="W869" s="90"/>
      <c r="X869" s="90"/>
      <c r="Y869" s="90"/>
      <c r="Z869" s="90"/>
      <c r="AA869" s="90"/>
      <c r="AB869" s="90"/>
    </row>
    <row r="870" spans="1:28" ht="16">
      <c r="A870" s="100"/>
      <c r="B870" s="87"/>
      <c r="C870" s="94"/>
      <c r="D870" s="95"/>
      <c r="E870" s="96"/>
      <c r="F870" s="88"/>
      <c r="G870" s="89" t="b">
        <v>0</v>
      </c>
      <c r="H870" s="89"/>
      <c r="I870" s="90"/>
      <c r="J870" s="90"/>
      <c r="K870" s="90"/>
      <c r="L870" s="90"/>
      <c r="M870" s="90"/>
      <c r="N870" s="90"/>
      <c r="O870" s="90"/>
      <c r="P870" s="90"/>
      <c r="Q870" s="90"/>
      <c r="R870" s="90"/>
      <c r="S870" s="90"/>
      <c r="T870" s="90"/>
      <c r="U870" s="90"/>
      <c r="V870" s="90"/>
      <c r="W870" s="90"/>
      <c r="X870" s="90"/>
      <c r="Y870" s="90"/>
      <c r="Z870" s="90"/>
      <c r="AA870" s="90"/>
      <c r="AB870" s="90"/>
    </row>
    <row r="871" spans="1:28" ht="16">
      <c r="A871" s="100"/>
      <c r="B871" s="91"/>
      <c r="C871" s="97"/>
      <c r="D871" s="98"/>
      <c r="E871" s="99"/>
      <c r="F871" s="92"/>
      <c r="G871" s="93" t="b">
        <v>0</v>
      </c>
      <c r="H871" s="93"/>
      <c r="I871" s="90"/>
      <c r="J871" s="90"/>
      <c r="K871" s="90"/>
      <c r="L871" s="90"/>
      <c r="M871" s="90"/>
      <c r="N871" s="90"/>
      <c r="O871" s="90"/>
      <c r="P871" s="90"/>
      <c r="Q871" s="90"/>
      <c r="R871" s="90"/>
      <c r="S871" s="90"/>
      <c r="T871" s="90"/>
      <c r="U871" s="90"/>
      <c r="V871" s="90"/>
      <c r="W871" s="90"/>
      <c r="X871" s="90"/>
      <c r="Y871" s="90"/>
      <c r="Z871" s="90"/>
      <c r="AA871" s="90"/>
      <c r="AB871" s="90"/>
    </row>
    <row r="872" spans="1:28" ht="16">
      <c r="A872" s="100"/>
      <c r="B872" s="87"/>
      <c r="C872" s="94"/>
      <c r="D872" s="95"/>
      <c r="E872" s="96"/>
      <c r="F872" s="88"/>
      <c r="G872" s="89" t="b">
        <v>0</v>
      </c>
      <c r="H872" s="89"/>
      <c r="I872" s="90"/>
      <c r="J872" s="90"/>
      <c r="K872" s="90"/>
      <c r="L872" s="90"/>
      <c r="M872" s="90"/>
      <c r="N872" s="90"/>
      <c r="O872" s="90"/>
      <c r="P872" s="90"/>
      <c r="Q872" s="90"/>
      <c r="R872" s="90"/>
      <c r="S872" s="90"/>
      <c r="T872" s="90"/>
      <c r="U872" s="90"/>
      <c r="V872" s="90"/>
      <c r="W872" s="90"/>
      <c r="X872" s="90"/>
      <c r="Y872" s="90"/>
      <c r="Z872" s="90"/>
      <c r="AA872" s="90"/>
      <c r="AB872" s="90"/>
    </row>
    <row r="873" spans="1:28" ht="16">
      <c r="A873" s="100"/>
      <c r="B873" s="91"/>
      <c r="C873" s="97"/>
      <c r="D873" s="98"/>
      <c r="E873" s="99"/>
      <c r="F873" s="92"/>
      <c r="G873" s="93" t="b">
        <v>0</v>
      </c>
      <c r="H873" s="93"/>
      <c r="I873" s="90"/>
      <c r="J873" s="90"/>
      <c r="K873" s="90"/>
      <c r="L873" s="90"/>
      <c r="M873" s="90"/>
      <c r="N873" s="90"/>
      <c r="O873" s="90"/>
      <c r="P873" s="90"/>
      <c r="Q873" s="90"/>
      <c r="R873" s="90"/>
      <c r="S873" s="90"/>
      <c r="T873" s="90"/>
      <c r="U873" s="90"/>
      <c r="V873" s="90"/>
      <c r="W873" s="90"/>
      <c r="X873" s="90"/>
      <c r="Y873" s="90"/>
      <c r="Z873" s="90"/>
      <c r="AA873" s="90"/>
      <c r="AB873" s="90"/>
    </row>
    <row r="874" spans="1:28" ht="16">
      <c r="A874" s="100"/>
      <c r="B874" s="87"/>
      <c r="C874" s="94"/>
      <c r="D874" s="95"/>
      <c r="E874" s="96"/>
      <c r="F874" s="88"/>
      <c r="G874" s="89" t="b">
        <v>0</v>
      </c>
      <c r="H874" s="89"/>
      <c r="I874" s="90"/>
      <c r="J874" s="90"/>
      <c r="K874" s="90"/>
      <c r="L874" s="90"/>
      <c r="M874" s="90"/>
      <c r="N874" s="90"/>
      <c r="O874" s="90"/>
      <c r="P874" s="90"/>
      <c r="Q874" s="90"/>
      <c r="R874" s="90"/>
      <c r="S874" s="90"/>
      <c r="T874" s="90"/>
      <c r="U874" s="90"/>
      <c r="V874" s="90"/>
      <c r="W874" s="90"/>
      <c r="X874" s="90"/>
      <c r="Y874" s="90"/>
      <c r="Z874" s="90"/>
      <c r="AA874" s="90"/>
      <c r="AB874" s="90"/>
    </row>
    <row r="875" spans="1:28" ht="16">
      <c r="A875" s="100"/>
      <c r="B875" s="91"/>
      <c r="C875" s="97"/>
      <c r="D875" s="98"/>
      <c r="E875" s="99"/>
      <c r="F875" s="92"/>
      <c r="G875" s="93" t="b">
        <v>0</v>
      </c>
      <c r="H875" s="93"/>
      <c r="I875" s="90"/>
      <c r="J875" s="90"/>
      <c r="K875" s="90"/>
      <c r="L875" s="90"/>
      <c r="M875" s="90"/>
      <c r="N875" s="90"/>
      <c r="O875" s="90"/>
      <c r="P875" s="90"/>
      <c r="Q875" s="90"/>
      <c r="R875" s="90"/>
      <c r="S875" s="90"/>
      <c r="T875" s="90"/>
      <c r="U875" s="90"/>
      <c r="V875" s="90"/>
      <c r="W875" s="90"/>
      <c r="X875" s="90"/>
      <c r="Y875" s="90"/>
      <c r="Z875" s="90"/>
      <c r="AA875" s="90"/>
      <c r="AB875" s="90"/>
    </row>
    <row r="876" spans="1:28" ht="16">
      <c r="A876" s="100"/>
      <c r="B876" s="87"/>
      <c r="C876" s="94"/>
      <c r="D876" s="95"/>
      <c r="E876" s="96"/>
      <c r="F876" s="88"/>
      <c r="G876" s="89" t="b">
        <v>0</v>
      </c>
      <c r="H876" s="89"/>
      <c r="I876" s="90"/>
      <c r="J876" s="90"/>
      <c r="K876" s="90"/>
      <c r="L876" s="90"/>
      <c r="M876" s="90"/>
      <c r="N876" s="90"/>
      <c r="O876" s="90"/>
      <c r="P876" s="90"/>
      <c r="Q876" s="90"/>
      <c r="R876" s="90"/>
      <c r="S876" s="90"/>
      <c r="T876" s="90"/>
      <c r="U876" s="90"/>
      <c r="V876" s="90"/>
      <c r="W876" s="90"/>
      <c r="X876" s="90"/>
      <c r="Y876" s="90"/>
      <c r="Z876" s="90"/>
      <c r="AA876" s="90"/>
      <c r="AB876" s="90"/>
    </row>
    <row r="877" spans="1:28" ht="16">
      <c r="A877" s="100"/>
      <c r="B877" s="91"/>
      <c r="C877" s="97"/>
      <c r="D877" s="98"/>
      <c r="E877" s="99"/>
      <c r="F877" s="92"/>
      <c r="G877" s="93" t="b">
        <v>0</v>
      </c>
      <c r="H877" s="93"/>
      <c r="I877" s="90"/>
      <c r="J877" s="90"/>
      <c r="K877" s="90"/>
      <c r="L877" s="90"/>
      <c r="M877" s="90"/>
      <c r="N877" s="90"/>
      <c r="O877" s="90"/>
      <c r="P877" s="90"/>
      <c r="Q877" s="90"/>
      <c r="R877" s="90"/>
      <c r="S877" s="90"/>
      <c r="T877" s="90"/>
      <c r="U877" s="90"/>
      <c r="V877" s="90"/>
      <c r="W877" s="90"/>
      <c r="X877" s="90"/>
      <c r="Y877" s="90"/>
      <c r="Z877" s="90"/>
      <c r="AA877" s="90"/>
      <c r="AB877" s="90"/>
    </row>
    <row r="878" spans="1:28" ht="16">
      <c r="A878" s="100"/>
      <c r="B878" s="87"/>
      <c r="C878" s="94"/>
      <c r="D878" s="95"/>
      <c r="E878" s="96"/>
      <c r="F878" s="88"/>
      <c r="G878" s="89" t="b">
        <v>0</v>
      </c>
      <c r="H878" s="89"/>
      <c r="I878" s="90"/>
      <c r="J878" s="90"/>
      <c r="K878" s="90"/>
      <c r="L878" s="90"/>
      <c r="M878" s="90"/>
      <c r="N878" s="90"/>
      <c r="O878" s="90"/>
      <c r="P878" s="90"/>
      <c r="Q878" s="90"/>
      <c r="R878" s="90"/>
      <c r="S878" s="90"/>
      <c r="T878" s="90"/>
      <c r="U878" s="90"/>
      <c r="V878" s="90"/>
      <c r="W878" s="90"/>
      <c r="X878" s="90"/>
      <c r="Y878" s="90"/>
      <c r="Z878" s="90"/>
      <c r="AA878" s="90"/>
      <c r="AB878" s="90"/>
    </row>
    <row r="879" spans="1:28" ht="16">
      <c r="A879" s="100"/>
      <c r="B879" s="91"/>
      <c r="C879" s="97"/>
      <c r="D879" s="98"/>
      <c r="E879" s="99"/>
      <c r="F879" s="92"/>
      <c r="G879" s="93" t="b">
        <v>0</v>
      </c>
      <c r="H879" s="93"/>
      <c r="I879" s="90"/>
      <c r="J879" s="90"/>
      <c r="K879" s="90"/>
      <c r="L879" s="90"/>
      <c r="M879" s="90"/>
      <c r="N879" s="90"/>
      <c r="O879" s="90"/>
      <c r="P879" s="90"/>
      <c r="Q879" s="90"/>
      <c r="R879" s="90"/>
      <c r="S879" s="90"/>
      <c r="T879" s="90"/>
      <c r="U879" s="90"/>
      <c r="V879" s="90"/>
      <c r="W879" s="90"/>
      <c r="X879" s="90"/>
      <c r="Y879" s="90"/>
      <c r="Z879" s="90"/>
      <c r="AA879" s="90"/>
      <c r="AB879" s="90"/>
    </row>
    <row r="880" spans="1:28" ht="16">
      <c r="A880" s="100"/>
      <c r="B880" s="87"/>
      <c r="C880" s="94"/>
      <c r="D880" s="95"/>
      <c r="E880" s="96"/>
      <c r="F880" s="88"/>
      <c r="G880" s="89" t="b">
        <v>0</v>
      </c>
      <c r="H880" s="89"/>
      <c r="I880" s="90"/>
      <c r="J880" s="90"/>
      <c r="K880" s="90"/>
      <c r="L880" s="90"/>
      <c r="M880" s="90"/>
      <c r="N880" s="90"/>
      <c r="O880" s="90"/>
      <c r="P880" s="90"/>
      <c r="Q880" s="90"/>
      <c r="R880" s="90"/>
      <c r="S880" s="90"/>
      <c r="T880" s="90"/>
      <c r="U880" s="90"/>
      <c r="V880" s="90"/>
      <c r="W880" s="90"/>
      <c r="X880" s="90"/>
      <c r="Y880" s="90"/>
      <c r="Z880" s="90"/>
      <c r="AA880" s="90"/>
      <c r="AB880" s="90"/>
    </row>
    <row r="881" spans="1:28" ht="16">
      <c r="A881" s="100"/>
      <c r="B881" s="91"/>
      <c r="C881" s="97"/>
      <c r="D881" s="98"/>
      <c r="E881" s="99"/>
      <c r="F881" s="92"/>
      <c r="G881" s="93" t="b">
        <v>0</v>
      </c>
      <c r="H881" s="93"/>
      <c r="I881" s="90"/>
      <c r="J881" s="90"/>
      <c r="K881" s="90"/>
      <c r="L881" s="90"/>
      <c r="M881" s="90"/>
      <c r="N881" s="90"/>
      <c r="O881" s="90"/>
      <c r="P881" s="90"/>
      <c r="Q881" s="90"/>
      <c r="R881" s="90"/>
      <c r="S881" s="90"/>
      <c r="T881" s="90"/>
      <c r="U881" s="90"/>
      <c r="V881" s="90"/>
      <c r="W881" s="90"/>
      <c r="X881" s="90"/>
      <c r="Y881" s="90"/>
      <c r="Z881" s="90"/>
      <c r="AA881" s="90"/>
      <c r="AB881" s="90"/>
    </row>
    <row r="882" spans="1:28" ht="16">
      <c r="A882" s="100"/>
      <c r="B882" s="87"/>
      <c r="C882" s="94"/>
      <c r="D882" s="95"/>
      <c r="E882" s="96"/>
      <c r="F882" s="88"/>
      <c r="G882" s="89" t="b">
        <v>0</v>
      </c>
      <c r="H882" s="89"/>
      <c r="I882" s="90"/>
      <c r="J882" s="90"/>
      <c r="K882" s="90"/>
      <c r="L882" s="90"/>
      <c r="M882" s="90"/>
      <c r="N882" s="90"/>
      <c r="O882" s="90"/>
      <c r="P882" s="90"/>
      <c r="Q882" s="90"/>
      <c r="R882" s="90"/>
      <c r="S882" s="90"/>
      <c r="T882" s="90"/>
      <c r="U882" s="90"/>
      <c r="V882" s="90"/>
      <c r="W882" s="90"/>
      <c r="X882" s="90"/>
      <c r="Y882" s="90"/>
      <c r="Z882" s="90"/>
      <c r="AA882" s="90"/>
      <c r="AB882" s="90"/>
    </row>
    <row r="883" spans="1:28" ht="16">
      <c r="A883" s="100"/>
      <c r="B883" s="91"/>
      <c r="C883" s="97"/>
      <c r="D883" s="98"/>
      <c r="E883" s="99"/>
      <c r="F883" s="92"/>
      <c r="G883" s="93" t="b">
        <v>0</v>
      </c>
      <c r="H883" s="93"/>
      <c r="I883" s="90"/>
      <c r="J883" s="90"/>
      <c r="K883" s="90"/>
      <c r="L883" s="90"/>
      <c r="M883" s="90"/>
      <c r="N883" s="90"/>
      <c r="O883" s="90"/>
      <c r="P883" s="90"/>
      <c r="Q883" s="90"/>
      <c r="R883" s="90"/>
      <c r="S883" s="90"/>
      <c r="T883" s="90"/>
      <c r="U883" s="90"/>
      <c r="V883" s="90"/>
      <c r="W883" s="90"/>
      <c r="X883" s="90"/>
      <c r="Y883" s="90"/>
      <c r="Z883" s="90"/>
      <c r="AA883" s="90"/>
      <c r="AB883" s="90"/>
    </row>
    <row r="884" spans="1:28" ht="16">
      <c r="A884" s="100"/>
      <c r="B884" s="87"/>
      <c r="C884" s="94"/>
      <c r="D884" s="95"/>
      <c r="E884" s="96"/>
      <c r="F884" s="88"/>
      <c r="G884" s="89" t="b">
        <v>0</v>
      </c>
      <c r="H884" s="89"/>
      <c r="I884" s="90"/>
      <c r="J884" s="90"/>
      <c r="K884" s="90"/>
      <c r="L884" s="90"/>
      <c r="M884" s="90"/>
      <c r="N884" s="90"/>
      <c r="O884" s="90"/>
      <c r="P884" s="90"/>
      <c r="Q884" s="90"/>
      <c r="R884" s="90"/>
      <c r="S884" s="90"/>
      <c r="T884" s="90"/>
      <c r="U884" s="90"/>
      <c r="V884" s="90"/>
      <c r="W884" s="90"/>
      <c r="X884" s="90"/>
      <c r="Y884" s="90"/>
      <c r="Z884" s="90"/>
      <c r="AA884" s="90"/>
      <c r="AB884" s="90"/>
    </row>
    <row r="885" spans="1:28" ht="16">
      <c r="A885" s="100"/>
      <c r="B885" s="91"/>
      <c r="C885" s="97"/>
      <c r="D885" s="98"/>
      <c r="E885" s="99"/>
      <c r="F885" s="92"/>
      <c r="G885" s="93" t="b">
        <v>0</v>
      </c>
      <c r="H885" s="93"/>
      <c r="I885" s="90"/>
      <c r="J885" s="90"/>
      <c r="K885" s="90"/>
      <c r="L885" s="90"/>
      <c r="M885" s="90"/>
      <c r="N885" s="90"/>
      <c r="O885" s="90"/>
      <c r="P885" s="90"/>
      <c r="Q885" s="90"/>
      <c r="R885" s="90"/>
      <c r="S885" s="90"/>
      <c r="T885" s="90"/>
      <c r="U885" s="90"/>
      <c r="V885" s="90"/>
      <c r="W885" s="90"/>
      <c r="X885" s="90"/>
      <c r="Y885" s="90"/>
      <c r="Z885" s="90"/>
      <c r="AA885" s="90"/>
      <c r="AB885" s="90"/>
    </row>
    <row r="886" spans="1:28" ht="16">
      <c r="A886" s="100"/>
      <c r="B886" s="87"/>
      <c r="C886" s="94"/>
      <c r="D886" s="95"/>
      <c r="E886" s="96"/>
      <c r="F886" s="88"/>
      <c r="G886" s="89" t="b">
        <v>0</v>
      </c>
      <c r="H886" s="89"/>
      <c r="I886" s="90"/>
      <c r="J886" s="90"/>
      <c r="K886" s="90"/>
      <c r="L886" s="90"/>
      <c r="M886" s="90"/>
      <c r="N886" s="90"/>
      <c r="O886" s="90"/>
      <c r="P886" s="90"/>
      <c r="Q886" s="90"/>
      <c r="R886" s="90"/>
      <c r="S886" s="90"/>
      <c r="T886" s="90"/>
      <c r="U886" s="90"/>
      <c r="V886" s="90"/>
      <c r="W886" s="90"/>
      <c r="X886" s="90"/>
      <c r="Y886" s="90"/>
      <c r="Z886" s="90"/>
      <c r="AA886" s="90"/>
      <c r="AB886" s="90"/>
    </row>
    <row r="887" spans="1:28" ht="16">
      <c r="A887" s="100"/>
      <c r="B887" s="91"/>
      <c r="C887" s="97"/>
      <c r="D887" s="98"/>
      <c r="E887" s="99"/>
      <c r="F887" s="92"/>
      <c r="G887" s="93" t="b">
        <v>0</v>
      </c>
      <c r="H887" s="93"/>
      <c r="I887" s="90"/>
      <c r="J887" s="90"/>
      <c r="K887" s="90"/>
      <c r="L887" s="90"/>
      <c r="M887" s="90"/>
      <c r="N887" s="90"/>
      <c r="O887" s="90"/>
      <c r="P887" s="90"/>
      <c r="Q887" s="90"/>
      <c r="R887" s="90"/>
      <c r="S887" s="90"/>
      <c r="T887" s="90"/>
      <c r="U887" s="90"/>
      <c r="V887" s="90"/>
      <c r="W887" s="90"/>
      <c r="X887" s="90"/>
      <c r="Y887" s="90"/>
      <c r="Z887" s="90"/>
      <c r="AA887" s="90"/>
      <c r="AB887" s="90"/>
    </row>
    <row r="888" spans="1:28" ht="16">
      <c r="A888" s="100"/>
      <c r="B888" s="87"/>
      <c r="C888" s="94"/>
      <c r="D888" s="95"/>
      <c r="E888" s="96"/>
      <c r="F888" s="88"/>
      <c r="G888" s="89" t="b">
        <v>0</v>
      </c>
      <c r="H888" s="89"/>
      <c r="I888" s="90"/>
      <c r="J888" s="90"/>
      <c r="K888" s="90"/>
      <c r="L888" s="90"/>
      <c r="M888" s="90"/>
      <c r="N888" s="90"/>
      <c r="O888" s="90"/>
      <c r="P888" s="90"/>
      <c r="Q888" s="90"/>
      <c r="R888" s="90"/>
      <c r="S888" s="90"/>
      <c r="T888" s="90"/>
      <c r="U888" s="90"/>
      <c r="V888" s="90"/>
      <c r="W888" s="90"/>
      <c r="X888" s="90"/>
      <c r="Y888" s="90"/>
      <c r="Z888" s="90"/>
      <c r="AA888" s="90"/>
      <c r="AB888" s="90"/>
    </row>
    <row r="889" spans="1:28" ht="16">
      <c r="A889" s="100"/>
      <c r="B889" s="91"/>
      <c r="C889" s="97"/>
      <c r="D889" s="98"/>
      <c r="E889" s="99"/>
      <c r="F889" s="92"/>
      <c r="G889" s="93" t="b">
        <v>0</v>
      </c>
      <c r="H889" s="93"/>
      <c r="I889" s="90"/>
      <c r="J889" s="90"/>
      <c r="K889" s="90"/>
      <c r="L889" s="90"/>
      <c r="M889" s="90"/>
      <c r="N889" s="90"/>
      <c r="O889" s="90"/>
      <c r="P889" s="90"/>
      <c r="Q889" s="90"/>
      <c r="R889" s="90"/>
      <c r="S889" s="90"/>
      <c r="T889" s="90"/>
      <c r="U889" s="90"/>
      <c r="V889" s="90"/>
      <c r="W889" s="90"/>
      <c r="X889" s="90"/>
      <c r="Y889" s="90"/>
      <c r="Z889" s="90"/>
      <c r="AA889" s="90"/>
      <c r="AB889" s="90"/>
    </row>
    <row r="890" spans="1:28" ht="16">
      <c r="A890" s="100"/>
      <c r="B890" s="87"/>
      <c r="C890" s="94"/>
      <c r="D890" s="95"/>
      <c r="E890" s="96"/>
      <c r="F890" s="88"/>
      <c r="G890" s="89" t="b">
        <v>0</v>
      </c>
      <c r="H890" s="89"/>
      <c r="I890" s="90"/>
      <c r="J890" s="90"/>
      <c r="K890" s="90"/>
      <c r="L890" s="90"/>
      <c r="M890" s="90"/>
      <c r="N890" s="90"/>
      <c r="O890" s="90"/>
      <c r="P890" s="90"/>
      <c r="Q890" s="90"/>
      <c r="R890" s="90"/>
      <c r="S890" s="90"/>
      <c r="T890" s="90"/>
      <c r="U890" s="90"/>
      <c r="V890" s="90"/>
      <c r="W890" s="90"/>
      <c r="X890" s="90"/>
      <c r="Y890" s="90"/>
      <c r="Z890" s="90"/>
      <c r="AA890" s="90"/>
      <c r="AB890" s="90"/>
    </row>
    <row r="891" spans="1:28" ht="16">
      <c r="A891" s="100"/>
      <c r="B891" s="91"/>
      <c r="C891" s="97"/>
      <c r="D891" s="98"/>
      <c r="E891" s="99"/>
      <c r="F891" s="92"/>
      <c r="G891" s="93" t="b">
        <v>0</v>
      </c>
      <c r="H891" s="93"/>
      <c r="I891" s="90"/>
      <c r="J891" s="90"/>
      <c r="K891" s="90"/>
      <c r="L891" s="90"/>
      <c r="M891" s="90"/>
      <c r="N891" s="90"/>
      <c r="O891" s="90"/>
      <c r="P891" s="90"/>
      <c r="Q891" s="90"/>
      <c r="R891" s="90"/>
      <c r="S891" s="90"/>
      <c r="T891" s="90"/>
      <c r="U891" s="90"/>
      <c r="V891" s="90"/>
      <c r="W891" s="90"/>
      <c r="X891" s="90"/>
      <c r="Y891" s="90"/>
      <c r="Z891" s="90"/>
      <c r="AA891" s="90"/>
      <c r="AB891" s="90"/>
    </row>
    <row r="892" spans="1:28" ht="16">
      <c r="A892" s="100"/>
      <c r="B892" s="87"/>
      <c r="C892" s="94"/>
      <c r="D892" s="95"/>
      <c r="E892" s="96"/>
      <c r="F892" s="88"/>
      <c r="G892" s="89" t="b">
        <v>0</v>
      </c>
      <c r="H892" s="89"/>
      <c r="I892" s="90"/>
      <c r="J892" s="90"/>
      <c r="K892" s="90"/>
      <c r="L892" s="90"/>
      <c r="M892" s="90"/>
      <c r="N892" s="90"/>
      <c r="O892" s="90"/>
      <c r="P892" s="90"/>
      <c r="Q892" s="90"/>
      <c r="R892" s="90"/>
      <c r="S892" s="90"/>
      <c r="T892" s="90"/>
      <c r="U892" s="90"/>
      <c r="V892" s="90"/>
      <c r="W892" s="90"/>
      <c r="X892" s="90"/>
      <c r="Y892" s="90"/>
      <c r="Z892" s="90"/>
      <c r="AA892" s="90"/>
      <c r="AB892" s="90"/>
    </row>
    <row r="893" spans="1:28" ht="16">
      <c r="A893" s="100"/>
      <c r="B893" s="91"/>
      <c r="C893" s="97"/>
      <c r="D893" s="98"/>
      <c r="E893" s="99"/>
      <c r="F893" s="92"/>
      <c r="G893" s="93" t="b">
        <v>0</v>
      </c>
      <c r="H893" s="93"/>
      <c r="I893" s="90"/>
      <c r="J893" s="90"/>
      <c r="K893" s="90"/>
      <c r="L893" s="90"/>
      <c r="M893" s="90"/>
      <c r="N893" s="90"/>
      <c r="O893" s="90"/>
      <c r="P893" s="90"/>
      <c r="Q893" s="90"/>
      <c r="R893" s="90"/>
      <c r="S893" s="90"/>
      <c r="T893" s="90"/>
      <c r="U893" s="90"/>
      <c r="V893" s="90"/>
      <c r="W893" s="90"/>
      <c r="X893" s="90"/>
      <c r="Y893" s="90"/>
      <c r="Z893" s="90"/>
      <c r="AA893" s="90"/>
      <c r="AB893" s="90"/>
    </row>
    <row r="894" spans="1:28" ht="16">
      <c r="A894" s="100"/>
      <c r="B894" s="87"/>
      <c r="C894" s="94"/>
      <c r="D894" s="95"/>
      <c r="E894" s="96"/>
      <c r="F894" s="88"/>
      <c r="G894" s="89" t="b">
        <v>0</v>
      </c>
      <c r="H894" s="89"/>
      <c r="I894" s="90"/>
      <c r="J894" s="90"/>
      <c r="K894" s="90"/>
      <c r="L894" s="90"/>
      <c r="M894" s="90"/>
      <c r="N894" s="90"/>
      <c r="O894" s="90"/>
      <c r="P894" s="90"/>
      <c r="Q894" s="90"/>
      <c r="R894" s="90"/>
      <c r="S894" s="90"/>
      <c r="T894" s="90"/>
      <c r="U894" s="90"/>
      <c r="V894" s="90"/>
      <c r="W894" s="90"/>
      <c r="X894" s="90"/>
      <c r="Y894" s="90"/>
      <c r="Z894" s="90"/>
      <c r="AA894" s="90"/>
      <c r="AB894" s="90"/>
    </row>
    <row r="895" spans="1:28" ht="16">
      <c r="A895" s="100"/>
      <c r="B895" s="91"/>
      <c r="C895" s="97"/>
      <c r="D895" s="98"/>
      <c r="E895" s="99"/>
      <c r="F895" s="92"/>
      <c r="G895" s="93" t="b">
        <v>0</v>
      </c>
      <c r="H895" s="93"/>
      <c r="I895" s="90"/>
      <c r="J895" s="90"/>
      <c r="K895" s="90"/>
      <c r="L895" s="90"/>
      <c r="M895" s="90"/>
      <c r="N895" s="90"/>
      <c r="O895" s="90"/>
      <c r="P895" s="90"/>
      <c r="Q895" s="90"/>
      <c r="R895" s="90"/>
      <c r="S895" s="90"/>
      <c r="T895" s="90"/>
      <c r="U895" s="90"/>
      <c r="V895" s="90"/>
      <c r="W895" s="90"/>
      <c r="X895" s="90"/>
      <c r="Y895" s="90"/>
      <c r="Z895" s="90"/>
      <c r="AA895" s="90"/>
      <c r="AB895" s="90"/>
    </row>
    <row r="896" spans="1:28" ht="16">
      <c r="A896" s="100"/>
      <c r="B896" s="87"/>
      <c r="C896" s="94"/>
      <c r="D896" s="95"/>
      <c r="E896" s="96"/>
      <c r="F896" s="88"/>
      <c r="G896" s="89" t="b">
        <v>0</v>
      </c>
      <c r="H896" s="89"/>
      <c r="I896" s="90"/>
      <c r="J896" s="90"/>
      <c r="K896" s="90"/>
      <c r="L896" s="90"/>
      <c r="M896" s="90"/>
      <c r="N896" s="90"/>
      <c r="O896" s="90"/>
      <c r="P896" s="90"/>
      <c r="Q896" s="90"/>
      <c r="R896" s="90"/>
      <c r="S896" s="90"/>
      <c r="T896" s="90"/>
      <c r="U896" s="90"/>
      <c r="V896" s="90"/>
      <c r="W896" s="90"/>
      <c r="X896" s="90"/>
      <c r="Y896" s="90"/>
      <c r="Z896" s="90"/>
      <c r="AA896" s="90"/>
      <c r="AB896" s="90"/>
    </row>
    <row r="897" spans="1:28" ht="16">
      <c r="A897" s="100"/>
      <c r="B897" s="91"/>
      <c r="C897" s="97"/>
      <c r="D897" s="98"/>
      <c r="E897" s="99"/>
      <c r="F897" s="92"/>
      <c r="G897" s="93" t="b">
        <v>0</v>
      </c>
      <c r="H897" s="93"/>
      <c r="I897" s="90"/>
      <c r="J897" s="90"/>
      <c r="K897" s="90"/>
      <c r="L897" s="90"/>
      <c r="M897" s="90"/>
      <c r="N897" s="90"/>
      <c r="O897" s="90"/>
      <c r="P897" s="90"/>
      <c r="Q897" s="90"/>
      <c r="R897" s="90"/>
      <c r="S897" s="90"/>
      <c r="T897" s="90"/>
      <c r="U897" s="90"/>
      <c r="V897" s="90"/>
      <c r="W897" s="90"/>
      <c r="X897" s="90"/>
      <c r="Y897" s="90"/>
      <c r="Z897" s="90"/>
      <c r="AA897" s="90"/>
      <c r="AB897" s="90"/>
    </row>
    <row r="898" spans="1:28" ht="16">
      <c r="A898" s="100"/>
      <c r="B898" s="87"/>
      <c r="C898" s="94"/>
      <c r="D898" s="95"/>
      <c r="E898" s="96"/>
      <c r="F898" s="88"/>
      <c r="G898" s="89" t="b">
        <v>0</v>
      </c>
      <c r="H898" s="89"/>
      <c r="I898" s="90"/>
      <c r="J898" s="90"/>
      <c r="K898" s="90"/>
      <c r="L898" s="90"/>
      <c r="M898" s="90"/>
      <c r="N898" s="90"/>
      <c r="O898" s="90"/>
      <c r="P898" s="90"/>
      <c r="Q898" s="90"/>
      <c r="R898" s="90"/>
      <c r="S898" s="90"/>
      <c r="T898" s="90"/>
      <c r="U898" s="90"/>
      <c r="V898" s="90"/>
      <c r="W898" s="90"/>
      <c r="X898" s="90"/>
      <c r="Y898" s="90"/>
      <c r="Z898" s="90"/>
      <c r="AA898" s="90"/>
      <c r="AB898" s="90"/>
    </row>
    <row r="899" spans="1:28" ht="16">
      <c r="A899" s="100"/>
      <c r="B899" s="91"/>
      <c r="C899" s="97"/>
      <c r="D899" s="98"/>
      <c r="E899" s="99"/>
      <c r="F899" s="92"/>
      <c r="G899" s="93" t="b">
        <v>0</v>
      </c>
      <c r="H899" s="93"/>
      <c r="I899" s="90"/>
      <c r="J899" s="90"/>
      <c r="K899" s="90"/>
      <c r="L899" s="90"/>
      <c r="M899" s="90"/>
      <c r="N899" s="90"/>
      <c r="O899" s="90"/>
      <c r="P899" s="90"/>
      <c r="Q899" s="90"/>
      <c r="R899" s="90"/>
      <c r="S899" s="90"/>
      <c r="T899" s="90"/>
      <c r="U899" s="90"/>
      <c r="V899" s="90"/>
      <c r="W899" s="90"/>
      <c r="X899" s="90"/>
      <c r="Y899" s="90"/>
      <c r="Z899" s="90"/>
      <c r="AA899" s="90"/>
      <c r="AB899" s="90"/>
    </row>
    <row r="900" spans="1:28" ht="16">
      <c r="A900" s="100"/>
      <c r="B900" s="87"/>
      <c r="C900" s="94"/>
      <c r="D900" s="95"/>
      <c r="E900" s="96"/>
      <c r="F900" s="88"/>
      <c r="G900" s="89" t="b">
        <v>0</v>
      </c>
      <c r="H900" s="89"/>
      <c r="I900" s="90"/>
      <c r="J900" s="90"/>
      <c r="K900" s="90"/>
      <c r="L900" s="90"/>
      <c r="M900" s="90"/>
      <c r="N900" s="90"/>
      <c r="O900" s="90"/>
      <c r="P900" s="90"/>
      <c r="Q900" s="90"/>
      <c r="R900" s="90"/>
      <c r="S900" s="90"/>
      <c r="T900" s="90"/>
      <c r="U900" s="90"/>
      <c r="V900" s="90"/>
      <c r="W900" s="90"/>
      <c r="X900" s="90"/>
      <c r="Y900" s="90"/>
      <c r="Z900" s="90"/>
      <c r="AA900" s="90"/>
      <c r="AB900" s="90"/>
    </row>
    <row r="901" spans="1:28" ht="16">
      <c r="A901" s="100"/>
      <c r="B901" s="91"/>
      <c r="C901" s="97"/>
      <c r="D901" s="98"/>
      <c r="E901" s="99"/>
      <c r="F901" s="92"/>
      <c r="G901" s="93" t="b">
        <v>0</v>
      </c>
      <c r="H901" s="93"/>
      <c r="I901" s="90"/>
      <c r="J901" s="90"/>
      <c r="K901" s="90"/>
      <c r="L901" s="90"/>
      <c r="M901" s="90"/>
      <c r="N901" s="90"/>
      <c r="O901" s="90"/>
      <c r="P901" s="90"/>
      <c r="Q901" s="90"/>
      <c r="R901" s="90"/>
      <c r="S901" s="90"/>
      <c r="T901" s="90"/>
      <c r="U901" s="90"/>
      <c r="V901" s="90"/>
      <c r="W901" s="90"/>
      <c r="X901" s="90"/>
      <c r="Y901" s="90"/>
      <c r="Z901" s="90"/>
      <c r="AA901" s="90"/>
      <c r="AB901" s="90"/>
    </row>
    <row r="902" spans="1:28" ht="16">
      <c r="A902" s="100"/>
      <c r="B902" s="87"/>
      <c r="C902" s="94"/>
      <c r="D902" s="95"/>
      <c r="E902" s="96"/>
      <c r="F902" s="88"/>
      <c r="G902" s="89" t="b">
        <v>0</v>
      </c>
      <c r="H902" s="89"/>
      <c r="I902" s="90"/>
      <c r="J902" s="90"/>
      <c r="K902" s="90"/>
      <c r="L902" s="90"/>
      <c r="M902" s="90"/>
      <c r="N902" s="90"/>
      <c r="O902" s="90"/>
      <c r="P902" s="90"/>
      <c r="Q902" s="90"/>
      <c r="R902" s="90"/>
      <c r="S902" s="90"/>
      <c r="T902" s="90"/>
      <c r="U902" s="90"/>
      <c r="V902" s="90"/>
      <c r="W902" s="90"/>
      <c r="X902" s="90"/>
      <c r="Y902" s="90"/>
      <c r="Z902" s="90"/>
      <c r="AA902" s="90"/>
      <c r="AB902" s="90"/>
    </row>
    <row r="903" spans="1:28" ht="16">
      <c r="A903" s="100"/>
      <c r="B903" s="91"/>
      <c r="C903" s="97"/>
      <c r="D903" s="98"/>
      <c r="E903" s="99"/>
      <c r="F903" s="92"/>
      <c r="G903" s="93" t="b">
        <v>0</v>
      </c>
      <c r="H903" s="93"/>
      <c r="I903" s="90"/>
      <c r="J903" s="90"/>
      <c r="K903" s="90"/>
      <c r="L903" s="90"/>
      <c r="M903" s="90"/>
      <c r="N903" s="90"/>
      <c r="O903" s="90"/>
      <c r="P903" s="90"/>
      <c r="Q903" s="90"/>
      <c r="R903" s="90"/>
      <c r="S903" s="90"/>
      <c r="T903" s="90"/>
      <c r="U903" s="90"/>
      <c r="V903" s="90"/>
      <c r="W903" s="90"/>
      <c r="X903" s="90"/>
      <c r="Y903" s="90"/>
      <c r="Z903" s="90"/>
      <c r="AA903" s="90"/>
      <c r="AB903" s="90"/>
    </row>
    <row r="904" spans="1:28" ht="16">
      <c r="A904" s="100"/>
      <c r="B904" s="87"/>
      <c r="C904" s="94"/>
      <c r="D904" s="95"/>
      <c r="E904" s="96"/>
      <c r="F904" s="88"/>
      <c r="G904" s="89" t="b">
        <v>0</v>
      </c>
      <c r="H904" s="89"/>
      <c r="I904" s="90"/>
      <c r="J904" s="90"/>
      <c r="K904" s="90"/>
      <c r="L904" s="90"/>
      <c r="M904" s="90"/>
      <c r="N904" s="90"/>
      <c r="O904" s="90"/>
      <c r="P904" s="90"/>
      <c r="Q904" s="90"/>
      <c r="R904" s="90"/>
      <c r="S904" s="90"/>
      <c r="T904" s="90"/>
      <c r="U904" s="90"/>
      <c r="V904" s="90"/>
      <c r="W904" s="90"/>
      <c r="X904" s="90"/>
      <c r="Y904" s="90"/>
      <c r="Z904" s="90"/>
      <c r="AA904" s="90"/>
      <c r="AB904" s="90"/>
    </row>
    <row r="905" spans="1:28" ht="16">
      <c r="A905" s="100"/>
      <c r="B905" s="91"/>
      <c r="C905" s="97"/>
      <c r="D905" s="98"/>
      <c r="E905" s="99"/>
      <c r="F905" s="92"/>
      <c r="G905" s="93" t="b">
        <v>0</v>
      </c>
      <c r="H905" s="93"/>
      <c r="I905" s="90"/>
      <c r="J905" s="90"/>
      <c r="K905" s="90"/>
      <c r="L905" s="90"/>
      <c r="M905" s="90"/>
      <c r="N905" s="90"/>
      <c r="O905" s="90"/>
      <c r="P905" s="90"/>
      <c r="Q905" s="90"/>
      <c r="R905" s="90"/>
      <c r="S905" s="90"/>
      <c r="T905" s="90"/>
      <c r="U905" s="90"/>
      <c r="V905" s="90"/>
      <c r="W905" s="90"/>
      <c r="X905" s="90"/>
      <c r="Y905" s="90"/>
      <c r="Z905" s="90"/>
      <c r="AA905" s="90"/>
      <c r="AB905" s="90"/>
    </row>
    <row r="906" spans="1:28" ht="16">
      <c r="A906" s="100"/>
      <c r="B906" s="87"/>
      <c r="C906" s="94"/>
      <c r="D906" s="95"/>
      <c r="E906" s="96"/>
      <c r="F906" s="88"/>
      <c r="G906" s="89" t="b">
        <v>0</v>
      </c>
      <c r="H906" s="89"/>
      <c r="I906" s="90"/>
      <c r="J906" s="90"/>
      <c r="K906" s="90"/>
      <c r="L906" s="90"/>
      <c r="M906" s="90"/>
      <c r="N906" s="90"/>
      <c r="O906" s="90"/>
      <c r="P906" s="90"/>
      <c r="Q906" s="90"/>
      <c r="R906" s="90"/>
      <c r="S906" s="90"/>
      <c r="T906" s="90"/>
      <c r="U906" s="90"/>
      <c r="V906" s="90"/>
      <c r="W906" s="90"/>
      <c r="X906" s="90"/>
      <c r="Y906" s="90"/>
      <c r="Z906" s="90"/>
      <c r="AA906" s="90"/>
      <c r="AB906" s="90"/>
    </row>
    <row r="907" spans="1:28" ht="16">
      <c r="A907" s="100"/>
      <c r="B907" s="91"/>
      <c r="C907" s="97"/>
      <c r="D907" s="98"/>
      <c r="E907" s="99"/>
      <c r="F907" s="92"/>
      <c r="G907" s="93" t="b">
        <v>0</v>
      </c>
      <c r="H907" s="93"/>
      <c r="I907" s="90"/>
      <c r="J907" s="90"/>
      <c r="K907" s="90"/>
      <c r="L907" s="90"/>
      <c r="M907" s="90"/>
      <c r="N907" s="90"/>
      <c r="O907" s="90"/>
      <c r="P907" s="90"/>
      <c r="Q907" s="90"/>
      <c r="R907" s="90"/>
      <c r="S907" s="90"/>
      <c r="T907" s="90"/>
      <c r="U907" s="90"/>
      <c r="V907" s="90"/>
      <c r="W907" s="90"/>
      <c r="X907" s="90"/>
      <c r="Y907" s="90"/>
      <c r="Z907" s="90"/>
      <c r="AA907" s="90"/>
      <c r="AB907" s="90"/>
    </row>
    <row r="908" spans="1:28" ht="16">
      <c r="A908" s="100"/>
      <c r="B908" s="87"/>
      <c r="C908" s="94"/>
      <c r="D908" s="95"/>
      <c r="E908" s="96"/>
      <c r="F908" s="88"/>
      <c r="G908" s="89" t="b">
        <v>0</v>
      </c>
      <c r="H908" s="89"/>
      <c r="I908" s="90"/>
      <c r="J908" s="90"/>
      <c r="K908" s="90"/>
      <c r="L908" s="90"/>
      <c r="M908" s="90"/>
      <c r="N908" s="90"/>
      <c r="O908" s="90"/>
      <c r="P908" s="90"/>
      <c r="Q908" s="90"/>
      <c r="R908" s="90"/>
      <c r="S908" s="90"/>
      <c r="T908" s="90"/>
      <c r="U908" s="90"/>
      <c r="V908" s="90"/>
      <c r="W908" s="90"/>
      <c r="X908" s="90"/>
      <c r="Y908" s="90"/>
      <c r="Z908" s="90"/>
      <c r="AA908" s="90"/>
      <c r="AB908" s="90"/>
    </row>
    <row r="909" spans="1:28" ht="16">
      <c r="A909" s="100"/>
      <c r="B909" s="91"/>
      <c r="C909" s="97"/>
      <c r="D909" s="98"/>
      <c r="E909" s="99"/>
      <c r="F909" s="92"/>
      <c r="G909" s="93" t="b">
        <v>0</v>
      </c>
      <c r="H909" s="93"/>
      <c r="I909" s="90"/>
      <c r="J909" s="90"/>
      <c r="K909" s="90"/>
      <c r="L909" s="90"/>
      <c r="M909" s="90"/>
      <c r="N909" s="90"/>
      <c r="O909" s="90"/>
      <c r="P909" s="90"/>
      <c r="Q909" s="90"/>
      <c r="R909" s="90"/>
      <c r="S909" s="90"/>
      <c r="T909" s="90"/>
      <c r="U909" s="90"/>
      <c r="V909" s="90"/>
      <c r="W909" s="90"/>
      <c r="X909" s="90"/>
      <c r="Y909" s="90"/>
      <c r="Z909" s="90"/>
      <c r="AA909" s="90"/>
      <c r="AB909" s="90"/>
    </row>
    <row r="910" spans="1:28" ht="16">
      <c r="A910" s="100"/>
      <c r="B910" s="87"/>
      <c r="C910" s="94"/>
      <c r="D910" s="95"/>
      <c r="E910" s="96"/>
      <c r="F910" s="88"/>
      <c r="G910" s="89" t="b">
        <v>0</v>
      </c>
      <c r="H910" s="89"/>
      <c r="I910" s="90"/>
      <c r="J910" s="90"/>
      <c r="K910" s="90"/>
      <c r="L910" s="90"/>
      <c r="M910" s="90"/>
      <c r="N910" s="90"/>
      <c r="O910" s="90"/>
      <c r="P910" s="90"/>
      <c r="Q910" s="90"/>
      <c r="R910" s="90"/>
      <c r="S910" s="90"/>
      <c r="T910" s="90"/>
      <c r="U910" s="90"/>
      <c r="V910" s="90"/>
      <c r="W910" s="90"/>
      <c r="X910" s="90"/>
      <c r="Y910" s="90"/>
      <c r="Z910" s="90"/>
      <c r="AA910" s="90"/>
      <c r="AB910" s="90"/>
    </row>
    <row r="911" spans="1:28" ht="16">
      <c r="A911" s="100"/>
      <c r="B911" s="91"/>
      <c r="C911" s="97"/>
      <c r="D911" s="98"/>
      <c r="E911" s="99"/>
      <c r="F911" s="92"/>
      <c r="G911" s="93" t="b">
        <v>0</v>
      </c>
      <c r="H911" s="93"/>
      <c r="I911" s="90"/>
      <c r="J911" s="90"/>
      <c r="K911" s="90"/>
      <c r="L911" s="90"/>
      <c r="M911" s="90"/>
      <c r="N911" s="90"/>
      <c r="O911" s="90"/>
      <c r="P911" s="90"/>
      <c r="Q911" s="90"/>
      <c r="R911" s="90"/>
      <c r="S911" s="90"/>
      <c r="T911" s="90"/>
      <c r="U911" s="90"/>
      <c r="V911" s="90"/>
      <c r="W911" s="90"/>
      <c r="X911" s="90"/>
      <c r="Y911" s="90"/>
      <c r="Z911" s="90"/>
      <c r="AA911" s="90"/>
      <c r="AB911" s="90"/>
    </row>
    <row r="912" spans="1:28" ht="16">
      <c r="A912" s="100"/>
      <c r="B912" s="87"/>
      <c r="C912" s="94"/>
      <c r="D912" s="95"/>
      <c r="E912" s="96"/>
      <c r="F912" s="88"/>
      <c r="G912" s="89" t="b">
        <v>0</v>
      </c>
      <c r="H912" s="89"/>
      <c r="I912" s="90"/>
      <c r="J912" s="90"/>
      <c r="K912" s="90"/>
      <c r="L912" s="90"/>
      <c r="M912" s="90"/>
      <c r="N912" s="90"/>
      <c r="O912" s="90"/>
      <c r="P912" s="90"/>
      <c r="Q912" s="90"/>
      <c r="R912" s="90"/>
      <c r="S912" s="90"/>
      <c r="T912" s="90"/>
      <c r="U912" s="90"/>
      <c r="V912" s="90"/>
      <c r="W912" s="90"/>
      <c r="X912" s="90"/>
      <c r="Y912" s="90"/>
      <c r="Z912" s="90"/>
      <c r="AA912" s="90"/>
      <c r="AB912" s="90"/>
    </row>
    <row r="913" spans="1:28" ht="16">
      <c r="A913" s="100"/>
      <c r="B913" s="91"/>
      <c r="C913" s="97"/>
      <c r="D913" s="98"/>
      <c r="E913" s="99"/>
      <c r="F913" s="92"/>
      <c r="G913" s="93" t="b">
        <v>0</v>
      </c>
      <c r="H913" s="93"/>
      <c r="I913" s="90"/>
      <c r="J913" s="90"/>
      <c r="K913" s="90"/>
      <c r="L913" s="90"/>
      <c r="M913" s="90"/>
      <c r="N913" s="90"/>
      <c r="O913" s="90"/>
      <c r="P913" s="90"/>
      <c r="Q913" s="90"/>
      <c r="R913" s="90"/>
      <c r="S913" s="90"/>
      <c r="T913" s="90"/>
      <c r="U913" s="90"/>
      <c r="V913" s="90"/>
      <c r="W913" s="90"/>
      <c r="X913" s="90"/>
      <c r="Y913" s="90"/>
      <c r="Z913" s="90"/>
      <c r="AA913" s="90"/>
      <c r="AB913" s="90"/>
    </row>
    <row r="914" spans="1:28" ht="16">
      <c r="A914" s="100"/>
      <c r="B914" s="87"/>
      <c r="C914" s="94"/>
      <c r="D914" s="95"/>
      <c r="E914" s="96"/>
      <c r="F914" s="88"/>
      <c r="G914" s="89" t="b">
        <v>0</v>
      </c>
      <c r="H914" s="89"/>
      <c r="I914" s="90"/>
      <c r="J914" s="90"/>
      <c r="K914" s="90"/>
      <c r="L914" s="90"/>
      <c r="M914" s="90"/>
      <c r="N914" s="90"/>
      <c r="O914" s="90"/>
      <c r="P914" s="90"/>
      <c r="Q914" s="90"/>
      <c r="R914" s="90"/>
      <c r="S914" s="90"/>
      <c r="T914" s="90"/>
      <c r="U914" s="90"/>
      <c r="V914" s="90"/>
      <c r="W914" s="90"/>
      <c r="X914" s="90"/>
      <c r="Y914" s="90"/>
      <c r="Z914" s="90"/>
      <c r="AA914" s="90"/>
      <c r="AB914" s="90"/>
    </row>
    <row r="915" spans="1:28" ht="16">
      <c r="A915" s="100"/>
      <c r="B915" s="91"/>
      <c r="C915" s="97"/>
      <c r="D915" s="98"/>
      <c r="E915" s="99"/>
      <c r="F915" s="92"/>
      <c r="G915" s="93" t="b">
        <v>0</v>
      </c>
      <c r="H915" s="93"/>
      <c r="I915" s="90"/>
      <c r="J915" s="90"/>
      <c r="K915" s="90"/>
      <c r="L915" s="90"/>
      <c r="M915" s="90"/>
      <c r="N915" s="90"/>
      <c r="O915" s="90"/>
      <c r="P915" s="90"/>
      <c r="Q915" s="90"/>
      <c r="R915" s="90"/>
      <c r="S915" s="90"/>
      <c r="T915" s="90"/>
      <c r="U915" s="90"/>
      <c r="V915" s="90"/>
      <c r="W915" s="90"/>
      <c r="X915" s="90"/>
      <c r="Y915" s="90"/>
      <c r="Z915" s="90"/>
      <c r="AA915" s="90"/>
      <c r="AB915" s="90"/>
    </row>
    <row r="916" spans="1:28" ht="16">
      <c r="A916" s="100"/>
      <c r="B916" s="87"/>
      <c r="C916" s="94"/>
      <c r="D916" s="95"/>
      <c r="E916" s="96"/>
      <c r="F916" s="88"/>
      <c r="G916" s="89" t="b">
        <v>0</v>
      </c>
      <c r="H916" s="89"/>
      <c r="I916" s="90"/>
      <c r="J916" s="90"/>
      <c r="K916" s="90"/>
      <c r="L916" s="90"/>
      <c r="M916" s="90"/>
      <c r="N916" s="90"/>
      <c r="O916" s="90"/>
      <c r="P916" s="90"/>
      <c r="Q916" s="90"/>
      <c r="R916" s="90"/>
      <c r="S916" s="90"/>
      <c r="T916" s="90"/>
      <c r="U916" s="90"/>
      <c r="V916" s="90"/>
      <c r="W916" s="90"/>
      <c r="X916" s="90"/>
      <c r="Y916" s="90"/>
      <c r="Z916" s="90"/>
      <c r="AA916" s="90"/>
      <c r="AB916" s="90"/>
    </row>
    <row r="917" spans="1:28" ht="16">
      <c r="A917" s="100"/>
      <c r="B917" s="91"/>
      <c r="C917" s="97"/>
      <c r="D917" s="98"/>
      <c r="E917" s="99"/>
      <c r="F917" s="92"/>
      <c r="G917" s="93" t="b">
        <v>0</v>
      </c>
      <c r="H917" s="93"/>
      <c r="I917" s="90"/>
      <c r="J917" s="90"/>
      <c r="K917" s="90"/>
      <c r="L917" s="90"/>
      <c r="M917" s="90"/>
      <c r="N917" s="90"/>
      <c r="O917" s="90"/>
      <c r="P917" s="90"/>
      <c r="Q917" s="90"/>
      <c r="R917" s="90"/>
      <c r="S917" s="90"/>
      <c r="T917" s="90"/>
      <c r="U917" s="90"/>
      <c r="V917" s="90"/>
      <c r="W917" s="90"/>
      <c r="X917" s="90"/>
      <c r="Y917" s="90"/>
      <c r="Z917" s="90"/>
      <c r="AA917" s="90"/>
      <c r="AB917" s="90"/>
    </row>
    <row r="918" spans="1:28" ht="16">
      <c r="A918" s="100"/>
      <c r="B918" s="87"/>
      <c r="C918" s="94"/>
      <c r="D918" s="95"/>
      <c r="E918" s="96"/>
      <c r="F918" s="88"/>
      <c r="G918" s="89" t="b">
        <v>0</v>
      </c>
      <c r="H918" s="89"/>
      <c r="I918" s="90"/>
      <c r="J918" s="90"/>
      <c r="K918" s="90"/>
      <c r="L918" s="90"/>
      <c r="M918" s="90"/>
      <c r="N918" s="90"/>
      <c r="O918" s="90"/>
      <c r="P918" s="90"/>
      <c r="Q918" s="90"/>
      <c r="R918" s="90"/>
      <c r="S918" s="90"/>
      <c r="T918" s="90"/>
      <c r="U918" s="90"/>
      <c r="V918" s="90"/>
      <c r="W918" s="90"/>
      <c r="X918" s="90"/>
      <c r="Y918" s="90"/>
      <c r="Z918" s="90"/>
      <c r="AA918" s="90"/>
      <c r="AB918" s="90"/>
    </row>
    <row r="919" spans="1:28" ht="16">
      <c r="A919" s="100"/>
      <c r="B919" s="91"/>
      <c r="C919" s="97"/>
      <c r="D919" s="98"/>
      <c r="E919" s="99"/>
      <c r="F919" s="92"/>
      <c r="G919" s="93" t="b">
        <v>0</v>
      </c>
      <c r="H919" s="93"/>
      <c r="I919" s="90"/>
      <c r="J919" s="90"/>
      <c r="K919" s="90"/>
      <c r="L919" s="90"/>
      <c r="M919" s="90"/>
      <c r="N919" s="90"/>
      <c r="O919" s="90"/>
      <c r="P919" s="90"/>
      <c r="Q919" s="90"/>
      <c r="R919" s="90"/>
      <c r="S919" s="90"/>
      <c r="T919" s="90"/>
      <c r="U919" s="90"/>
      <c r="V919" s="90"/>
      <c r="W919" s="90"/>
      <c r="X919" s="90"/>
      <c r="Y919" s="90"/>
      <c r="Z919" s="90"/>
      <c r="AA919" s="90"/>
      <c r="AB919" s="90"/>
    </row>
    <row r="920" spans="1:28" ht="16">
      <c r="A920" s="100"/>
      <c r="B920" s="87"/>
      <c r="C920" s="94"/>
      <c r="D920" s="95"/>
      <c r="E920" s="96"/>
      <c r="F920" s="88"/>
      <c r="G920" s="89" t="b">
        <v>0</v>
      </c>
      <c r="H920" s="89"/>
      <c r="I920" s="90"/>
      <c r="J920" s="90"/>
      <c r="K920" s="90"/>
      <c r="L920" s="90"/>
      <c r="M920" s="90"/>
      <c r="N920" s="90"/>
      <c r="O920" s="90"/>
      <c r="P920" s="90"/>
      <c r="Q920" s="90"/>
      <c r="R920" s="90"/>
      <c r="S920" s="90"/>
      <c r="T920" s="90"/>
      <c r="U920" s="90"/>
      <c r="V920" s="90"/>
      <c r="W920" s="90"/>
      <c r="X920" s="90"/>
      <c r="Y920" s="90"/>
      <c r="Z920" s="90"/>
      <c r="AA920" s="90"/>
      <c r="AB920" s="90"/>
    </row>
    <row r="921" spans="1:28" ht="16">
      <c r="A921" s="100"/>
      <c r="B921" s="91"/>
      <c r="C921" s="97"/>
      <c r="D921" s="98"/>
      <c r="E921" s="99"/>
      <c r="F921" s="92"/>
      <c r="G921" s="93" t="b">
        <v>0</v>
      </c>
      <c r="H921" s="93"/>
      <c r="I921" s="90"/>
      <c r="J921" s="90"/>
      <c r="K921" s="90"/>
      <c r="L921" s="90"/>
      <c r="M921" s="90"/>
      <c r="N921" s="90"/>
      <c r="O921" s="90"/>
      <c r="P921" s="90"/>
      <c r="Q921" s="90"/>
      <c r="R921" s="90"/>
      <c r="S921" s="90"/>
      <c r="T921" s="90"/>
      <c r="U921" s="90"/>
      <c r="V921" s="90"/>
      <c r="W921" s="90"/>
      <c r="X921" s="90"/>
      <c r="Y921" s="90"/>
      <c r="Z921" s="90"/>
      <c r="AA921" s="90"/>
      <c r="AB921" s="90"/>
    </row>
    <row r="922" spans="1:28" ht="16">
      <c r="A922" s="100"/>
      <c r="B922" s="87"/>
      <c r="C922" s="94"/>
      <c r="D922" s="95"/>
      <c r="E922" s="96"/>
      <c r="F922" s="88"/>
      <c r="G922" s="89" t="b">
        <v>0</v>
      </c>
      <c r="H922" s="89"/>
      <c r="I922" s="90"/>
      <c r="J922" s="90"/>
      <c r="K922" s="90"/>
      <c r="L922" s="90"/>
      <c r="M922" s="90"/>
      <c r="N922" s="90"/>
      <c r="O922" s="90"/>
      <c r="P922" s="90"/>
      <c r="Q922" s="90"/>
      <c r="R922" s="90"/>
      <c r="S922" s="90"/>
      <c r="T922" s="90"/>
      <c r="U922" s="90"/>
      <c r="V922" s="90"/>
      <c r="W922" s="90"/>
      <c r="X922" s="90"/>
      <c r="Y922" s="90"/>
      <c r="Z922" s="90"/>
      <c r="AA922" s="90"/>
      <c r="AB922" s="90"/>
    </row>
    <row r="923" spans="1:28" ht="16">
      <c r="A923" s="100"/>
      <c r="B923" s="91"/>
      <c r="C923" s="97"/>
      <c r="D923" s="98"/>
      <c r="E923" s="99"/>
      <c r="F923" s="92"/>
      <c r="G923" s="93" t="b">
        <v>0</v>
      </c>
      <c r="H923" s="93"/>
      <c r="I923" s="90"/>
      <c r="J923" s="90"/>
      <c r="K923" s="90"/>
      <c r="L923" s="90"/>
      <c r="M923" s="90"/>
      <c r="N923" s="90"/>
      <c r="O923" s="90"/>
      <c r="P923" s="90"/>
      <c r="Q923" s="90"/>
      <c r="R923" s="90"/>
      <c r="S923" s="90"/>
      <c r="T923" s="90"/>
      <c r="U923" s="90"/>
      <c r="V923" s="90"/>
      <c r="W923" s="90"/>
      <c r="X923" s="90"/>
      <c r="Y923" s="90"/>
      <c r="Z923" s="90"/>
      <c r="AA923" s="90"/>
      <c r="AB923" s="90"/>
    </row>
    <row r="924" spans="1:28" ht="16">
      <c r="A924" s="100"/>
      <c r="B924" s="87"/>
      <c r="C924" s="94"/>
      <c r="D924" s="95"/>
      <c r="E924" s="96"/>
      <c r="F924" s="88"/>
      <c r="G924" s="89" t="b">
        <v>0</v>
      </c>
      <c r="H924" s="89"/>
      <c r="I924" s="90"/>
      <c r="J924" s="90"/>
      <c r="K924" s="90"/>
      <c r="L924" s="90"/>
      <c r="M924" s="90"/>
      <c r="N924" s="90"/>
      <c r="O924" s="90"/>
      <c r="P924" s="90"/>
      <c r="Q924" s="90"/>
      <c r="R924" s="90"/>
      <c r="S924" s="90"/>
      <c r="T924" s="90"/>
      <c r="U924" s="90"/>
      <c r="V924" s="90"/>
      <c r="W924" s="90"/>
      <c r="X924" s="90"/>
      <c r="Y924" s="90"/>
      <c r="Z924" s="90"/>
      <c r="AA924" s="90"/>
      <c r="AB924" s="90"/>
    </row>
    <row r="925" spans="1:28" ht="16">
      <c r="A925" s="100"/>
      <c r="B925" s="91"/>
      <c r="C925" s="97"/>
      <c r="D925" s="98"/>
      <c r="E925" s="99"/>
      <c r="F925" s="92"/>
      <c r="G925" s="93" t="b">
        <v>0</v>
      </c>
      <c r="H925" s="93"/>
      <c r="I925" s="90"/>
      <c r="J925" s="90"/>
      <c r="K925" s="90"/>
      <c r="L925" s="90"/>
      <c r="M925" s="90"/>
      <c r="N925" s="90"/>
      <c r="O925" s="90"/>
      <c r="P925" s="90"/>
      <c r="Q925" s="90"/>
      <c r="R925" s="90"/>
      <c r="S925" s="90"/>
      <c r="T925" s="90"/>
      <c r="U925" s="90"/>
      <c r="V925" s="90"/>
      <c r="W925" s="90"/>
      <c r="X925" s="90"/>
      <c r="Y925" s="90"/>
      <c r="Z925" s="90"/>
      <c r="AA925" s="90"/>
      <c r="AB925" s="90"/>
    </row>
    <row r="926" spans="1:28" ht="16">
      <c r="A926" s="100"/>
      <c r="B926" s="87"/>
      <c r="C926" s="94"/>
      <c r="D926" s="95"/>
      <c r="E926" s="96"/>
      <c r="F926" s="88"/>
      <c r="G926" s="89" t="b">
        <v>0</v>
      </c>
      <c r="H926" s="89"/>
      <c r="I926" s="90"/>
      <c r="J926" s="90"/>
      <c r="K926" s="90"/>
      <c r="L926" s="90"/>
      <c r="M926" s="90"/>
      <c r="N926" s="90"/>
      <c r="O926" s="90"/>
      <c r="P926" s="90"/>
      <c r="Q926" s="90"/>
      <c r="R926" s="90"/>
      <c r="S926" s="90"/>
      <c r="T926" s="90"/>
      <c r="U926" s="90"/>
      <c r="V926" s="90"/>
      <c r="W926" s="90"/>
      <c r="X926" s="90"/>
      <c r="Y926" s="90"/>
      <c r="Z926" s="90"/>
      <c r="AA926" s="90"/>
      <c r="AB926" s="90"/>
    </row>
    <row r="927" spans="1:28" ht="16">
      <c r="A927" s="100"/>
      <c r="B927" s="91"/>
      <c r="C927" s="97"/>
      <c r="D927" s="98"/>
      <c r="E927" s="99"/>
      <c r="F927" s="92"/>
      <c r="G927" s="93" t="b">
        <v>0</v>
      </c>
      <c r="H927" s="93"/>
      <c r="I927" s="90"/>
      <c r="J927" s="90"/>
      <c r="K927" s="90"/>
      <c r="L927" s="90"/>
      <c r="M927" s="90"/>
      <c r="N927" s="90"/>
      <c r="O927" s="90"/>
      <c r="P927" s="90"/>
      <c r="Q927" s="90"/>
      <c r="R927" s="90"/>
      <c r="S927" s="90"/>
      <c r="T927" s="90"/>
      <c r="U927" s="90"/>
      <c r="V927" s="90"/>
      <c r="W927" s="90"/>
      <c r="X927" s="90"/>
      <c r="Y927" s="90"/>
      <c r="Z927" s="90"/>
      <c r="AA927" s="90"/>
      <c r="AB927" s="90"/>
    </row>
    <row r="928" spans="1:28" ht="16">
      <c r="A928" s="100"/>
      <c r="B928" s="87"/>
      <c r="C928" s="94"/>
      <c r="D928" s="95"/>
      <c r="E928" s="96"/>
      <c r="F928" s="88"/>
      <c r="G928" s="89" t="b">
        <v>0</v>
      </c>
      <c r="H928" s="89"/>
      <c r="I928" s="90"/>
      <c r="J928" s="90"/>
      <c r="K928" s="90"/>
      <c r="L928" s="90"/>
      <c r="M928" s="90"/>
      <c r="N928" s="90"/>
      <c r="O928" s="90"/>
      <c r="P928" s="90"/>
      <c r="Q928" s="90"/>
      <c r="R928" s="90"/>
      <c r="S928" s="90"/>
      <c r="T928" s="90"/>
      <c r="U928" s="90"/>
      <c r="V928" s="90"/>
      <c r="W928" s="90"/>
      <c r="X928" s="90"/>
      <c r="Y928" s="90"/>
      <c r="Z928" s="90"/>
      <c r="AA928" s="90"/>
      <c r="AB928" s="90"/>
    </row>
    <row r="929" spans="1:28" ht="16">
      <c r="A929" s="100"/>
      <c r="B929" s="91"/>
      <c r="C929" s="97"/>
      <c r="D929" s="98"/>
      <c r="E929" s="99"/>
      <c r="F929" s="92"/>
      <c r="G929" s="93" t="b">
        <v>0</v>
      </c>
      <c r="H929" s="93"/>
      <c r="I929" s="90"/>
      <c r="J929" s="90"/>
      <c r="K929" s="90"/>
      <c r="L929" s="90"/>
      <c r="M929" s="90"/>
      <c r="N929" s="90"/>
      <c r="O929" s="90"/>
      <c r="P929" s="90"/>
      <c r="Q929" s="90"/>
      <c r="R929" s="90"/>
      <c r="S929" s="90"/>
      <c r="T929" s="90"/>
      <c r="U929" s="90"/>
      <c r="V929" s="90"/>
      <c r="W929" s="90"/>
      <c r="X929" s="90"/>
      <c r="Y929" s="90"/>
      <c r="Z929" s="90"/>
      <c r="AA929" s="90"/>
      <c r="AB929" s="90"/>
    </row>
    <row r="930" spans="1:28" ht="16">
      <c r="A930" s="100"/>
      <c r="B930" s="87"/>
      <c r="C930" s="94"/>
      <c r="D930" s="95"/>
      <c r="E930" s="96"/>
      <c r="F930" s="88"/>
      <c r="G930" s="89" t="b">
        <v>0</v>
      </c>
      <c r="H930" s="89"/>
      <c r="I930" s="90"/>
      <c r="J930" s="90"/>
      <c r="K930" s="90"/>
      <c r="L930" s="90"/>
      <c r="M930" s="90"/>
      <c r="N930" s="90"/>
      <c r="O930" s="90"/>
      <c r="P930" s="90"/>
      <c r="Q930" s="90"/>
      <c r="R930" s="90"/>
      <c r="S930" s="90"/>
      <c r="T930" s="90"/>
      <c r="U930" s="90"/>
      <c r="V930" s="90"/>
      <c r="W930" s="90"/>
      <c r="X930" s="90"/>
      <c r="Y930" s="90"/>
      <c r="Z930" s="90"/>
      <c r="AA930" s="90"/>
      <c r="AB930" s="90"/>
    </row>
    <row r="931" spans="1:28" ht="16">
      <c r="A931" s="100"/>
      <c r="B931" s="91"/>
      <c r="C931" s="97"/>
      <c r="D931" s="98"/>
      <c r="E931" s="99"/>
      <c r="F931" s="92"/>
      <c r="G931" s="93" t="b">
        <v>0</v>
      </c>
      <c r="H931" s="93"/>
      <c r="I931" s="90"/>
      <c r="J931" s="90"/>
      <c r="K931" s="90"/>
      <c r="L931" s="90"/>
      <c r="M931" s="90"/>
      <c r="N931" s="90"/>
      <c r="O931" s="90"/>
      <c r="P931" s="90"/>
      <c r="Q931" s="90"/>
      <c r="R931" s="90"/>
      <c r="S931" s="90"/>
      <c r="T931" s="90"/>
      <c r="U931" s="90"/>
      <c r="V931" s="90"/>
      <c r="W931" s="90"/>
      <c r="X931" s="90"/>
      <c r="Y931" s="90"/>
      <c r="Z931" s="90"/>
      <c r="AA931" s="90"/>
      <c r="AB931" s="90"/>
    </row>
    <row r="932" spans="1:28" ht="16">
      <c r="A932" s="100"/>
      <c r="B932" s="87"/>
      <c r="C932" s="94"/>
      <c r="D932" s="95"/>
      <c r="E932" s="96"/>
      <c r="F932" s="88"/>
      <c r="G932" s="89" t="b">
        <v>0</v>
      </c>
      <c r="H932" s="89"/>
      <c r="I932" s="90"/>
      <c r="J932" s="90"/>
      <c r="K932" s="90"/>
      <c r="L932" s="90"/>
      <c r="M932" s="90"/>
      <c r="N932" s="90"/>
      <c r="O932" s="90"/>
      <c r="P932" s="90"/>
      <c r="Q932" s="90"/>
      <c r="R932" s="90"/>
      <c r="S932" s="90"/>
      <c r="T932" s="90"/>
      <c r="U932" s="90"/>
      <c r="V932" s="90"/>
      <c r="W932" s="90"/>
      <c r="X932" s="90"/>
      <c r="Y932" s="90"/>
      <c r="Z932" s="90"/>
      <c r="AA932" s="90"/>
      <c r="AB932" s="90"/>
    </row>
    <row r="933" spans="1:28" ht="16">
      <c r="A933" s="100"/>
      <c r="B933" s="91"/>
      <c r="C933" s="97"/>
      <c r="D933" s="98"/>
      <c r="E933" s="99"/>
      <c r="F933" s="92"/>
      <c r="G933" s="93" t="b">
        <v>0</v>
      </c>
      <c r="H933" s="93"/>
      <c r="I933" s="90"/>
      <c r="J933" s="90"/>
      <c r="K933" s="90"/>
      <c r="L933" s="90"/>
      <c r="M933" s="90"/>
      <c r="N933" s="90"/>
      <c r="O933" s="90"/>
      <c r="P933" s="90"/>
      <c r="Q933" s="90"/>
      <c r="R933" s="90"/>
      <c r="S933" s="90"/>
      <c r="T933" s="90"/>
      <c r="U933" s="90"/>
      <c r="V933" s="90"/>
      <c r="W933" s="90"/>
      <c r="X933" s="90"/>
      <c r="Y933" s="90"/>
      <c r="Z933" s="90"/>
      <c r="AA933" s="90"/>
      <c r="AB933" s="90"/>
    </row>
    <row r="934" spans="1:28" ht="16">
      <c r="A934" s="100"/>
      <c r="B934" s="87"/>
      <c r="C934" s="94"/>
      <c r="D934" s="95"/>
      <c r="E934" s="96"/>
      <c r="F934" s="88"/>
      <c r="G934" s="89" t="b">
        <v>0</v>
      </c>
      <c r="H934" s="89"/>
      <c r="I934" s="90"/>
      <c r="J934" s="90"/>
      <c r="K934" s="90"/>
      <c r="L934" s="90"/>
      <c r="M934" s="90"/>
      <c r="N934" s="90"/>
      <c r="O934" s="90"/>
      <c r="P934" s="90"/>
      <c r="Q934" s="90"/>
      <c r="R934" s="90"/>
      <c r="S934" s="90"/>
      <c r="T934" s="90"/>
      <c r="U934" s="90"/>
      <c r="V934" s="90"/>
      <c r="W934" s="90"/>
      <c r="X934" s="90"/>
      <c r="Y934" s="90"/>
      <c r="Z934" s="90"/>
      <c r="AA934" s="90"/>
      <c r="AB934" s="90"/>
    </row>
    <row r="935" spans="1:28" ht="16">
      <c r="A935" s="100"/>
      <c r="B935" s="91"/>
      <c r="C935" s="97"/>
      <c r="D935" s="98"/>
      <c r="E935" s="99"/>
      <c r="F935" s="92"/>
      <c r="G935" s="93" t="b">
        <v>0</v>
      </c>
      <c r="H935" s="93"/>
      <c r="I935" s="90"/>
      <c r="J935" s="90"/>
      <c r="K935" s="90"/>
      <c r="L935" s="90"/>
      <c r="M935" s="90"/>
      <c r="N935" s="90"/>
      <c r="O935" s="90"/>
      <c r="P935" s="90"/>
      <c r="Q935" s="90"/>
      <c r="R935" s="90"/>
      <c r="S935" s="90"/>
      <c r="T935" s="90"/>
      <c r="U935" s="90"/>
      <c r="V935" s="90"/>
      <c r="W935" s="90"/>
      <c r="X935" s="90"/>
      <c r="Y935" s="90"/>
      <c r="Z935" s="90"/>
      <c r="AA935" s="90"/>
      <c r="AB935" s="90"/>
    </row>
    <row r="936" spans="1:28" ht="16">
      <c r="A936" s="100"/>
      <c r="B936" s="87"/>
      <c r="C936" s="94"/>
      <c r="D936" s="95"/>
      <c r="E936" s="96"/>
      <c r="F936" s="88"/>
      <c r="G936" s="89" t="b">
        <v>0</v>
      </c>
      <c r="H936" s="89"/>
      <c r="I936" s="90"/>
      <c r="J936" s="90"/>
      <c r="K936" s="90"/>
      <c r="L936" s="90"/>
      <c r="M936" s="90"/>
      <c r="N936" s="90"/>
      <c r="O936" s="90"/>
      <c r="P936" s="90"/>
      <c r="Q936" s="90"/>
      <c r="R936" s="90"/>
      <c r="S936" s="90"/>
      <c r="T936" s="90"/>
      <c r="U936" s="90"/>
      <c r="V936" s="90"/>
      <c r="W936" s="90"/>
      <c r="X936" s="90"/>
      <c r="Y936" s="90"/>
      <c r="Z936" s="90"/>
      <c r="AA936" s="90"/>
      <c r="AB936" s="90"/>
    </row>
    <row r="937" spans="1:28" ht="16">
      <c r="A937" s="100"/>
      <c r="B937" s="91"/>
      <c r="C937" s="97"/>
      <c r="D937" s="98"/>
      <c r="E937" s="99"/>
      <c r="F937" s="92"/>
      <c r="G937" s="93" t="b">
        <v>0</v>
      </c>
      <c r="H937" s="93"/>
      <c r="I937" s="90"/>
      <c r="J937" s="90"/>
      <c r="K937" s="90"/>
      <c r="L937" s="90"/>
      <c r="M937" s="90"/>
      <c r="N937" s="90"/>
      <c r="O937" s="90"/>
      <c r="P937" s="90"/>
      <c r="Q937" s="90"/>
      <c r="R937" s="90"/>
      <c r="S937" s="90"/>
      <c r="T937" s="90"/>
      <c r="U937" s="90"/>
      <c r="V937" s="90"/>
      <c r="W937" s="90"/>
      <c r="X937" s="90"/>
      <c r="Y937" s="90"/>
      <c r="Z937" s="90"/>
      <c r="AA937" s="90"/>
      <c r="AB937" s="90"/>
    </row>
    <row r="938" spans="1:28" ht="16">
      <c r="A938" s="100"/>
      <c r="B938" s="87"/>
      <c r="C938" s="94"/>
      <c r="D938" s="95"/>
      <c r="E938" s="96"/>
      <c r="F938" s="88"/>
      <c r="G938" s="89" t="b">
        <v>0</v>
      </c>
      <c r="H938" s="89"/>
      <c r="I938" s="90"/>
      <c r="J938" s="90"/>
      <c r="K938" s="90"/>
      <c r="L938" s="90"/>
      <c r="M938" s="90"/>
      <c r="N938" s="90"/>
      <c r="O938" s="90"/>
      <c r="P938" s="90"/>
      <c r="Q938" s="90"/>
      <c r="R938" s="90"/>
      <c r="S938" s="90"/>
      <c r="T938" s="90"/>
      <c r="U938" s="90"/>
      <c r="V938" s="90"/>
      <c r="W938" s="90"/>
      <c r="X938" s="90"/>
      <c r="Y938" s="90"/>
      <c r="Z938" s="90"/>
      <c r="AA938" s="90"/>
      <c r="AB938" s="90"/>
    </row>
    <row r="939" spans="1:28" ht="16">
      <c r="A939" s="100"/>
      <c r="B939" s="91"/>
      <c r="C939" s="97"/>
      <c r="D939" s="98"/>
      <c r="E939" s="99"/>
      <c r="F939" s="92"/>
      <c r="G939" s="93" t="b">
        <v>0</v>
      </c>
      <c r="H939" s="93"/>
      <c r="I939" s="90"/>
      <c r="J939" s="90"/>
      <c r="K939" s="90"/>
      <c r="L939" s="90"/>
      <c r="M939" s="90"/>
      <c r="N939" s="90"/>
      <c r="O939" s="90"/>
      <c r="P939" s="90"/>
      <c r="Q939" s="90"/>
      <c r="R939" s="90"/>
      <c r="S939" s="90"/>
      <c r="T939" s="90"/>
      <c r="U939" s="90"/>
      <c r="V939" s="90"/>
      <c r="W939" s="90"/>
      <c r="X939" s="90"/>
      <c r="Y939" s="90"/>
      <c r="Z939" s="90"/>
      <c r="AA939" s="90"/>
      <c r="AB939" s="90"/>
    </row>
    <row r="940" spans="1:28" ht="16">
      <c r="A940" s="100"/>
      <c r="B940" s="87"/>
      <c r="C940" s="94"/>
      <c r="D940" s="95"/>
      <c r="E940" s="96"/>
      <c r="F940" s="88"/>
      <c r="G940" s="89" t="b">
        <v>0</v>
      </c>
      <c r="H940" s="89"/>
      <c r="I940" s="90"/>
      <c r="J940" s="90"/>
      <c r="K940" s="90"/>
      <c r="L940" s="90"/>
      <c r="M940" s="90"/>
      <c r="N940" s="90"/>
      <c r="O940" s="90"/>
      <c r="P940" s="90"/>
      <c r="Q940" s="90"/>
      <c r="R940" s="90"/>
      <c r="S940" s="90"/>
      <c r="T940" s="90"/>
      <c r="U940" s="90"/>
      <c r="V940" s="90"/>
      <c r="W940" s="90"/>
      <c r="X940" s="90"/>
      <c r="Y940" s="90"/>
      <c r="Z940" s="90"/>
      <c r="AA940" s="90"/>
      <c r="AB940" s="90"/>
    </row>
    <row r="941" spans="1:28" ht="16">
      <c r="A941" s="100"/>
      <c r="B941" s="91"/>
      <c r="C941" s="97"/>
      <c r="D941" s="98"/>
      <c r="E941" s="99"/>
      <c r="F941" s="92"/>
      <c r="G941" s="93" t="b">
        <v>0</v>
      </c>
      <c r="H941" s="93"/>
      <c r="I941" s="90"/>
      <c r="J941" s="90"/>
      <c r="K941" s="90"/>
      <c r="L941" s="90"/>
      <c r="M941" s="90"/>
      <c r="N941" s="90"/>
      <c r="O941" s="90"/>
      <c r="P941" s="90"/>
      <c r="Q941" s="90"/>
      <c r="R941" s="90"/>
      <c r="S941" s="90"/>
      <c r="T941" s="90"/>
      <c r="U941" s="90"/>
      <c r="V941" s="90"/>
      <c r="W941" s="90"/>
      <c r="X941" s="90"/>
      <c r="Y941" s="90"/>
      <c r="Z941" s="90"/>
      <c r="AA941" s="90"/>
      <c r="AB941" s="90"/>
    </row>
    <row r="942" spans="1:28" ht="16">
      <c r="A942" s="100"/>
      <c r="B942" s="87"/>
      <c r="C942" s="94"/>
      <c r="D942" s="95"/>
      <c r="E942" s="96"/>
      <c r="F942" s="88"/>
      <c r="G942" s="89" t="b">
        <v>0</v>
      </c>
      <c r="H942" s="89"/>
      <c r="I942" s="90"/>
      <c r="J942" s="90"/>
      <c r="K942" s="90"/>
      <c r="L942" s="90"/>
      <c r="M942" s="90"/>
      <c r="N942" s="90"/>
      <c r="O942" s="90"/>
      <c r="P942" s="90"/>
      <c r="Q942" s="90"/>
      <c r="R942" s="90"/>
      <c r="S942" s="90"/>
      <c r="T942" s="90"/>
      <c r="U942" s="90"/>
      <c r="V942" s="90"/>
      <c r="W942" s="90"/>
      <c r="X942" s="90"/>
      <c r="Y942" s="90"/>
      <c r="Z942" s="90"/>
      <c r="AA942" s="90"/>
      <c r="AB942" s="90"/>
    </row>
    <row r="943" spans="1:28" ht="16">
      <c r="A943" s="100"/>
      <c r="B943" s="91"/>
      <c r="C943" s="97"/>
      <c r="D943" s="98"/>
      <c r="E943" s="99"/>
      <c r="F943" s="92"/>
      <c r="G943" s="93" t="b">
        <v>0</v>
      </c>
      <c r="H943" s="93"/>
      <c r="I943" s="90"/>
      <c r="J943" s="90"/>
      <c r="K943" s="90"/>
      <c r="L943" s="90"/>
      <c r="M943" s="90"/>
      <c r="N943" s="90"/>
      <c r="O943" s="90"/>
      <c r="P943" s="90"/>
      <c r="Q943" s="90"/>
      <c r="R943" s="90"/>
      <c r="S943" s="90"/>
      <c r="T943" s="90"/>
      <c r="U943" s="90"/>
      <c r="V943" s="90"/>
      <c r="W943" s="90"/>
      <c r="X943" s="90"/>
      <c r="Y943" s="90"/>
      <c r="Z943" s="90"/>
      <c r="AA943" s="90"/>
      <c r="AB943" s="90"/>
    </row>
    <row r="944" spans="1:28" ht="16">
      <c r="A944" s="100"/>
      <c r="B944" s="87"/>
      <c r="C944" s="94"/>
      <c r="D944" s="95"/>
      <c r="E944" s="96"/>
      <c r="F944" s="88"/>
      <c r="G944" s="89" t="b">
        <v>0</v>
      </c>
      <c r="H944" s="89"/>
      <c r="I944" s="90"/>
      <c r="J944" s="90"/>
      <c r="K944" s="90"/>
      <c r="L944" s="90"/>
      <c r="M944" s="90"/>
      <c r="N944" s="90"/>
      <c r="O944" s="90"/>
      <c r="P944" s="90"/>
      <c r="Q944" s="90"/>
      <c r="R944" s="90"/>
      <c r="S944" s="90"/>
      <c r="T944" s="90"/>
      <c r="U944" s="90"/>
      <c r="V944" s="90"/>
      <c r="W944" s="90"/>
      <c r="X944" s="90"/>
      <c r="Y944" s="90"/>
      <c r="Z944" s="90"/>
      <c r="AA944" s="90"/>
      <c r="AB944" s="90"/>
    </row>
    <row r="945" spans="1:28" ht="16">
      <c r="A945" s="100"/>
      <c r="B945" s="91"/>
      <c r="C945" s="97"/>
      <c r="D945" s="98"/>
      <c r="E945" s="99"/>
      <c r="F945" s="92"/>
      <c r="G945" s="93" t="b">
        <v>0</v>
      </c>
      <c r="H945" s="93"/>
      <c r="I945" s="90"/>
      <c r="J945" s="90"/>
      <c r="K945" s="90"/>
      <c r="L945" s="90"/>
      <c r="M945" s="90"/>
      <c r="N945" s="90"/>
      <c r="O945" s="90"/>
      <c r="P945" s="90"/>
      <c r="Q945" s="90"/>
      <c r="R945" s="90"/>
      <c r="S945" s="90"/>
      <c r="T945" s="90"/>
      <c r="U945" s="90"/>
      <c r="V945" s="90"/>
      <c r="W945" s="90"/>
      <c r="X945" s="90"/>
      <c r="Y945" s="90"/>
      <c r="Z945" s="90"/>
      <c r="AA945" s="90"/>
      <c r="AB945" s="90"/>
    </row>
    <row r="946" spans="1:28" ht="16">
      <c r="A946" s="100"/>
      <c r="B946" s="87"/>
      <c r="C946" s="94"/>
      <c r="D946" s="95"/>
      <c r="E946" s="96"/>
      <c r="F946" s="88"/>
      <c r="G946" s="89" t="b">
        <v>0</v>
      </c>
      <c r="H946" s="89"/>
      <c r="I946" s="90"/>
      <c r="J946" s="90"/>
      <c r="K946" s="90"/>
      <c r="L946" s="90"/>
      <c r="M946" s="90"/>
      <c r="N946" s="90"/>
      <c r="O946" s="90"/>
      <c r="P946" s="90"/>
      <c r="Q946" s="90"/>
      <c r="R946" s="90"/>
      <c r="S946" s="90"/>
      <c r="T946" s="90"/>
      <c r="U946" s="90"/>
      <c r="V946" s="90"/>
      <c r="W946" s="90"/>
      <c r="X946" s="90"/>
      <c r="Y946" s="90"/>
      <c r="Z946" s="90"/>
      <c r="AA946" s="90"/>
      <c r="AB946" s="90"/>
    </row>
    <row r="947" spans="1:28" ht="16">
      <c r="A947" s="100"/>
      <c r="B947" s="91"/>
      <c r="C947" s="97"/>
      <c r="D947" s="98"/>
      <c r="E947" s="99"/>
      <c r="F947" s="92"/>
      <c r="G947" s="93" t="b">
        <v>0</v>
      </c>
      <c r="H947" s="93"/>
      <c r="I947" s="90"/>
      <c r="J947" s="90"/>
      <c r="K947" s="90"/>
      <c r="L947" s="90"/>
      <c r="M947" s="90"/>
      <c r="N947" s="90"/>
      <c r="O947" s="90"/>
      <c r="P947" s="90"/>
      <c r="Q947" s="90"/>
      <c r="R947" s="90"/>
      <c r="S947" s="90"/>
      <c r="T947" s="90"/>
      <c r="U947" s="90"/>
      <c r="V947" s="90"/>
      <c r="W947" s="90"/>
      <c r="X947" s="90"/>
      <c r="Y947" s="90"/>
      <c r="Z947" s="90"/>
      <c r="AA947" s="90"/>
      <c r="AB947" s="90"/>
    </row>
    <row r="948" spans="1:28" ht="16">
      <c r="A948" s="100"/>
      <c r="B948" s="87"/>
      <c r="C948" s="94"/>
      <c r="D948" s="95"/>
      <c r="E948" s="96"/>
      <c r="F948" s="88"/>
      <c r="G948" s="89" t="b">
        <v>0</v>
      </c>
      <c r="H948" s="89"/>
      <c r="I948" s="90"/>
      <c r="J948" s="90"/>
      <c r="K948" s="90"/>
      <c r="L948" s="90"/>
      <c r="M948" s="90"/>
      <c r="N948" s="90"/>
      <c r="O948" s="90"/>
      <c r="P948" s="90"/>
      <c r="Q948" s="90"/>
      <c r="R948" s="90"/>
      <c r="S948" s="90"/>
      <c r="T948" s="90"/>
      <c r="U948" s="90"/>
      <c r="V948" s="90"/>
      <c r="W948" s="90"/>
      <c r="X948" s="90"/>
      <c r="Y948" s="90"/>
      <c r="Z948" s="90"/>
      <c r="AA948" s="90"/>
      <c r="AB948" s="90"/>
    </row>
    <row r="949" spans="1:28" ht="16">
      <c r="A949" s="100"/>
      <c r="B949" s="91"/>
      <c r="C949" s="97"/>
      <c r="D949" s="98"/>
      <c r="E949" s="99"/>
      <c r="F949" s="92"/>
      <c r="G949" s="93" t="b">
        <v>0</v>
      </c>
      <c r="H949" s="93"/>
      <c r="I949" s="90"/>
      <c r="J949" s="90"/>
      <c r="K949" s="90"/>
      <c r="L949" s="90"/>
      <c r="M949" s="90"/>
      <c r="N949" s="90"/>
      <c r="O949" s="90"/>
      <c r="P949" s="90"/>
      <c r="Q949" s="90"/>
      <c r="R949" s="90"/>
      <c r="S949" s="90"/>
      <c r="T949" s="90"/>
      <c r="U949" s="90"/>
      <c r="V949" s="90"/>
      <c r="W949" s="90"/>
      <c r="X949" s="90"/>
      <c r="Y949" s="90"/>
      <c r="Z949" s="90"/>
      <c r="AA949" s="90"/>
      <c r="AB949" s="90"/>
    </row>
    <row r="950" spans="1:28" ht="16">
      <c r="A950" s="100"/>
      <c r="B950" s="87"/>
      <c r="C950" s="94"/>
      <c r="D950" s="95"/>
      <c r="E950" s="96"/>
      <c r="F950" s="88"/>
      <c r="G950" s="89" t="b">
        <v>0</v>
      </c>
      <c r="H950" s="89"/>
      <c r="I950" s="90"/>
      <c r="J950" s="90"/>
      <c r="K950" s="90"/>
      <c r="L950" s="90"/>
      <c r="M950" s="90"/>
      <c r="N950" s="90"/>
      <c r="O950" s="90"/>
      <c r="P950" s="90"/>
      <c r="Q950" s="90"/>
      <c r="R950" s="90"/>
      <c r="S950" s="90"/>
      <c r="T950" s="90"/>
      <c r="U950" s="90"/>
      <c r="V950" s="90"/>
      <c r="W950" s="90"/>
      <c r="X950" s="90"/>
      <c r="Y950" s="90"/>
      <c r="Z950" s="90"/>
      <c r="AA950" s="90"/>
      <c r="AB950" s="90"/>
    </row>
    <row r="951" spans="1:28" ht="16">
      <c r="A951" s="100"/>
      <c r="B951" s="91"/>
      <c r="C951" s="97"/>
      <c r="D951" s="98"/>
      <c r="E951" s="99"/>
      <c r="F951" s="92"/>
      <c r="G951" s="93" t="b">
        <v>0</v>
      </c>
      <c r="H951" s="93"/>
      <c r="I951" s="90"/>
      <c r="J951" s="90"/>
      <c r="K951" s="90"/>
      <c r="L951" s="90"/>
      <c r="M951" s="90"/>
      <c r="N951" s="90"/>
      <c r="O951" s="90"/>
      <c r="P951" s="90"/>
      <c r="Q951" s="90"/>
      <c r="R951" s="90"/>
      <c r="S951" s="90"/>
      <c r="T951" s="90"/>
      <c r="U951" s="90"/>
      <c r="V951" s="90"/>
      <c r="W951" s="90"/>
      <c r="X951" s="90"/>
      <c r="Y951" s="90"/>
      <c r="Z951" s="90"/>
      <c r="AA951" s="90"/>
      <c r="AB951" s="90"/>
    </row>
    <row r="952" spans="1:28" ht="16">
      <c r="A952" s="100"/>
      <c r="B952" s="87"/>
      <c r="C952" s="94"/>
      <c r="D952" s="95"/>
      <c r="E952" s="96"/>
      <c r="F952" s="88"/>
      <c r="G952" s="89" t="b">
        <v>0</v>
      </c>
      <c r="H952" s="89"/>
      <c r="I952" s="90"/>
      <c r="J952" s="90"/>
      <c r="K952" s="90"/>
      <c r="L952" s="90"/>
      <c r="M952" s="90"/>
      <c r="N952" s="90"/>
      <c r="O952" s="90"/>
      <c r="P952" s="90"/>
      <c r="Q952" s="90"/>
      <c r="R952" s="90"/>
      <c r="S952" s="90"/>
      <c r="T952" s="90"/>
      <c r="U952" s="90"/>
      <c r="V952" s="90"/>
      <c r="W952" s="90"/>
      <c r="X952" s="90"/>
      <c r="Y952" s="90"/>
      <c r="Z952" s="90"/>
      <c r="AA952" s="90"/>
      <c r="AB952" s="90"/>
    </row>
    <row r="953" spans="1:28" ht="16">
      <c r="A953" s="100"/>
      <c r="B953" s="91"/>
      <c r="C953" s="97"/>
      <c r="D953" s="98"/>
      <c r="E953" s="99"/>
      <c r="F953" s="92"/>
      <c r="G953" s="93" t="b">
        <v>0</v>
      </c>
      <c r="H953" s="93"/>
      <c r="I953" s="90"/>
      <c r="J953" s="90"/>
      <c r="K953" s="90"/>
      <c r="L953" s="90"/>
      <c r="M953" s="90"/>
      <c r="N953" s="90"/>
      <c r="O953" s="90"/>
      <c r="P953" s="90"/>
      <c r="Q953" s="90"/>
      <c r="R953" s="90"/>
      <c r="S953" s="90"/>
      <c r="T953" s="90"/>
      <c r="U953" s="90"/>
      <c r="V953" s="90"/>
      <c r="W953" s="90"/>
      <c r="X953" s="90"/>
      <c r="Y953" s="90"/>
      <c r="Z953" s="90"/>
      <c r="AA953" s="90"/>
      <c r="AB953" s="90"/>
    </row>
    <row r="954" spans="1:28" ht="16">
      <c r="A954" s="100"/>
      <c r="B954" s="87"/>
      <c r="C954" s="94"/>
      <c r="D954" s="95"/>
      <c r="E954" s="96"/>
      <c r="F954" s="88"/>
      <c r="G954" s="89" t="b">
        <v>0</v>
      </c>
      <c r="H954" s="89"/>
      <c r="I954" s="90"/>
      <c r="J954" s="90"/>
      <c r="K954" s="90"/>
      <c r="L954" s="90"/>
      <c r="M954" s="90"/>
      <c r="N954" s="90"/>
      <c r="O954" s="90"/>
      <c r="P954" s="90"/>
      <c r="Q954" s="90"/>
      <c r="R954" s="90"/>
      <c r="S954" s="90"/>
      <c r="T954" s="90"/>
      <c r="U954" s="90"/>
      <c r="V954" s="90"/>
      <c r="W954" s="90"/>
      <c r="X954" s="90"/>
      <c r="Y954" s="90"/>
      <c r="Z954" s="90"/>
      <c r="AA954" s="90"/>
      <c r="AB954" s="90"/>
    </row>
    <row r="955" spans="1:28" ht="16">
      <c r="A955" s="100"/>
      <c r="B955" s="91"/>
      <c r="C955" s="97"/>
      <c r="D955" s="98"/>
      <c r="E955" s="99"/>
      <c r="F955" s="92"/>
      <c r="G955" s="93" t="b">
        <v>0</v>
      </c>
      <c r="H955" s="93"/>
      <c r="I955" s="90"/>
      <c r="J955" s="90"/>
      <c r="K955" s="90"/>
      <c r="L955" s="90"/>
      <c r="M955" s="90"/>
      <c r="N955" s="90"/>
      <c r="O955" s="90"/>
      <c r="P955" s="90"/>
      <c r="Q955" s="90"/>
      <c r="R955" s="90"/>
      <c r="S955" s="90"/>
      <c r="T955" s="90"/>
      <c r="U955" s="90"/>
      <c r="V955" s="90"/>
      <c r="W955" s="90"/>
      <c r="X955" s="90"/>
      <c r="Y955" s="90"/>
      <c r="Z955" s="90"/>
      <c r="AA955" s="90"/>
      <c r="AB955" s="90"/>
    </row>
    <row r="956" spans="1:28" ht="16">
      <c r="A956" s="100"/>
      <c r="B956" s="87"/>
      <c r="C956" s="94"/>
      <c r="D956" s="95"/>
      <c r="E956" s="96"/>
      <c r="F956" s="88"/>
      <c r="G956" s="89" t="b">
        <v>0</v>
      </c>
      <c r="H956" s="89"/>
      <c r="I956" s="90"/>
      <c r="J956" s="90"/>
      <c r="K956" s="90"/>
      <c r="L956" s="90"/>
      <c r="M956" s="90"/>
      <c r="N956" s="90"/>
      <c r="O956" s="90"/>
      <c r="P956" s="90"/>
      <c r="Q956" s="90"/>
      <c r="R956" s="90"/>
      <c r="S956" s="90"/>
      <c r="T956" s="90"/>
      <c r="U956" s="90"/>
      <c r="V956" s="90"/>
      <c r="W956" s="90"/>
      <c r="X956" s="90"/>
      <c r="Y956" s="90"/>
      <c r="Z956" s="90"/>
      <c r="AA956" s="90"/>
      <c r="AB956" s="90"/>
    </row>
    <row r="957" spans="1:28" ht="16">
      <c r="A957" s="100"/>
      <c r="B957" s="91"/>
      <c r="C957" s="97"/>
      <c r="D957" s="98"/>
      <c r="E957" s="99"/>
      <c r="F957" s="92"/>
      <c r="G957" s="93" t="b">
        <v>0</v>
      </c>
      <c r="H957" s="93"/>
      <c r="I957" s="90"/>
      <c r="J957" s="90"/>
      <c r="K957" s="90"/>
      <c r="L957" s="90"/>
      <c r="M957" s="90"/>
      <c r="N957" s="90"/>
      <c r="O957" s="90"/>
      <c r="P957" s="90"/>
      <c r="Q957" s="90"/>
      <c r="R957" s="90"/>
      <c r="S957" s="90"/>
      <c r="T957" s="90"/>
      <c r="U957" s="90"/>
      <c r="V957" s="90"/>
      <c r="W957" s="90"/>
      <c r="X957" s="90"/>
      <c r="Y957" s="90"/>
      <c r="Z957" s="90"/>
      <c r="AA957" s="90"/>
      <c r="AB957" s="90"/>
    </row>
    <row r="958" spans="1:28" ht="16">
      <c r="A958" s="100"/>
      <c r="B958" s="87"/>
      <c r="C958" s="94"/>
      <c r="D958" s="95"/>
      <c r="E958" s="96"/>
      <c r="F958" s="88"/>
      <c r="G958" s="89" t="b">
        <v>0</v>
      </c>
      <c r="H958" s="89"/>
      <c r="I958" s="90"/>
      <c r="J958" s="90"/>
      <c r="K958" s="90"/>
      <c r="L958" s="90"/>
      <c r="M958" s="90"/>
      <c r="N958" s="90"/>
      <c r="O958" s="90"/>
      <c r="P958" s="90"/>
      <c r="Q958" s="90"/>
      <c r="R958" s="90"/>
      <c r="S958" s="90"/>
      <c r="T958" s="90"/>
      <c r="U958" s="90"/>
      <c r="V958" s="90"/>
      <c r="W958" s="90"/>
      <c r="X958" s="90"/>
      <c r="Y958" s="90"/>
      <c r="Z958" s="90"/>
      <c r="AA958" s="90"/>
      <c r="AB958" s="90"/>
    </row>
    <row r="959" spans="1:28" ht="16">
      <c r="A959" s="100"/>
      <c r="B959" s="91"/>
      <c r="C959" s="97"/>
      <c r="D959" s="98"/>
      <c r="E959" s="99"/>
      <c r="F959" s="92"/>
      <c r="G959" s="93" t="b">
        <v>0</v>
      </c>
      <c r="H959" s="93"/>
      <c r="I959" s="90"/>
      <c r="J959" s="90"/>
      <c r="K959" s="90"/>
      <c r="L959" s="90"/>
      <c r="M959" s="90"/>
      <c r="N959" s="90"/>
      <c r="O959" s="90"/>
      <c r="P959" s="90"/>
      <c r="Q959" s="90"/>
      <c r="R959" s="90"/>
      <c r="S959" s="90"/>
      <c r="T959" s="90"/>
      <c r="U959" s="90"/>
      <c r="V959" s="90"/>
      <c r="W959" s="90"/>
      <c r="X959" s="90"/>
      <c r="Y959" s="90"/>
      <c r="Z959" s="90"/>
      <c r="AA959" s="90"/>
      <c r="AB959" s="90"/>
    </row>
    <row r="960" spans="1:28" ht="16">
      <c r="A960" s="100"/>
      <c r="B960" s="87"/>
      <c r="C960" s="94"/>
      <c r="D960" s="95"/>
      <c r="E960" s="96"/>
      <c r="F960" s="88"/>
      <c r="G960" s="89" t="b">
        <v>0</v>
      </c>
      <c r="H960" s="89"/>
      <c r="I960" s="90"/>
      <c r="J960" s="90"/>
      <c r="K960" s="90"/>
      <c r="L960" s="90"/>
      <c r="M960" s="90"/>
      <c r="N960" s="90"/>
      <c r="O960" s="90"/>
      <c r="P960" s="90"/>
      <c r="Q960" s="90"/>
      <c r="R960" s="90"/>
      <c r="S960" s="90"/>
      <c r="T960" s="90"/>
      <c r="U960" s="90"/>
      <c r="V960" s="90"/>
      <c r="W960" s="90"/>
      <c r="X960" s="90"/>
      <c r="Y960" s="90"/>
      <c r="Z960" s="90"/>
      <c r="AA960" s="90"/>
      <c r="AB960" s="90"/>
    </row>
    <row r="961" spans="1:28" ht="16">
      <c r="A961" s="100"/>
      <c r="B961" s="91"/>
      <c r="C961" s="97"/>
      <c r="D961" s="98"/>
      <c r="E961" s="99"/>
      <c r="F961" s="92"/>
      <c r="G961" s="93" t="b">
        <v>0</v>
      </c>
      <c r="H961" s="93"/>
      <c r="I961" s="90"/>
      <c r="J961" s="90"/>
      <c r="K961" s="90"/>
      <c r="L961" s="90"/>
      <c r="M961" s="90"/>
      <c r="N961" s="90"/>
      <c r="O961" s="90"/>
      <c r="P961" s="90"/>
      <c r="Q961" s="90"/>
      <c r="R961" s="90"/>
      <c r="S961" s="90"/>
      <c r="T961" s="90"/>
      <c r="U961" s="90"/>
      <c r="V961" s="90"/>
      <c r="W961" s="90"/>
      <c r="X961" s="90"/>
      <c r="Y961" s="90"/>
      <c r="Z961" s="90"/>
      <c r="AA961" s="90"/>
      <c r="AB961" s="90"/>
    </row>
    <row r="962" spans="1:28" ht="16">
      <c r="A962" s="100"/>
      <c r="B962" s="87"/>
      <c r="C962" s="94"/>
      <c r="D962" s="95"/>
      <c r="E962" s="96"/>
      <c r="F962" s="88"/>
      <c r="G962" s="89" t="b">
        <v>0</v>
      </c>
      <c r="H962" s="89"/>
      <c r="I962" s="90"/>
      <c r="J962" s="90"/>
      <c r="K962" s="90"/>
      <c r="L962" s="90"/>
      <c r="M962" s="90"/>
      <c r="N962" s="90"/>
      <c r="O962" s="90"/>
      <c r="P962" s="90"/>
      <c r="Q962" s="90"/>
      <c r="R962" s="90"/>
      <c r="S962" s="90"/>
      <c r="T962" s="90"/>
      <c r="U962" s="90"/>
      <c r="V962" s="90"/>
      <c r="W962" s="90"/>
      <c r="X962" s="90"/>
      <c r="Y962" s="90"/>
      <c r="Z962" s="90"/>
      <c r="AA962" s="90"/>
      <c r="AB962" s="90"/>
    </row>
    <row r="963" spans="1:28" ht="16">
      <c r="A963" s="100"/>
      <c r="B963" s="91"/>
      <c r="C963" s="97"/>
      <c r="D963" s="98"/>
      <c r="E963" s="99"/>
      <c r="F963" s="92"/>
      <c r="G963" s="93" t="b">
        <v>0</v>
      </c>
      <c r="H963" s="93"/>
      <c r="I963" s="90"/>
      <c r="J963" s="90"/>
      <c r="K963" s="90"/>
      <c r="L963" s="90"/>
      <c r="M963" s="90"/>
      <c r="N963" s="90"/>
      <c r="O963" s="90"/>
      <c r="P963" s="90"/>
      <c r="Q963" s="90"/>
      <c r="R963" s="90"/>
      <c r="S963" s="90"/>
      <c r="T963" s="90"/>
      <c r="U963" s="90"/>
      <c r="V963" s="90"/>
      <c r="W963" s="90"/>
      <c r="X963" s="90"/>
      <c r="Y963" s="90"/>
      <c r="Z963" s="90"/>
      <c r="AA963" s="90"/>
      <c r="AB963" s="90"/>
    </row>
    <row r="964" spans="1:28" ht="16">
      <c r="A964" s="100"/>
      <c r="B964" s="87"/>
      <c r="C964" s="94"/>
      <c r="D964" s="95"/>
      <c r="E964" s="96"/>
      <c r="F964" s="88"/>
      <c r="G964" s="89" t="b">
        <v>0</v>
      </c>
      <c r="H964" s="89"/>
      <c r="I964" s="90"/>
      <c r="J964" s="90"/>
      <c r="K964" s="90"/>
      <c r="L964" s="90"/>
      <c r="M964" s="90"/>
      <c r="N964" s="90"/>
      <c r="O964" s="90"/>
      <c r="P964" s="90"/>
      <c r="Q964" s="90"/>
      <c r="R964" s="90"/>
      <c r="S964" s="90"/>
      <c r="T964" s="90"/>
      <c r="U964" s="90"/>
      <c r="V964" s="90"/>
      <c r="W964" s="90"/>
      <c r="X964" s="90"/>
      <c r="Y964" s="90"/>
      <c r="Z964" s="90"/>
      <c r="AA964" s="90"/>
      <c r="AB964" s="90"/>
    </row>
    <row r="965" spans="1:28" ht="16">
      <c r="A965" s="100"/>
      <c r="B965" s="91"/>
      <c r="C965" s="97"/>
      <c r="D965" s="98"/>
      <c r="E965" s="99"/>
      <c r="F965" s="92"/>
      <c r="G965" s="93" t="b">
        <v>0</v>
      </c>
      <c r="H965" s="93"/>
      <c r="I965" s="90"/>
      <c r="J965" s="90"/>
      <c r="K965" s="90"/>
      <c r="L965" s="90"/>
      <c r="M965" s="90"/>
      <c r="N965" s="90"/>
      <c r="O965" s="90"/>
      <c r="P965" s="90"/>
      <c r="Q965" s="90"/>
      <c r="R965" s="90"/>
      <c r="S965" s="90"/>
      <c r="T965" s="90"/>
      <c r="U965" s="90"/>
      <c r="V965" s="90"/>
      <c r="W965" s="90"/>
      <c r="X965" s="90"/>
      <c r="Y965" s="90"/>
      <c r="Z965" s="90"/>
      <c r="AA965" s="90"/>
      <c r="AB965" s="90"/>
    </row>
    <row r="966" spans="1:28" ht="16">
      <c r="A966" s="100"/>
      <c r="B966" s="87"/>
      <c r="C966" s="94"/>
      <c r="D966" s="95"/>
      <c r="E966" s="96"/>
      <c r="F966" s="88"/>
      <c r="G966" s="89" t="b">
        <v>0</v>
      </c>
      <c r="H966" s="89"/>
      <c r="I966" s="90"/>
      <c r="J966" s="90"/>
      <c r="K966" s="90"/>
      <c r="L966" s="90"/>
      <c r="M966" s="90"/>
      <c r="N966" s="90"/>
      <c r="O966" s="90"/>
      <c r="P966" s="90"/>
      <c r="Q966" s="90"/>
      <c r="R966" s="90"/>
      <c r="S966" s="90"/>
      <c r="T966" s="90"/>
      <c r="U966" s="90"/>
      <c r="V966" s="90"/>
      <c r="W966" s="90"/>
      <c r="X966" s="90"/>
      <c r="Y966" s="90"/>
      <c r="Z966" s="90"/>
      <c r="AA966" s="90"/>
      <c r="AB966" s="90"/>
    </row>
    <row r="967" spans="1:28" ht="16">
      <c r="A967" s="100"/>
      <c r="B967" s="91"/>
      <c r="C967" s="97"/>
      <c r="D967" s="98"/>
      <c r="E967" s="99"/>
      <c r="F967" s="92"/>
      <c r="G967" s="93" t="b">
        <v>0</v>
      </c>
      <c r="H967" s="93"/>
      <c r="I967" s="90"/>
      <c r="J967" s="90"/>
      <c r="K967" s="90"/>
      <c r="L967" s="90"/>
      <c r="M967" s="90"/>
      <c r="N967" s="90"/>
      <c r="O967" s="90"/>
      <c r="P967" s="90"/>
      <c r="Q967" s="90"/>
      <c r="R967" s="90"/>
      <c r="S967" s="90"/>
      <c r="T967" s="90"/>
      <c r="U967" s="90"/>
      <c r="V967" s="90"/>
      <c r="W967" s="90"/>
      <c r="X967" s="90"/>
      <c r="Y967" s="90"/>
      <c r="Z967" s="90"/>
      <c r="AA967" s="90"/>
      <c r="AB967" s="90"/>
    </row>
    <row r="968" spans="1:28" ht="16">
      <c r="A968" s="100"/>
      <c r="B968" s="87"/>
      <c r="C968" s="94"/>
      <c r="D968" s="95"/>
      <c r="E968" s="96"/>
      <c r="F968" s="88"/>
      <c r="G968" s="89" t="b">
        <v>0</v>
      </c>
      <c r="H968" s="89"/>
      <c r="I968" s="90"/>
      <c r="J968" s="90"/>
      <c r="K968" s="90"/>
      <c r="L968" s="90"/>
      <c r="M968" s="90"/>
      <c r="N968" s="90"/>
      <c r="O968" s="90"/>
      <c r="P968" s="90"/>
      <c r="Q968" s="90"/>
      <c r="R968" s="90"/>
      <c r="S968" s="90"/>
      <c r="T968" s="90"/>
      <c r="U968" s="90"/>
      <c r="V968" s="90"/>
      <c r="W968" s="90"/>
      <c r="X968" s="90"/>
      <c r="Y968" s="90"/>
      <c r="Z968" s="90"/>
      <c r="AA968" s="90"/>
      <c r="AB968" s="90"/>
    </row>
    <row r="969" spans="1:28" ht="16">
      <c r="A969" s="100"/>
      <c r="B969" s="91"/>
      <c r="C969" s="97"/>
      <c r="D969" s="98"/>
      <c r="E969" s="99"/>
      <c r="F969" s="92"/>
      <c r="G969" s="93" t="b">
        <v>0</v>
      </c>
      <c r="H969" s="93"/>
      <c r="I969" s="90"/>
      <c r="J969" s="90"/>
      <c r="K969" s="90"/>
      <c r="L969" s="90"/>
      <c r="M969" s="90"/>
      <c r="N969" s="90"/>
      <c r="O969" s="90"/>
      <c r="P969" s="90"/>
      <c r="Q969" s="90"/>
      <c r="R969" s="90"/>
      <c r="S969" s="90"/>
      <c r="T969" s="90"/>
      <c r="U969" s="90"/>
      <c r="V969" s="90"/>
      <c r="W969" s="90"/>
      <c r="X969" s="90"/>
      <c r="Y969" s="90"/>
      <c r="Z969" s="90"/>
      <c r="AA969" s="90"/>
      <c r="AB969" s="90"/>
    </row>
    <row r="970" spans="1:28" ht="16">
      <c r="A970" s="100"/>
      <c r="B970" s="87"/>
      <c r="C970" s="94"/>
      <c r="D970" s="95"/>
      <c r="E970" s="96"/>
      <c r="F970" s="88"/>
      <c r="G970" s="89" t="b">
        <v>0</v>
      </c>
      <c r="H970" s="89"/>
      <c r="I970" s="90"/>
      <c r="J970" s="90"/>
      <c r="K970" s="90"/>
      <c r="L970" s="90"/>
      <c r="M970" s="90"/>
      <c r="N970" s="90"/>
      <c r="O970" s="90"/>
      <c r="P970" s="90"/>
      <c r="Q970" s="90"/>
      <c r="R970" s="90"/>
      <c r="S970" s="90"/>
      <c r="T970" s="90"/>
      <c r="U970" s="90"/>
      <c r="V970" s="90"/>
      <c r="W970" s="90"/>
      <c r="X970" s="90"/>
      <c r="Y970" s="90"/>
      <c r="Z970" s="90"/>
      <c r="AA970" s="90"/>
      <c r="AB970" s="90"/>
    </row>
    <row r="971" spans="1:28" ht="16">
      <c r="A971" s="100"/>
      <c r="B971" s="91"/>
      <c r="C971" s="97"/>
      <c r="D971" s="98"/>
      <c r="E971" s="99"/>
      <c r="F971" s="92"/>
      <c r="G971" s="93" t="b">
        <v>0</v>
      </c>
      <c r="H971" s="93"/>
      <c r="I971" s="90"/>
      <c r="J971" s="90"/>
      <c r="K971" s="90"/>
      <c r="L971" s="90"/>
      <c r="M971" s="90"/>
      <c r="N971" s="90"/>
      <c r="O971" s="90"/>
      <c r="P971" s="90"/>
      <c r="Q971" s="90"/>
      <c r="R971" s="90"/>
      <c r="S971" s="90"/>
      <c r="T971" s="90"/>
      <c r="U971" s="90"/>
      <c r="V971" s="90"/>
      <c r="W971" s="90"/>
      <c r="X971" s="90"/>
      <c r="Y971" s="90"/>
      <c r="Z971" s="90"/>
      <c r="AA971" s="90"/>
      <c r="AB971" s="90"/>
    </row>
    <row r="972" spans="1:28" ht="16">
      <c r="A972" s="100"/>
      <c r="B972" s="87"/>
      <c r="C972" s="94"/>
      <c r="D972" s="95"/>
      <c r="E972" s="96"/>
      <c r="F972" s="88"/>
      <c r="G972" s="89" t="b">
        <v>0</v>
      </c>
      <c r="H972" s="89"/>
      <c r="I972" s="90"/>
      <c r="J972" s="90"/>
      <c r="K972" s="90"/>
      <c r="L972" s="90"/>
      <c r="M972" s="90"/>
      <c r="N972" s="90"/>
      <c r="O972" s="90"/>
      <c r="P972" s="90"/>
      <c r="Q972" s="90"/>
      <c r="R972" s="90"/>
      <c r="S972" s="90"/>
      <c r="T972" s="90"/>
      <c r="U972" s="90"/>
      <c r="V972" s="90"/>
      <c r="W972" s="90"/>
      <c r="X972" s="90"/>
      <c r="Y972" s="90"/>
      <c r="Z972" s="90"/>
      <c r="AA972" s="90"/>
      <c r="AB972" s="90"/>
    </row>
    <row r="973" spans="1:28" ht="16">
      <c r="A973" s="100"/>
      <c r="B973" s="91"/>
      <c r="C973" s="97"/>
      <c r="D973" s="98"/>
      <c r="E973" s="99"/>
      <c r="F973" s="92"/>
      <c r="G973" s="93" t="b">
        <v>0</v>
      </c>
      <c r="H973" s="93"/>
      <c r="I973" s="90"/>
      <c r="J973" s="90"/>
      <c r="K973" s="90"/>
      <c r="L973" s="90"/>
      <c r="M973" s="90"/>
      <c r="N973" s="90"/>
      <c r="O973" s="90"/>
      <c r="P973" s="90"/>
      <c r="Q973" s="90"/>
      <c r="R973" s="90"/>
      <c r="S973" s="90"/>
      <c r="T973" s="90"/>
      <c r="U973" s="90"/>
      <c r="V973" s="90"/>
      <c r="W973" s="90"/>
      <c r="X973" s="90"/>
      <c r="Y973" s="90"/>
      <c r="Z973" s="90"/>
      <c r="AA973" s="90"/>
      <c r="AB973" s="90"/>
    </row>
    <row r="974" spans="1:28" ht="16">
      <c r="A974" s="100"/>
      <c r="B974" s="87"/>
      <c r="C974" s="94"/>
      <c r="D974" s="95"/>
      <c r="E974" s="96"/>
      <c r="F974" s="88"/>
      <c r="G974" s="89" t="b">
        <v>0</v>
      </c>
      <c r="H974" s="89"/>
      <c r="I974" s="90"/>
      <c r="J974" s="90"/>
      <c r="K974" s="90"/>
      <c r="L974" s="90"/>
      <c r="M974" s="90"/>
      <c r="N974" s="90"/>
      <c r="O974" s="90"/>
      <c r="P974" s="90"/>
      <c r="Q974" s="90"/>
      <c r="R974" s="90"/>
      <c r="S974" s="90"/>
      <c r="T974" s="90"/>
      <c r="U974" s="90"/>
      <c r="V974" s="90"/>
      <c r="W974" s="90"/>
      <c r="X974" s="90"/>
      <c r="Y974" s="90"/>
      <c r="Z974" s="90"/>
      <c r="AA974" s="90"/>
      <c r="AB974" s="90"/>
    </row>
    <row r="975" spans="1:28" ht="16">
      <c r="A975" s="100"/>
      <c r="B975" s="91"/>
      <c r="C975" s="97"/>
      <c r="D975" s="98"/>
      <c r="E975" s="99"/>
      <c r="F975" s="92"/>
      <c r="G975" s="93" t="b">
        <v>0</v>
      </c>
      <c r="H975" s="93"/>
      <c r="I975" s="90"/>
      <c r="J975" s="90"/>
      <c r="K975" s="90"/>
      <c r="L975" s="90"/>
      <c r="M975" s="90"/>
      <c r="N975" s="90"/>
      <c r="O975" s="90"/>
      <c r="P975" s="90"/>
      <c r="Q975" s="90"/>
      <c r="R975" s="90"/>
      <c r="S975" s="90"/>
      <c r="T975" s="90"/>
      <c r="U975" s="90"/>
      <c r="V975" s="90"/>
      <c r="W975" s="90"/>
      <c r="X975" s="90"/>
      <c r="Y975" s="90"/>
      <c r="Z975" s="90"/>
      <c r="AA975" s="90"/>
      <c r="AB975" s="90"/>
    </row>
    <row r="976" spans="1:28" ht="16">
      <c r="A976" s="100"/>
      <c r="B976" s="87"/>
      <c r="C976" s="94"/>
      <c r="D976" s="95"/>
      <c r="E976" s="96"/>
      <c r="F976" s="88"/>
      <c r="G976" s="89" t="b">
        <v>0</v>
      </c>
      <c r="H976" s="89"/>
      <c r="I976" s="90"/>
      <c r="J976" s="90"/>
      <c r="K976" s="90"/>
      <c r="L976" s="90"/>
      <c r="M976" s="90"/>
      <c r="N976" s="90"/>
      <c r="O976" s="90"/>
      <c r="P976" s="90"/>
      <c r="Q976" s="90"/>
      <c r="R976" s="90"/>
      <c r="S976" s="90"/>
      <c r="T976" s="90"/>
      <c r="U976" s="90"/>
      <c r="V976" s="90"/>
      <c r="W976" s="90"/>
      <c r="X976" s="90"/>
      <c r="Y976" s="90"/>
      <c r="Z976" s="90"/>
      <c r="AA976" s="90"/>
      <c r="AB976" s="90"/>
    </row>
    <row r="977" spans="1:28" ht="16">
      <c r="A977" s="100"/>
      <c r="B977" s="91"/>
      <c r="C977" s="97"/>
      <c r="D977" s="98"/>
      <c r="E977" s="99"/>
      <c r="F977" s="92"/>
      <c r="G977" s="93" t="b">
        <v>0</v>
      </c>
      <c r="H977" s="93"/>
      <c r="I977" s="90"/>
      <c r="J977" s="90"/>
      <c r="K977" s="90"/>
      <c r="L977" s="90"/>
      <c r="M977" s="90"/>
      <c r="N977" s="90"/>
      <c r="O977" s="90"/>
      <c r="P977" s="90"/>
      <c r="Q977" s="90"/>
      <c r="R977" s="90"/>
      <c r="S977" s="90"/>
      <c r="T977" s="90"/>
      <c r="U977" s="90"/>
      <c r="V977" s="90"/>
      <c r="W977" s="90"/>
      <c r="X977" s="90"/>
      <c r="Y977" s="90"/>
      <c r="Z977" s="90"/>
      <c r="AA977" s="90"/>
      <c r="AB977" s="90"/>
    </row>
    <row r="978" spans="1:28" ht="16">
      <c r="A978" s="100"/>
      <c r="B978" s="87"/>
      <c r="C978" s="94"/>
      <c r="D978" s="95"/>
      <c r="E978" s="96"/>
      <c r="F978" s="88"/>
      <c r="G978" s="89" t="b">
        <v>0</v>
      </c>
      <c r="H978" s="89"/>
      <c r="I978" s="90"/>
      <c r="J978" s="90"/>
      <c r="K978" s="90"/>
      <c r="L978" s="90"/>
      <c r="M978" s="90"/>
      <c r="N978" s="90"/>
      <c r="O978" s="90"/>
      <c r="P978" s="90"/>
      <c r="Q978" s="90"/>
      <c r="R978" s="90"/>
      <c r="S978" s="90"/>
      <c r="T978" s="90"/>
      <c r="U978" s="90"/>
      <c r="V978" s="90"/>
      <c r="W978" s="90"/>
      <c r="X978" s="90"/>
      <c r="Y978" s="90"/>
      <c r="Z978" s="90"/>
      <c r="AA978" s="90"/>
      <c r="AB978" s="90"/>
    </row>
    <row r="979" spans="1:28" ht="16">
      <c r="A979" s="100"/>
      <c r="B979" s="91"/>
      <c r="C979" s="97"/>
      <c r="D979" s="98"/>
      <c r="E979" s="99"/>
      <c r="F979" s="92"/>
      <c r="G979" s="93" t="b">
        <v>0</v>
      </c>
      <c r="H979" s="93"/>
      <c r="I979" s="90"/>
      <c r="J979" s="90"/>
      <c r="K979" s="90"/>
      <c r="L979" s="90"/>
      <c r="M979" s="90"/>
      <c r="N979" s="90"/>
      <c r="O979" s="90"/>
      <c r="P979" s="90"/>
      <c r="Q979" s="90"/>
      <c r="R979" s="90"/>
      <c r="S979" s="90"/>
      <c r="T979" s="90"/>
      <c r="U979" s="90"/>
      <c r="V979" s="90"/>
      <c r="W979" s="90"/>
      <c r="X979" s="90"/>
      <c r="Y979" s="90"/>
      <c r="Z979" s="90"/>
      <c r="AA979" s="90"/>
      <c r="AB979" s="90"/>
    </row>
    <row r="980" spans="1:28" ht="16">
      <c r="A980" s="100"/>
      <c r="B980" s="87"/>
      <c r="C980" s="94"/>
      <c r="D980" s="95"/>
      <c r="E980" s="96"/>
      <c r="F980" s="88"/>
      <c r="G980" s="89" t="b">
        <v>0</v>
      </c>
      <c r="H980" s="89"/>
      <c r="I980" s="90"/>
      <c r="J980" s="90"/>
      <c r="K980" s="90"/>
      <c r="L980" s="90"/>
      <c r="M980" s="90"/>
      <c r="N980" s="90"/>
      <c r="O980" s="90"/>
      <c r="P980" s="90"/>
      <c r="Q980" s="90"/>
      <c r="R980" s="90"/>
      <c r="S980" s="90"/>
      <c r="T980" s="90"/>
      <c r="U980" s="90"/>
      <c r="V980" s="90"/>
      <c r="W980" s="90"/>
      <c r="X980" s="90"/>
      <c r="Y980" s="90"/>
      <c r="Z980" s="90"/>
      <c r="AA980" s="90"/>
      <c r="AB980" s="90"/>
    </row>
    <row r="981" spans="1:28" ht="16">
      <c r="A981" s="100"/>
      <c r="B981" s="91"/>
      <c r="C981" s="97"/>
      <c r="D981" s="98"/>
      <c r="E981" s="99"/>
      <c r="F981" s="92"/>
      <c r="G981" s="93" t="b">
        <v>0</v>
      </c>
      <c r="H981" s="93"/>
      <c r="I981" s="90"/>
      <c r="J981" s="90"/>
      <c r="K981" s="90"/>
      <c r="L981" s="90"/>
      <c r="M981" s="90"/>
      <c r="N981" s="90"/>
      <c r="O981" s="90"/>
      <c r="P981" s="90"/>
      <c r="Q981" s="90"/>
      <c r="R981" s="90"/>
      <c r="S981" s="90"/>
      <c r="T981" s="90"/>
      <c r="U981" s="90"/>
      <c r="V981" s="90"/>
      <c r="W981" s="90"/>
      <c r="X981" s="90"/>
      <c r="Y981" s="90"/>
      <c r="Z981" s="90"/>
      <c r="AA981" s="90"/>
      <c r="AB981" s="90"/>
    </row>
    <row r="982" spans="1:28" ht="16">
      <c r="A982" s="100"/>
      <c r="B982" s="87"/>
      <c r="C982" s="94"/>
      <c r="D982" s="95"/>
      <c r="E982" s="96"/>
      <c r="F982" s="88"/>
      <c r="G982" s="89" t="b">
        <v>0</v>
      </c>
      <c r="H982" s="89"/>
      <c r="I982" s="90"/>
      <c r="J982" s="90"/>
      <c r="K982" s="90"/>
      <c r="L982" s="90"/>
      <c r="M982" s="90"/>
      <c r="N982" s="90"/>
      <c r="O982" s="90"/>
      <c r="P982" s="90"/>
      <c r="Q982" s="90"/>
      <c r="R982" s="90"/>
      <c r="S982" s="90"/>
      <c r="T982" s="90"/>
      <c r="U982" s="90"/>
      <c r="V982" s="90"/>
      <c r="W982" s="90"/>
      <c r="X982" s="90"/>
      <c r="Y982" s="90"/>
      <c r="Z982" s="90"/>
      <c r="AA982" s="90"/>
      <c r="AB982" s="90"/>
    </row>
    <row r="983" spans="1:28" ht="16">
      <c r="A983" s="100"/>
      <c r="B983" s="91"/>
      <c r="C983" s="97"/>
      <c r="D983" s="98"/>
      <c r="E983" s="99"/>
      <c r="F983" s="92"/>
      <c r="G983" s="93" t="b">
        <v>0</v>
      </c>
      <c r="H983" s="93"/>
      <c r="I983" s="90"/>
      <c r="J983" s="90"/>
      <c r="K983" s="90"/>
      <c r="L983" s="90"/>
      <c r="M983" s="90"/>
      <c r="N983" s="90"/>
      <c r="O983" s="90"/>
      <c r="P983" s="90"/>
      <c r="Q983" s="90"/>
      <c r="R983" s="90"/>
      <c r="S983" s="90"/>
      <c r="T983" s="90"/>
      <c r="U983" s="90"/>
      <c r="V983" s="90"/>
      <c r="W983" s="90"/>
      <c r="X983" s="90"/>
      <c r="Y983" s="90"/>
      <c r="Z983" s="90"/>
      <c r="AA983" s="90"/>
      <c r="AB983" s="90"/>
    </row>
    <row r="984" spans="1:28" ht="16">
      <c r="A984" s="100"/>
      <c r="B984" s="87"/>
      <c r="C984" s="94"/>
      <c r="D984" s="95"/>
      <c r="E984" s="96"/>
      <c r="F984" s="88"/>
      <c r="G984" s="89" t="b">
        <v>0</v>
      </c>
      <c r="H984" s="89"/>
      <c r="I984" s="90"/>
      <c r="J984" s="90"/>
      <c r="K984" s="90"/>
      <c r="L984" s="90"/>
      <c r="M984" s="90"/>
      <c r="N984" s="90"/>
      <c r="O984" s="90"/>
      <c r="P984" s="90"/>
      <c r="Q984" s="90"/>
      <c r="R984" s="90"/>
      <c r="S984" s="90"/>
      <c r="T984" s="90"/>
      <c r="U984" s="90"/>
      <c r="V984" s="90"/>
      <c r="W984" s="90"/>
      <c r="X984" s="90"/>
      <c r="Y984" s="90"/>
      <c r="Z984" s="90"/>
      <c r="AA984" s="90"/>
      <c r="AB984" s="90"/>
    </row>
    <row r="985" spans="1:28" ht="16">
      <c r="A985" s="100"/>
      <c r="B985" s="91"/>
      <c r="C985" s="97"/>
      <c r="D985" s="98"/>
      <c r="E985" s="99"/>
      <c r="F985" s="92"/>
      <c r="G985" s="93" t="b">
        <v>0</v>
      </c>
      <c r="H985" s="93"/>
      <c r="I985" s="90"/>
      <c r="J985" s="90"/>
      <c r="K985" s="90"/>
      <c r="L985" s="90"/>
      <c r="M985" s="90"/>
      <c r="N985" s="90"/>
      <c r="O985" s="90"/>
      <c r="P985" s="90"/>
      <c r="Q985" s="90"/>
      <c r="R985" s="90"/>
      <c r="S985" s="90"/>
      <c r="T985" s="90"/>
      <c r="U985" s="90"/>
      <c r="V985" s="90"/>
      <c r="W985" s="90"/>
      <c r="X985" s="90"/>
      <c r="Y985" s="90"/>
      <c r="Z985" s="90"/>
      <c r="AA985" s="90"/>
      <c r="AB985" s="90"/>
    </row>
    <row r="986" spans="1:28" ht="16">
      <c r="A986" s="100"/>
      <c r="B986" s="87"/>
      <c r="C986" s="94"/>
      <c r="D986" s="95"/>
      <c r="E986" s="96"/>
      <c r="F986" s="88"/>
      <c r="G986" s="89" t="b">
        <v>0</v>
      </c>
      <c r="H986" s="89"/>
      <c r="I986" s="90"/>
      <c r="J986" s="90"/>
      <c r="K986" s="90"/>
      <c r="L986" s="90"/>
      <c r="M986" s="90"/>
      <c r="N986" s="90"/>
      <c r="O986" s="90"/>
      <c r="P986" s="90"/>
      <c r="Q986" s="90"/>
      <c r="R986" s="90"/>
      <c r="S986" s="90"/>
      <c r="T986" s="90"/>
      <c r="U986" s="90"/>
      <c r="V986" s="90"/>
      <c r="W986" s="90"/>
      <c r="X986" s="90"/>
      <c r="Y986" s="90"/>
      <c r="Z986" s="90"/>
      <c r="AA986" s="90"/>
      <c r="AB986" s="90"/>
    </row>
    <row r="987" spans="1:28" ht="16">
      <c r="A987" s="100"/>
      <c r="B987" s="91"/>
      <c r="C987" s="97"/>
      <c r="D987" s="98"/>
      <c r="E987" s="99"/>
      <c r="F987" s="92"/>
      <c r="G987" s="93" t="b">
        <v>0</v>
      </c>
      <c r="H987" s="93"/>
      <c r="I987" s="90"/>
      <c r="J987" s="90"/>
      <c r="K987" s="90"/>
      <c r="L987" s="90"/>
      <c r="M987" s="90"/>
      <c r="N987" s="90"/>
      <c r="O987" s="90"/>
      <c r="P987" s="90"/>
      <c r="Q987" s="90"/>
      <c r="R987" s="90"/>
      <c r="S987" s="90"/>
      <c r="T987" s="90"/>
      <c r="U987" s="90"/>
      <c r="V987" s="90"/>
      <c r="W987" s="90"/>
      <c r="X987" s="90"/>
      <c r="Y987" s="90"/>
      <c r="Z987" s="90"/>
      <c r="AA987" s="90"/>
      <c r="AB987" s="90"/>
    </row>
    <row r="988" spans="1:28" ht="16">
      <c r="A988" s="100"/>
      <c r="B988" s="87"/>
      <c r="C988" s="94"/>
      <c r="D988" s="95"/>
      <c r="E988" s="96"/>
      <c r="F988" s="88"/>
      <c r="G988" s="89" t="b">
        <v>0</v>
      </c>
      <c r="H988" s="89"/>
      <c r="I988" s="90"/>
      <c r="J988" s="90"/>
      <c r="K988" s="90"/>
      <c r="L988" s="90"/>
      <c r="M988" s="90"/>
      <c r="N988" s="90"/>
      <c r="O988" s="90"/>
      <c r="P988" s="90"/>
      <c r="Q988" s="90"/>
      <c r="R988" s="90"/>
      <c r="S988" s="90"/>
      <c r="T988" s="90"/>
      <c r="U988" s="90"/>
      <c r="V988" s="90"/>
      <c r="W988" s="90"/>
      <c r="X988" s="90"/>
      <c r="Y988" s="90"/>
      <c r="Z988" s="90"/>
      <c r="AA988" s="90"/>
      <c r="AB988" s="90"/>
    </row>
    <row r="989" spans="1:28" ht="16">
      <c r="A989" s="100"/>
      <c r="B989" s="91"/>
      <c r="C989" s="97"/>
      <c r="D989" s="98"/>
      <c r="E989" s="99"/>
      <c r="F989" s="92"/>
      <c r="G989" s="93" t="b">
        <v>0</v>
      </c>
      <c r="H989" s="93"/>
      <c r="I989" s="90"/>
      <c r="J989" s="90"/>
      <c r="K989" s="90"/>
      <c r="L989" s="90"/>
      <c r="M989" s="90"/>
      <c r="N989" s="90"/>
      <c r="O989" s="90"/>
      <c r="P989" s="90"/>
      <c r="Q989" s="90"/>
      <c r="R989" s="90"/>
      <c r="S989" s="90"/>
      <c r="T989" s="90"/>
      <c r="U989" s="90"/>
      <c r="V989" s="90"/>
      <c r="W989" s="90"/>
      <c r="X989" s="90"/>
      <c r="Y989" s="90"/>
      <c r="Z989" s="90"/>
      <c r="AA989" s="90"/>
      <c r="AB989" s="90"/>
    </row>
    <row r="990" spans="1:28" ht="16">
      <c r="A990" s="100"/>
      <c r="B990" s="87"/>
      <c r="C990" s="94"/>
      <c r="D990" s="95"/>
      <c r="E990" s="96"/>
      <c r="F990" s="88"/>
      <c r="G990" s="89" t="b">
        <v>0</v>
      </c>
      <c r="H990" s="89"/>
      <c r="I990" s="90"/>
      <c r="J990" s="90"/>
      <c r="K990" s="90"/>
      <c r="L990" s="90"/>
      <c r="M990" s="90"/>
      <c r="N990" s="90"/>
      <c r="O990" s="90"/>
      <c r="P990" s="90"/>
      <c r="Q990" s="90"/>
      <c r="R990" s="90"/>
      <c r="S990" s="90"/>
      <c r="T990" s="90"/>
      <c r="U990" s="90"/>
      <c r="V990" s="90"/>
      <c r="W990" s="90"/>
      <c r="X990" s="90"/>
      <c r="Y990" s="90"/>
      <c r="Z990" s="90"/>
      <c r="AA990" s="90"/>
      <c r="AB990" s="90"/>
    </row>
    <row r="991" spans="1:28" ht="16">
      <c r="A991" s="100"/>
      <c r="B991" s="91"/>
      <c r="C991" s="97"/>
      <c r="D991" s="98"/>
      <c r="E991" s="99"/>
      <c r="F991" s="92"/>
      <c r="G991" s="93" t="b">
        <v>0</v>
      </c>
      <c r="H991" s="93"/>
      <c r="I991" s="90"/>
      <c r="J991" s="90"/>
      <c r="K991" s="90"/>
      <c r="L991" s="90"/>
      <c r="M991" s="90"/>
      <c r="N991" s="90"/>
      <c r="O991" s="90"/>
      <c r="P991" s="90"/>
      <c r="Q991" s="90"/>
      <c r="R991" s="90"/>
      <c r="S991" s="90"/>
      <c r="T991" s="90"/>
      <c r="U991" s="90"/>
      <c r="V991" s="90"/>
      <c r="W991" s="90"/>
      <c r="X991" s="90"/>
      <c r="Y991" s="90"/>
      <c r="Z991" s="90"/>
      <c r="AA991" s="90"/>
      <c r="AB991" s="90"/>
    </row>
    <row r="992" spans="1:28" ht="16">
      <c r="A992" s="100"/>
      <c r="B992" s="87"/>
      <c r="C992" s="94"/>
      <c r="D992" s="95"/>
      <c r="E992" s="96"/>
      <c r="F992" s="88"/>
      <c r="G992" s="89" t="b">
        <v>0</v>
      </c>
      <c r="H992" s="89"/>
      <c r="I992" s="90"/>
      <c r="J992" s="90"/>
      <c r="K992" s="90"/>
      <c r="L992" s="90"/>
      <c r="M992" s="90"/>
      <c r="N992" s="90"/>
      <c r="O992" s="90"/>
      <c r="P992" s="90"/>
      <c r="Q992" s="90"/>
      <c r="R992" s="90"/>
      <c r="S992" s="90"/>
      <c r="T992" s="90"/>
      <c r="U992" s="90"/>
      <c r="V992" s="90"/>
      <c r="W992" s="90"/>
      <c r="X992" s="90"/>
      <c r="Y992" s="90"/>
      <c r="Z992" s="90"/>
      <c r="AA992" s="90"/>
      <c r="AB992" s="90"/>
    </row>
    <row r="993" spans="1:28" ht="16">
      <c r="A993" s="100"/>
      <c r="B993" s="91"/>
      <c r="C993" s="97"/>
      <c r="D993" s="98"/>
      <c r="E993" s="99"/>
      <c r="F993" s="92"/>
      <c r="G993" s="93" t="b">
        <v>0</v>
      </c>
      <c r="H993" s="93"/>
      <c r="I993" s="90"/>
      <c r="J993" s="90"/>
      <c r="K993" s="90"/>
      <c r="L993" s="90"/>
      <c r="M993" s="90"/>
      <c r="N993" s="90"/>
      <c r="O993" s="90"/>
      <c r="P993" s="90"/>
      <c r="Q993" s="90"/>
      <c r="R993" s="90"/>
      <c r="S993" s="90"/>
      <c r="T993" s="90"/>
      <c r="U993" s="90"/>
      <c r="V993" s="90"/>
      <c r="W993" s="90"/>
      <c r="X993" s="90"/>
      <c r="Y993" s="90"/>
      <c r="Z993" s="90"/>
      <c r="AA993" s="90"/>
      <c r="AB993" s="90"/>
    </row>
    <row r="994" spans="1:28" ht="16">
      <c r="A994" s="100"/>
      <c r="B994" s="87"/>
      <c r="C994" s="94"/>
      <c r="D994" s="95"/>
      <c r="E994" s="96"/>
      <c r="F994" s="88"/>
      <c r="G994" s="89" t="b">
        <v>0</v>
      </c>
      <c r="H994" s="89"/>
      <c r="I994" s="90"/>
      <c r="J994" s="90"/>
      <c r="K994" s="90"/>
      <c r="L994" s="90"/>
      <c r="M994" s="90"/>
      <c r="N994" s="90"/>
      <c r="O994" s="90"/>
      <c r="P994" s="90"/>
      <c r="Q994" s="90"/>
      <c r="R994" s="90"/>
      <c r="S994" s="90"/>
      <c r="T994" s="90"/>
      <c r="U994" s="90"/>
      <c r="V994" s="90"/>
      <c r="W994" s="90"/>
      <c r="X994" s="90"/>
      <c r="Y994" s="90"/>
      <c r="Z994" s="90"/>
      <c r="AA994" s="90"/>
      <c r="AB994" s="90"/>
    </row>
    <row r="995" spans="1:28" ht="16">
      <c r="A995" s="100"/>
      <c r="B995" s="91"/>
      <c r="C995" s="97"/>
      <c r="D995" s="98"/>
      <c r="E995" s="99"/>
      <c r="F995" s="92"/>
      <c r="G995" s="93" t="b">
        <v>0</v>
      </c>
      <c r="H995" s="93"/>
      <c r="I995" s="90"/>
      <c r="J995" s="90"/>
      <c r="K995" s="90"/>
      <c r="L995" s="90"/>
      <c r="M995" s="90"/>
      <c r="N995" s="90"/>
      <c r="O995" s="90"/>
      <c r="P995" s="90"/>
      <c r="Q995" s="90"/>
      <c r="R995" s="90"/>
      <c r="S995" s="90"/>
      <c r="T995" s="90"/>
      <c r="U995" s="90"/>
      <c r="V995" s="90"/>
      <c r="W995" s="90"/>
      <c r="X995" s="90"/>
      <c r="Y995" s="90"/>
      <c r="Z995" s="90"/>
      <c r="AA995" s="90"/>
      <c r="AB995" s="90"/>
    </row>
    <row r="996" spans="1:28" ht="16">
      <c r="A996" s="100"/>
      <c r="B996" s="87"/>
      <c r="C996" s="94"/>
      <c r="D996" s="95"/>
      <c r="E996" s="96"/>
      <c r="F996" s="88"/>
      <c r="G996" s="89" t="b">
        <v>0</v>
      </c>
      <c r="H996" s="89"/>
      <c r="I996" s="90"/>
      <c r="J996" s="90"/>
      <c r="K996" s="90"/>
      <c r="L996" s="90"/>
      <c r="M996" s="90"/>
      <c r="N996" s="90"/>
      <c r="O996" s="90"/>
      <c r="P996" s="90"/>
      <c r="Q996" s="90"/>
      <c r="R996" s="90"/>
      <c r="S996" s="90"/>
      <c r="T996" s="90"/>
      <c r="U996" s="90"/>
      <c r="V996" s="90"/>
      <c r="W996" s="90"/>
      <c r="X996" s="90"/>
      <c r="Y996" s="90"/>
      <c r="Z996" s="90"/>
      <c r="AA996" s="90"/>
      <c r="AB996" s="90"/>
    </row>
    <row r="997" spans="1:28" ht="16">
      <c r="A997" s="100"/>
      <c r="B997" s="91"/>
      <c r="C997" s="97"/>
      <c r="D997" s="98"/>
      <c r="E997" s="99"/>
      <c r="F997" s="92"/>
      <c r="G997" s="93" t="b">
        <v>0</v>
      </c>
      <c r="H997" s="93"/>
      <c r="I997" s="90"/>
      <c r="J997" s="90"/>
      <c r="K997" s="90"/>
      <c r="L997" s="90"/>
      <c r="M997" s="90"/>
      <c r="N997" s="90"/>
      <c r="O997" s="90"/>
      <c r="P997" s="90"/>
      <c r="Q997" s="90"/>
      <c r="R997" s="90"/>
      <c r="S997" s="90"/>
      <c r="T997" s="90"/>
      <c r="U997" s="90"/>
      <c r="V997" s="90"/>
      <c r="W997" s="90"/>
      <c r="X997" s="90"/>
      <c r="Y997" s="90"/>
      <c r="Z997" s="90"/>
      <c r="AA997" s="90"/>
      <c r="AB997" s="90"/>
    </row>
    <row r="998" spans="1:28" ht="16">
      <c r="A998" s="100"/>
      <c r="B998" s="87"/>
      <c r="C998" s="94"/>
      <c r="D998" s="95"/>
      <c r="E998" s="96"/>
      <c r="F998" s="88"/>
      <c r="G998" s="89" t="b">
        <v>0</v>
      </c>
      <c r="H998" s="89"/>
      <c r="I998" s="90"/>
      <c r="J998" s="90"/>
      <c r="K998" s="90"/>
      <c r="L998" s="90"/>
      <c r="M998" s="90"/>
      <c r="N998" s="90"/>
      <c r="O998" s="90"/>
      <c r="P998" s="90"/>
      <c r="Q998" s="90"/>
      <c r="R998" s="90"/>
      <c r="S998" s="90"/>
      <c r="T998" s="90"/>
      <c r="U998" s="90"/>
      <c r="V998" s="90"/>
      <c r="W998" s="90"/>
      <c r="X998" s="90"/>
      <c r="Y998" s="90"/>
      <c r="Z998" s="90"/>
      <c r="AA998" s="90"/>
      <c r="AB998" s="90"/>
    </row>
    <row r="999" spans="1:28" ht="16">
      <c r="A999" s="100"/>
      <c r="B999" s="91"/>
      <c r="C999" s="97"/>
      <c r="D999" s="98"/>
      <c r="E999" s="99"/>
      <c r="F999" s="92"/>
      <c r="G999" s="93" t="b">
        <v>0</v>
      </c>
      <c r="H999" s="93"/>
      <c r="I999" s="90"/>
      <c r="J999" s="90"/>
      <c r="K999" s="90"/>
      <c r="L999" s="90"/>
      <c r="M999" s="90"/>
      <c r="N999" s="90"/>
      <c r="O999" s="90"/>
      <c r="P999" s="90"/>
      <c r="Q999" s="90"/>
      <c r="R999" s="90"/>
      <c r="S999" s="90"/>
      <c r="T999" s="90"/>
      <c r="U999" s="90"/>
      <c r="V999" s="90"/>
      <c r="W999" s="90"/>
      <c r="X999" s="90"/>
      <c r="Y999" s="90"/>
      <c r="Z999" s="90"/>
      <c r="AA999" s="90"/>
      <c r="AB999" s="90"/>
    </row>
    <row r="1000" spans="1:28" ht="16">
      <c r="A1000" s="100"/>
      <c r="B1000" s="87"/>
      <c r="C1000" s="94"/>
      <c r="D1000" s="95"/>
      <c r="E1000" s="96"/>
      <c r="F1000" s="88"/>
      <c r="G1000" s="89" t="b">
        <v>0</v>
      </c>
      <c r="H1000" s="89"/>
      <c r="I1000" s="90"/>
      <c r="J1000" s="90"/>
      <c r="K1000" s="90"/>
      <c r="L1000" s="90"/>
      <c r="M1000" s="90"/>
      <c r="N1000" s="90"/>
      <c r="O1000" s="90"/>
      <c r="P1000" s="90"/>
      <c r="Q1000" s="90"/>
      <c r="R1000" s="90"/>
      <c r="S1000" s="90"/>
      <c r="T1000" s="90"/>
      <c r="U1000" s="90"/>
      <c r="V1000" s="90"/>
      <c r="W1000" s="90"/>
      <c r="X1000" s="90"/>
      <c r="Y1000" s="90"/>
      <c r="Z1000" s="90"/>
      <c r="AA1000" s="90"/>
      <c r="AB1000" s="90"/>
    </row>
    <row r="1001" spans="1:28" ht="16">
      <c r="A1001" s="100"/>
      <c r="B1001" s="91"/>
      <c r="C1001" s="97"/>
      <c r="D1001" s="98"/>
      <c r="E1001" s="99"/>
      <c r="F1001" s="92"/>
      <c r="G1001" s="93" t="b">
        <v>0</v>
      </c>
      <c r="H1001" s="93"/>
      <c r="I1001" s="90"/>
      <c r="J1001" s="90"/>
      <c r="K1001" s="90"/>
      <c r="L1001" s="90"/>
      <c r="M1001" s="90"/>
      <c r="N1001" s="90"/>
      <c r="O1001" s="90"/>
      <c r="P1001" s="90"/>
      <c r="Q1001" s="90"/>
      <c r="R1001" s="90"/>
      <c r="S1001" s="90"/>
      <c r="T1001" s="90"/>
      <c r="U1001" s="90"/>
      <c r="V1001" s="90"/>
      <c r="W1001" s="90"/>
      <c r="X1001" s="90"/>
      <c r="Y1001" s="90"/>
      <c r="Z1001" s="90"/>
      <c r="AA1001" s="90"/>
      <c r="AB1001" s="90"/>
    </row>
    <row r="1002" spans="1:28" ht="16">
      <c r="A1002" s="100"/>
      <c r="B1002" s="87"/>
      <c r="C1002" s="94"/>
      <c r="D1002" s="95"/>
      <c r="E1002" s="96"/>
      <c r="F1002" s="88"/>
      <c r="G1002" s="89" t="b">
        <v>0</v>
      </c>
      <c r="H1002" s="89"/>
      <c r="I1002" s="90"/>
      <c r="J1002" s="90"/>
      <c r="K1002" s="90"/>
      <c r="L1002" s="90"/>
      <c r="M1002" s="90"/>
      <c r="N1002" s="90"/>
      <c r="O1002" s="90"/>
      <c r="P1002" s="90"/>
      <c r="Q1002" s="90"/>
      <c r="R1002" s="90"/>
      <c r="S1002" s="90"/>
      <c r="T1002" s="90"/>
      <c r="U1002" s="90"/>
      <c r="V1002" s="90"/>
      <c r="W1002" s="90"/>
      <c r="X1002" s="90"/>
      <c r="Y1002" s="90"/>
      <c r="Z1002" s="90"/>
      <c r="AA1002" s="90"/>
      <c r="AB1002" s="90"/>
    </row>
    <row r="1003" spans="1:28" ht="16">
      <c r="A1003" s="100"/>
      <c r="B1003" s="91"/>
      <c r="C1003" s="97"/>
      <c r="D1003" s="98"/>
      <c r="E1003" s="99"/>
      <c r="F1003" s="92"/>
      <c r="G1003" s="93" t="b">
        <v>0</v>
      </c>
      <c r="H1003" s="93"/>
      <c r="I1003" s="90"/>
      <c r="J1003" s="90"/>
      <c r="K1003" s="90"/>
      <c r="L1003" s="90"/>
      <c r="M1003" s="90"/>
      <c r="N1003" s="90"/>
      <c r="O1003" s="90"/>
      <c r="P1003" s="90"/>
      <c r="Q1003" s="90"/>
      <c r="R1003" s="90"/>
      <c r="S1003" s="90"/>
      <c r="T1003" s="90"/>
      <c r="U1003" s="90"/>
      <c r="V1003" s="90"/>
      <c r="W1003" s="90"/>
      <c r="X1003" s="90"/>
      <c r="Y1003" s="90"/>
      <c r="Z1003" s="90"/>
      <c r="AA1003" s="90"/>
      <c r="AB1003" s="90"/>
    </row>
    <row r="1004" spans="1:28" ht="16">
      <c r="A1004" s="100"/>
      <c r="B1004" s="87"/>
      <c r="C1004" s="94"/>
      <c r="D1004" s="95"/>
      <c r="E1004" s="96"/>
      <c r="F1004" s="88"/>
      <c r="G1004" s="89" t="b">
        <v>0</v>
      </c>
      <c r="H1004" s="89"/>
      <c r="I1004" s="90"/>
      <c r="J1004" s="90"/>
      <c r="K1004" s="90"/>
      <c r="L1004" s="90"/>
      <c r="M1004" s="90"/>
      <c r="N1004" s="90"/>
      <c r="O1004" s="90"/>
      <c r="P1004" s="90"/>
      <c r="Q1004" s="90"/>
      <c r="R1004" s="90"/>
      <c r="S1004" s="90"/>
      <c r="T1004" s="90"/>
      <c r="U1004" s="90"/>
      <c r="V1004" s="90"/>
      <c r="W1004" s="90"/>
      <c r="X1004" s="90"/>
      <c r="Y1004" s="90"/>
      <c r="Z1004" s="90"/>
      <c r="AA1004" s="90"/>
      <c r="AB1004" s="90"/>
    </row>
    <row r="1005" spans="1:28" ht="16">
      <c r="A1005" s="100"/>
      <c r="B1005" s="91"/>
      <c r="C1005" s="97"/>
      <c r="D1005" s="98"/>
      <c r="E1005" s="99"/>
      <c r="F1005" s="92"/>
      <c r="G1005" s="93" t="b">
        <v>0</v>
      </c>
      <c r="H1005" s="93"/>
      <c r="I1005" s="90"/>
      <c r="J1005" s="90"/>
      <c r="K1005" s="90"/>
      <c r="L1005" s="90"/>
      <c r="M1005" s="90"/>
      <c r="N1005" s="90"/>
      <c r="O1005" s="90"/>
      <c r="P1005" s="90"/>
      <c r="Q1005" s="90"/>
      <c r="R1005" s="90"/>
      <c r="S1005" s="90"/>
      <c r="T1005" s="90"/>
      <c r="U1005" s="90"/>
      <c r="V1005" s="90"/>
      <c r="W1005" s="90"/>
      <c r="X1005" s="90"/>
      <c r="Y1005" s="90"/>
      <c r="Z1005" s="90"/>
      <c r="AA1005" s="90"/>
      <c r="AB1005" s="90"/>
    </row>
    <row r="1006" spans="1:28" ht="16">
      <c r="A1006" s="100"/>
      <c r="B1006" s="87"/>
      <c r="C1006" s="94"/>
      <c r="D1006" s="95"/>
      <c r="E1006" s="96"/>
      <c r="F1006" s="88"/>
      <c r="G1006" s="89" t="b">
        <v>0</v>
      </c>
      <c r="H1006" s="89"/>
      <c r="I1006" s="90"/>
      <c r="J1006" s="90"/>
      <c r="K1006" s="90"/>
      <c r="L1006" s="90"/>
      <c r="M1006" s="90"/>
      <c r="N1006" s="90"/>
      <c r="O1006" s="90"/>
      <c r="P1006" s="90"/>
      <c r="Q1006" s="90"/>
      <c r="R1006" s="90"/>
      <c r="S1006" s="90"/>
      <c r="T1006" s="90"/>
      <c r="U1006" s="90"/>
      <c r="V1006" s="90"/>
      <c r="W1006" s="90"/>
      <c r="X1006" s="90"/>
      <c r="Y1006" s="90"/>
      <c r="Z1006" s="90"/>
      <c r="AA1006" s="90"/>
      <c r="AB1006" s="90"/>
    </row>
    <row r="1007" spans="1:28" ht="16">
      <c r="A1007" s="100"/>
      <c r="B1007" s="91"/>
      <c r="C1007" s="97"/>
      <c r="D1007" s="98"/>
      <c r="E1007" s="99"/>
      <c r="F1007" s="92"/>
      <c r="G1007" s="93" t="b">
        <v>0</v>
      </c>
      <c r="H1007" s="93"/>
      <c r="I1007" s="90"/>
      <c r="J1007" s="90"/>
      <c r="K1007" s="90"/>
      <c r="L1007" s="90"/>
      <c r="M1007" s="90"/>
      <c r="N1007" s="90"/>
      <c r="O1007" s="90"/>
      <c r="P1007" s="90"/>
      <c r="Q1007" s="90"/>
      <c r="R1007" s="90"/>
      <c r="S1007" s="90"/>
      <c r="T1007" s="90"/>
      <c r="U1007" s="90"/>
      <c r="V1007" s="90"/>
      <c r="W1007" s="90"/>
      <c r="X1007" s="90"/>
      <c r="Y1007" s="90"/>
      <c r="Z1007" s="90"/>
      <c r="AA1007" s="90"/>
      <c r="AB1007" s="90"/>
    </row>
    <row r="1008" spans="1:28" ht="16">
      <c r="A1008" s="100"/>
      <c r="B1008" s="87"/>
      <c r="C1008" s="94"/>
      <c r="D1008" s="95"/>
      <c r="E1008" s="96"/>
      <c r="F1008" s="88"/>
      <c r="G1008" s="89" t="b">
        <v>0</v>
      </c>
      <c r="H1008" s="89"/>
      <c r="I1008" s="90"/>
      <c r="J1008" s="90"/>
      <c r="K1008" s="90"/>
      <c r="L1008" s="90"/>
      <c r="M1008" s="90"/>
      <c r="N1008" s="90"/>
      <c r="O1008" s="90"/>
      <c r="P1008" s="90"/>
      <c r="Q1008" s="90"/>
      <c r="R1008" s="90"/>
      <c r="S1008" s="90"/>
      <c r="T1008" s="90"/>
      <c r="U1008" s="90"/>
      <c r="V1008" s="90"/>
      <c r="W1008" s="90"/>
      <c r="X1008" s="90"/>
      <c r="Y1008" s="90"/>
      <c r="Z1008" s="90"/>
      <c r="AA1008" s="90"/>
      <c r="AB1008" s="90"/>
    </row>
    <row r="1009" spans="1:28" ht="16">
      <c r="A1009" s="100"/>
      <c r="B1009" s="91"/>
      <c r="C1009" s="97"/>
      <c r="D1009" s="98"/>
      <c r="E1009" s="99"/>
      <c r="F1009" s="92"/>
      <c r="G1009" s="93" t="b">
        <v>0</v>
      </c>
      <c r="H1009" s="93"/>
      <c r="I1009" s="90"/>
      <c r="J1009" s="90"/>
      <c r="K1009" s="90"/>
      <c r="L1009" s="90"/>
      <c r="M1009" s="90"/>
      <c r="N1009" s="90"/>
      <c r="O1009" s="90"/>
      <c r="P1009" s="90"/>
      <c r="Q1009" s="90"/>
      <c r="R1009" s="90"/>
      <c r="S1009" s="90"/>
      <c r="T1009" s="90"/>
      <c r="U1009" s="90"/>
      <c r="V1009" s="90"/>
      <c r="W1009" s="90"/>
      <c r="X1009" s="90"/>
      <c r="Y1009" s="90"/>
      <c r="Z1009" s="90"/>
      <c r="AA1009" s="90"/>
      <c r="AB1009" s="90"/>
    </row>
    <row r="1010" spans="1:28" ht="16">
      <c r="A1010" s="100"/>
      <c r="B1010" s="87"/>
      <c r="C1010" s="94"/>
      <c r="D1010" s="95"/>
      <c r="E1010" s="96"/>
      <c r="F1010" s="88"/>
      <c r="G1010" s="89" t="b">
        <v>0</v>
      </c>
      <c r="H1010" s="89"/>
      <c r="I1010" s="90"/>
      <c r="J1010" s="90"/>
      <c r="K1010" s="90"/>
      <c r="L1010" s="90"/>
      <c r="M1010" s="90"/>
      <c r="N1010" s="90"/>
      <c r="O1010" s="90"/>
      <c r="P1010" s="90"/>
      <c r="Q1010" s="90"/>
      <c r="R1010" s="90"/>
      <c r="S1010" s="90"/>
      <c r="T1010" s="90"/>
      <c r="U1010" s="90"/>
      <c r="V1010" s="90"/>
      <c r="W1010" s="90"/>
      <c r="X1010" s="90"/>
      <c r="Y1010" s="90"/>
      <c r="Z1010" s="90"/>
      <c r="AA1010" s="90"/>
      <c r="AB1010" s="90"/>
    </row>
    <row r="1011" spans="1:28" ht="16">
      <c r="A1011" s="100"/>
      <c r="B1011" s="91"/>
      <c r="C1011" s="97"/>
      <c r="D1011" s="98"/>
      <c r="E1011" s="99"/>
      <c r="F1011" s="92"/>
      <c r="G1011" s="93" t="b">
        <v>0</v>
      </c>
      <c r="H1011" s="93"/>
      <c r="I1011" s="90"/>
      <c r="J1011" s="90"/>
      <c r="K1011" s="90"/>
      <c r="L1011" s="90"/>
      <c r="M1011" s="90"/>
      <c r="N1011" s="90"/>
      <c r="O1011" s="90"/>
      <c r="P1011" s="90"/>
      <c r="Q1011" s="90"/>
      <c r="R1011" s="90"/>
      <c r="S1011" s="90"/>
      <c r="T1011" s="90"/>
      <c r="U1011" s="90"/>
      <c r="V1011" s="90"/>
      <c r="W1011" s="90"/>
      <c r="X1011" s="90"/>
      <c r="Y1011" s="90"/>
      <c r="Z1011" s="90"/>
      <c r="AA1011" s="90"/>
      <c r="AB1011" s="90"/>
    </row>
    <row r="1012" spans="1:28" ht="16">
      <c r="A1012" s="100"/>
      <c r="B1012" s="87"/>
      <c r="C1012" s="94"/>
      <c r="D1012" s="95"/>
      <c r="E1012" s="96"/>
      <c r="F1012" s="88"/>
      <c r="G1012" s="89" t="b">
        <v>0</v>
      </c>
      <c r="H1012" s="89"/>
      <c r="I1012" s="90"/>
      <c r="J1012" s="90"/>
      <c r="K1012" s="90"/>
      <c r="L1012" s="90"/>
      <c r="M1012" s="90"/>
      <c r="N1012" s="90"/>
      <c r="O1012" s="90"/>
      <c r="P1012" s="90"/>
      <c r="Q1012" s="90"/>
      <c r="R1012" s="90"/>
      <c r="S1012" s="90"/>
      <c r="T1012" s="90"/>
      <c r="U1012" s="90"/>
      <c r="V1012" s="90"/>
      <c r="W1012" s="90"/>
      <c r="X1012" s="90"/>
      <c r="Y1012" s="90"/>
      <c r="Z1012" s="90"/>
      <c r="AA1012" s="90"/>
      <c r="AB1012" s="90"/>
    </row>
    <row r="1013" spans="1:28" ht="16">
      <c r="A1013" s="100"/>
      <c r="B1013" s="91"/>
      <c r="C1013" s="97"/>
      <c r="D1013" s="98"/>
      <c r="E1013" s="99"/>
      <c r="F1013" s="92"/>
      <c r="G1013" s="93" t="b">
        <v>0</v>
      </c>
      <c r="H1013" s="93"/>
      <c r="I1013" s="90"/>
      <c r="J1013" s="90"/>
      <c r="K1013" s="90"/>
      <c r="L1013" s="90"/>
      <c r="M1013" s="90"/>
      <c r="N1013" s="90"/>
      <c r="O1013" s="90"/>
      <c r="P1013" s="90"/>
      <c r="Q1013" s="90"/>
      <c r="R1013" s="90"/>
      <c r="S1013" s="90"/>
      <c r="T1013" s="90"/>
      <c r="U1013" s="90"/>
      <c r="V1013" s="90"/>
      <c r="W1013" s="90"/>
      <c r="X1013" s="90"/>
      <c r="Y1013" s="90"/>
      <c r="Z1013" s="90"/>
      <c r="AA1013" s="90"/>
      <c r="AB1013" s="90"/>
    </row>
    <row r="1014" spans="1:28" ht="16">
      <c r="A1014" s="100"/>
      <c r="B1014" s="87"/>
      <c r="C1014" s="94"/>
      <c r="D1014" s="95"/>
      <c r="E1014" s="96"/>
      <c r="F1014" s="88"/>
      <c r="G1014" s="89" t="b">
        <v>0</v>
      </c>
      <c r="H1014" s="89"/>
      <c r="I1014" s="90"/>
      <c r="J1014" s="90"/>
      <c r="K1014" s="90"/>
      <c r="L1014" s="90"/>
      <c r="M1014" s="90"/>
      <c r="N1014" s="90"/>
      <c r="O1014" s="90"/>
      <c r="P1014" s="90"/>
      <c r="Q1014" s="90"/>
      <c r="R1014" s="90"/>
      <c r="S1014" s="90"/>
      <c r="T1014" s="90"/>
      <c r="U1014" s="90"/>
      <c r="V1014" s="90"/>
      <c r="W1014" s="90"/>
      <c r="X1014" s="90"/>
      <c r="Y1014" s="90"/>
      <c r="Z1014" s="90"/>
      <c r="AA1014" s="90"/>
      <c r="AB1014" s="90"/>
    </row>
    <row r="1015" spans="1:28" ht="16">
      <c r="A1015" s="100"/>
      <c r="B1015" s="91"/>
      <c r="C1015" s="97"/>
      <c r="D1015" s="98"/>
      <c r="E1015" s="99"/>
      <c r="F1015" s="92"/>
      <c r="G1015" s="93" t="b">
        <v>0</v>
      </c>
      <c r="H1015" s="93"/>
      <c r="I1015" s="90"/>
      <c r="J1015" s="90"/>
      <c r="K1015" s="90"/>
      <c r="L1015" s="90"/>
      <c r="M1015" s="90"/>
      <c r="N1015" s="90"/>
      <c r="O1015" s="90"/>
      <c r="P1015" s="90"/>
      <c r="Q1015" s="90"/>
      <c r="R1015" s="90"/>
      <c r="S1015" s="90"/>
      <c r="T1015" s="90"/>
      <c r="U1015" s="90"/>
      <c r="V1015" s="90"/>
      <c r="W1015" s="90"/>
      <c r="X1015" s="90"/>
      <c r="Y1015" s="90"/>
      <c r="Z1015" s="90"/>
      <c r="AA1015" s="90"/>
      <c r="AB1015" s="90"/>
    </row>
    <row r="1016" spans="1:28" ht="16">
      <c r="A1016" s="100"/>
      <c r="B1016" s="87"/>
      <c r="C1016" s="94"/>
      <c r="D1016" s="95"/>
      <c r="E1016" s="96"/>
      <c r="F1016" s="88"/>
      <c r="G1016" s="89" t="b">
        <v>0</v>
      </c>
      <c r="H1016" s="89"/>
      <c r="I1016" s="90"/>
      <c r="J1016" s="90"/>
      <c r="K1016" s="90"/>
      <c r="L1016" s="90"/>
      <c r="M1016" s="90"/>
      <c r="N1016" s="90"/>
      <c r="O1016" s="90"/>
      <c r="P1016" s="90"/>
      <c r="Q1016" s="90"/>
      <c r="R1016" s="90"/>
      <c r="S1016" s="90"/>
      <c r="T1016" s="90"/>
      <c r="U1016" s="90"/>
      <c r="V1016" s="90"/>
      <c r="W1016" s="90"/>
      <c r="X1016" s="90"/>
      <c r="Y1016" s="90"/>
      <c r="Z1016" s="90"/>
      <c r="AA1016" s="90"/>
      <c r="AB1016" s="90"/>
    </row>
    <row r="1017" spans="1:28" ht="16">
      <c r="A1017" s="100"/>
      <c r="B1017" s="91"/>
      <c r="C1017" s="97"/>
      <c r="D1017" s="98"/>
      <c r="E1017" s="99"/>
      <c r="F1017" s="92"/>
      <c r="G1017" s="93" t="b">
        <v>0</v>
      </c>
      <c r="H1017" s="93"/>
      <c r="I1017" s="90"/>
      <c r="J1017" s="90"/>
      <c r="K1017" s="90"/>
      <c r="L1017" s="90"/>
      <c r="M1017" s="90"/>
      <c r="N1017" s="90"/>
      <c r="O1017" s="90"/>
      <c r="P1017" s="90"/>
      <c r="Q1017" s="90"/>
      <c r="R1017" s="90"/>
      <c r="S1017" s="90"/>
      <c r="T1017" s="90"/>
      <c r="U1017" s="90"/>
      <c r="V1017" s="90"/>
      <c r="W1017" s="90"/>
      <c r="X1017" s="90"/>
      <c r="Y1017" s="90"/>
      <c r="Z1017" s="90"/>
      <c r="AA1017" s="90"/>
      <c r="AB1017" s="90"/>
    </row>
    <row r="1018" spans="1:28" ht="16">
      <c r="A1018" s="100"/>
      <c r="B1018" s="87"/>
      <c r="C1018" s="94"/>
      <c r="D1018" s="95"/>
      <c r="E1018" s="96"/>
      <c r="F1018" s="88"/>
      <c r="G1018" s="89" t="b">
        <v>0</v>
      </c>
      <c r="H1018" s="89"/>
      <c r="I1018" s="90"/>
      <c r="J1018" s="90"/>
      <c r="K1018" s="90"/>
      <c r="L1018" s="90"/>
      <c r="M1018" s="90"/>
      <c r="N1018" s="90"/>
      <c r="O1018" s="90"/>
      <c r="P1018" s="90"/>
      <c r="Q1018" s="90"/>
      <c r="R1018" s="90"/>
      <c r="S1018" s="90"/>
      <c r="T1018" s="90"/>
      <c r="U1018" s="90"/>
      <c r="V1018" s="90"/>
      <c r="W1018" s="90"/>
      <c r="X1018" s="90"/>
      <c r="Y1018" s="90"/>
      <c r="Z1018" s="90"/>
      <c r="AA1018" s="90"/>
      <c r="AB1018" s="90"/>
    </row>
    <row r="1019" spans="1:28" ht="16">
      <c r="A1019" s="100"/>
      <c r="B1019" s="91"/>
      <c r="C1019" s="97"/>
      <c r="D1019" s="98"/>
      <c r="E1019" s="99"/>
      <c r="F1019" s="92"/>
      <c r="G1019" s="93" t="b">
        <v>0</v>
      </c>
      <c r="H1019" s="93"/>
      <c r="I1019" s="90"/>
      <c r="J1019" s="90"/>
      <c r="K1019" s="90"/>
      <c r="L1019" s="90"/>
      <c r="M1019" s="90"/>
      <c r="N1019" s="90"/>
      <c r="O1019" s="90"/>
      <c r="P1019" s="90"/>
      <c r="Q1019" s="90"/>
      <c r="R1019" s="90"/>
      <c r="S1019" s="90"/>
      <c r="T1019" s="90"/>
      <c r="U1019" s="90"/>
      <c r="V1019" s="90"/>
      <c r="W1019" s="90"/>
      <c r="X1019" s="90"/>
      <c r="Y1019" s="90"/>
      <c r="Z1019" s="90"/>
      <c r="AA1019" s="90"/>
      <c r="AB1019" s="90"/>
    </row>
    <row r="1020" spans="1:28" ht="16">
      <c r="A1020" s="100"/>
      <c r="B1020" s="87"/>
      <c r="C1020" s="94"/>
      <c r="D1020" s="95"/>
      <c r="E1020" s="96"/>
      <c r="F1020" s="88"/>
      <c r="G1020" s="89" t="b">
        <v>0</v>
      </c>
      <c r="H1020" s="89"/>
      <c r="I1020" s="90"/>
      <c r="J1020" s="90"/>
      <c r="K1020" s="90"/>
      <c r="L1020" s="90"/>
      <c r="M1020" s="90"/>
      <c r="N1020" s="90"/>
      <c r="O1020" s="90"/>
      <c r="P1020" s="90"/>
      <c r="Q1020" s="90"/>
      <c r="R1020" s="90"/>
      <c r="S1020" s="90"/>
      <c r="T1020" s="90"/>
      <c r="U1020" s="90"/>
      <c r="V1020" s="90"/>
      <c r="W1020" s="90"/>
      <c r="X1020" s="90"/>
      <c r="Y1020" s="90"/>
      <c r="Z1020" s="90"/>
      <c r="AA1020" s="90"/>
      <c r="AB1020" s="90"/>
    </row>
    <row r="1021" spans="1:28" ht="16">
      <c r="A1021" s="100"/>
      <c r="B1021" s="91"/>
      <c r="C1021" s="97"/>
      <c r="D1021" s="98"/>
      <c r="E1021" s="99"/>
      <c r="F1021" s="92"/>
      <c r="G1021" s="93" t="b">
        <v>0</v>
      </c>
      <c r="H1021" s="93"/>
      <c r="I1021" s="90"/>
      <c r="J1021" s="90"/>
      <c r="K1021" s="90"/>
      <c r="L1021" s="90"/>
      <c r="M1021" s="90"/>
      <c r="N1021" s="90"/>
      <c r="O1021" s="90"/>
      <c r="P1021" s="90"/>
      <c r="Q1021" s="90"/>
      <c r="R1021" s="90"/>
      <c r="S1021" s="90"/>
      <c r="T1021" s="90"/>
      <c r="U1021" s="90"/>
      <c r="V1021" s="90"/>
      <c r="W1021" s="90"/>
      <c r="X1021" s="90"/>
      <c r="Y1021" s="90"/>
      <c r="Z1021" s="90"/>
      <c r="AA1021" s="90"/>
      <c r="AB1021" s="90"/>
    </row>
    <row r="1022" spans="1:28" ht="16">
      <c r="A1022" s="100"/>
      <c r="B1022" s="87"/>
      <c r="C1022" s="94"/>
      <c r="D1022" s="95"/>
      <c r="E1022" s="96"/>
      <c r="F1022" s="88"/>
      <c r="G1022" s="89" t="b">
        <v>0</v>
      </c>
      <c r="H1022" s="89"/>
      <c r="I1022" s="90"/>
      <c r="J1022" s="90"/>
      <c r="K1022" s="90"/>
      <c r="L1022" s="90"/>
      <c r="M1022" s="90"/>
      <c r="N1022" s="90"/>
      <c r="O1022" s="90"/>
      <c r="P1022" s="90"/>
      <c r="Q1022" s="90"/>
      <c r="R1022" s="90"/>
      <c r="S1022" s="90"/>
      <c r="T1022" s="90"/>
      <c r="U1022" s="90"/>
      <c r="V1022" s="90"/>
      <c r="W1022" s="90"/>
      <c r="X1022" s="90"/>
      <c r="Y1022" s="90"/>
      <c r="Z1022" s="90"/>
      <c r="AA1022" s="90"/>
      <c r="AB1022" s="90"/>
    </row>
    <row r="1023" spans="1:28" ht="16">
      <c r="A1023" s="100"/>
      <c r="B1023" s="91"/>
      <c r="C1023" s="97"/>
      <c r="D1023" s="98"/>
      <c r="E1023" s="99"/>
      <c r="F1023" s="92"/>
      <c r="G1023" s="93" t="b">
        <v>0</v>
      </c>
      <c r="H1023" s="93"/>
      <c r="I1023" s="90"/>
      <c r="J1023" s="90"/>
      <c r="K1023" s="90"/>
      <c r="L1023" s="90"/>
      <c r="M1023" s="90"/>
      <c r="N1023" s="90"/>
      <c r="O1023" s="90"/>
      <c r="P1023" s="90"/>
      <c r="Q1023" s="90"/>
      <c r="R1023" s="90"/>
      <c r="S1023" s="90"/>
      <c r="T1023" s="90"/>
      <c r="U1023" s="90"/>
      <c r="V1023" s="90"/>
      <c r="W1023" s="90"/>
      <c r="X1023" s="90"/>
      <c r="Y1023" s="90"/>
      <c r="Z1023" s="90"/>
      <c r="AA1023" s="90"/>
      <c r="AB1023" s="90"/>
    </row>
    <row r="1024" spans="1:28" ht="16">
      <c r="A1024" s="100"/>
      <c r="B1024" s="87"/>
      <c r="C1024" s="94"/>
      <c r="D1024" s="95"/>
      <c r="E1024" s="96"/>
      <c r="F1024" s="88"/>
      <c r="G1024" s="89" t="b">
        <v>0</v>
      </c>
      <c r="H1024" s="89"/>
      <c r="I1024" s="90"/>
      <c r="J1024" s="90"/>
      <c r="K1024" s="90"/>
      <c r="L1024" s="90"/>
      <c r="M1024" s="90"/>
      <c r="N1024" s="90"/>
      <c r="O1024" s="90"/>
      <c r="P1024" s="90"/>
      <c r="Q1024" s="90"/>
      <c r="R1024" s="90"/>
      <c r="S1024" s="90"/>
      <c r="T1024" s="90"/>
      <c r="U1024" s="90"/>
      <c r="V1024" s="90"/>
      <c r="W1024" s="90"/>
      <c r="X1024" s="90"/>
      <c r="Y1024" s="90"/>
      <c r="Z1024" s="90"/>
      <c r="AA1024" s="90"/>
      <c r="AB1024" s="90"/>
    </row>
    <row r="1025" spans="1:28" ht="16">
      <c r="A1025" s="100"/>
      <c r="B1025" s="91"/>
      <c r="C1025" s="97"/>
      <c r="D1025" s="98"/>
      <c r="E1025" s="99"/>
      <c r="F1025" s="92"/>
      <c r="G1025" s="93" t="b">
        <v>0</v>
      </c>
      <c r="H1025" s="93"/>
      <c r="I1025" s="90"/>
      <c r="J1025" s="90"/>
      <c r="K1025" s="90"/>
      <c r="L1025" s="90"/>
      <c r="M1025" s="90"/>
      <c r="N1025" s="90"/>
      <c r="O1025" s="90"/>
      <c r="P1025" s="90"/>
      <c r="Q1025" s="90"/>
      <c r="R1025" s="90"/>
      <c r="S1025" s="90"/>
      <c r="T1025" s="90"/>
      <c r="U1025" s="90"/>
      <c r="V1025" s="90"/>
      <c r="W1025" s="90"/>
      <c r="X1025" s="90"/>
      <c r="Y1025" s="90"/>
      <c r="Z1025" s="90"/>
      <c r="AA1025" s="90"/>
      <c r="AB1025" s="90"/>
    </row>
    <row r="1026" spans="1:28" ht="16">
      <c r="A1026" s="100"/>
      <c r="B1026" s="87"/>
      <c r="C1026" s="94"/>
      <c r="D1026" s="95"/>
      <c r="E1026" s="96"/>
      <c r="F1026" s="88"/>
      <c r="G1026" s="89" t="b">
        <v>0</v>
      </c>
      <c r="H1026" s="89"/>
      <c r="I1026" s="90"/>
      <c r="J1026" s="90"/>
      <c r="K1026" s="90"/>
      <c r="L1026" s="90"/>
      <c r="M1026" s="90"/>
      <c r="N1026" s="90"/>
      <c r="O1026" s="90"/>
      <c r="P1026" s="90"/>
      <c r="Q1026" s="90"/>
      <c r="R1026" s="90"/>
      <c r="S1026" s="90"/>
      <c r="T1026" s="90"/>
      <c r="U1026" s="90"/>
      <c r="V1026" s="90"/>
      <c r="W1026" s="90"/>
      <c r="X1026" s="90"/>
      <c r="Y1026" s="90"/>
      <c r="Z1026" s="90"/>
      <c r="AA1026" s="90"/>
      <c r="AB1026" s="90"/>
    </row>
    <row r="1027" spans="1:28" ht="16">
      <c r="A1027" s="100"/>
      <c r="B1027" s="91"/>
      <c r="C1027" s="97"/>
      <c r="D1027" s="98"/>
      <c r="E1027" s="99"/>
      <c r="F1027" s="92"/>
      <c r="G1027" s="93" t="b">
        <v>0</v>
      </c>
      <c r="H1027" s="93"/>
      <c r="I1027" s="90"/>
      <c r="J1027" s="90"/>
      <c r="K1027" s="90"/>
      <c r="L1027" s="90"/>
      <c r="M1027" s="90"/>
      <c r="N1027" s="90"/>
      <c r="O1027" s="90"/>
      <c r="P1027" s="90"/>
      <c r="Q1027" s="90"/>
      <c r="R1027" s="90"/>
      <c r="S1027" s="90"/>
      <c r="T1027" s="90"/>
      <c r="U1027" s="90"/>
      <c r="V1027" s="90"/>
      <c r="W1027" s="90"/>
      <c r="X1027" s="90"/>
      <c r="Y1027" s="90"/>
      <c r="Z1027" s="90"/>
      <c r="AA1027" s="90"/>
      <c r="AB1027" s="90"/>
    </row>
    <row r="1028" spans="1:28" ht="16">
      <c r="A1028" s="100"/>
      <c r="B1028" s="87"/>
      <c r="C1028" s="94"/>
      <c r="D1028" s="95"/>
      <c r="E1028" s="96"/>
      <c r="F1028" s="88"/>
      <c r="G1028" s="89" t="b">
        <v>0</v>
      </c>
      <c r="H1028" s="89"/>
      <c r="I1028" s="90"/>
      <c r="J1028" s="90"/>
      <c r="K1028" s="90"/>
      <c r="L1028" s="90"/>
      <c r="M1028" s="90"/>
      <c r="N1028" s="90"/>
      <c r="O1028" s="90"/>
      <c r="P1028" s="90"/>
      <c r="Q1028" s="90"/>
      <c r="R1028" s="90"/>
      <c r="S1028" s="90"/>
      <c r="T1028" s="90"/>
      <c r="U1028" s="90"/>
      <c r="V1028" s="90"/>
      <c r="W1028" s="90"/>
      <c r="X1028" s="90"/>
      <c r="Y1028" s="90"/>
      <c r="Z1028" s="90"/>
      <c r="AA1028" s="90"/>
      <c r="AB1028" s="90"/>
    </row>
    <row r="1029" spans="1:28" ht="16">
      <c r="A1029" s="100"/>
      <c r="B1029" s="91"/>
      <c r="C1029" s="97"/>
      <c r="D1029" s="98"/>
      <c r="E1029" s="99"/>
      <c r="F1029" s="92"/>
      <c r="G1029" s="93" t="b">
        <v>0</v>
      </c>
      <c r="H1029" s="93"/>
      <c r="I1029" s="90"/>
      <c r="J1029" s="90"/>
      <c r="K1029" s="90"/>
      <c r="L1029" s="90"/>
      <c r="M1029" s="90"/>
      <c r="N1029" s="90"/>
      <c r="O1029" s="90"/>
      <c r="P1029" s="90"/>
      <c r="Q1029" s="90"/>
      <c r="R1029" s="90"/>
      <c r="S1029" s="90"/>
      <c r="T1029" s="90"/>
      <c r="U1029" s="90"/>
      <c r="V1029" s="90"/>
      <c r="W1029" s="90"/>
      <c r="X1029" s="90"/>
      <c r="Y1029" s="90"/>
      <c r="Z1029" s="90"/>
      <c r="AA1029" s="90"/>
      <c r="AB1029" s="90"/>
    </row>
    <row r="1030" spans="1:28" ht="16">
      <c r="A1030" s="100"/>
      <c r="B1030" s="87"/>
      <c r="C1030" s="94"/>
      <c r="D1030" s="95"/>
      <c r="E1030" s="96"/>
      <c r="F1030" s="88"/>
      <c r="G1030" s="89" t="b">
        <v>0</v>
      </c>
      <c r="H1030" s="89"/>
      <c r="I1030" s="90"/>
      <c r="J1030" s="90"/>
      <c r="K1030" s="90"/>
      <c r="L1030" s="90"/>
      <c r="M1030" s="90"/>
      <c r="N1030" s="90"/>
      <c r="O1030" s="90"/>
      <c r="P1030" s="90"/>
      <c r="Q1030" s="90"/>
      <c r="R1030" s="90"/>
      <c r="S1030" s="90"/>
      <c r="T1030" s="90"/>
      <c r="U1030" s="90"/>
      <c r="V1030" s="90"/>
      <c r="W1030" s="90"/>
      <c r="X1030" s="90"/>
      <c r="Y1030" s="90"/>
      <c r="Z1030" s="90"/>
      <c r="AA1030" s="90"/>
      <c r="AB1030" s="90"/>
    </row>
    <row r="1031" spans="1:28" ht="16">
      <c r="A1031" s="100"/>
      <c r="B1031" s="91"/>
      <c r="C1031" s="97"/>
      <c r="D1031" s="98"/>
      <c r="E1031" s="99"/>
      <c r="F1031" s="92"/>
      <c r="G1031" s="93" t="b">
        <v>0</v>
      </c>
      <c r="H1031" s="93"/>
      <c r="I1031" s="90"/>
      <c r="J1031" s="90"/>
      <c r="K1031" s="90"/>
      <c r="L1031" s="90"/>
      <c r="M1031" s="90"/>
      <c r="N1031" s="90"/>
      <c r="O1031" s="90"/>
      <c r="P1031" s="90"/>
      <c r="Q1031" s="90"/>
      <c r="R1031" s="90"/>
      <c r="S1031" s="90"/>
      <c r="T1031" s="90"/>
      <c r="U1031" s="90"/>
      <c r="V1031" s="90"/>
      <c r="W1031" s="90"/>
      <c r="X1031" s="90"/>
      <c r="Y1031" s="90"/>
      <c r="Z1031" s="90"/>
      <c r="AA1031" s="90"/>
      <c r="AB1031" s="90"/>
    </row>
    <row r="1032" spans="1:28" ht="16">
      <c r="A1032" s="100"/>
      <c r="B1032" s="87"/>
      <c r="C1032" s="94"/>
      <c r="D1032" s="95"/>
      <c r="E1032" s="96"/>
      <c r="F1032" s="88"/>
      <c r="G1032" s="89" t="b">
        <v>0</v>
      </c>
      <c r="H1032" s="89"/>
      <c r="I1032" s="90"/>
      <c r="J1032" s="90"/>
      <c r="K1032" s="90"/>
      <c r="L1032" s="90"/>
      <c r="M1032" s="90"/>
      <c r="N1032" s="90"/>
      <c r="O1032" s="90"/>
      <c r="P1032" s="90"/>
      <c r="Q1032" s="90"/>
      <c r="R1032" s="90"/>
      <c r="S1032" s="90"/>
      <c r="T1032" s="90"/>
      <c r="U1032" s="90"/>
      <c r="V1032" s="90"/>
      <c r="W1032" s="90"/>
      <c r="X1032" s="90"/>
      <c r="Y1032" s="90"/>
      <c r="Z1032" s="90"/>
      <c r="AA1032" s="90"/>
      <c r="AB1032" s="90"/>
    </row>
    <row r="1033" spans="1:28" ht="16">
      <c r="A1033" s="100"/>
      <c r="B1033" s="91"/>
      <c r="C1033" s="97"/>
      <c r="D1033" s="98"/>
      <c r="E1033" s="99"/>
      <c r="F1033" s="92"/>
      <c r="G1033" s="93" t="b">
        <v>0</v>
      </c>
      <c r="H1033" s="93"/>
      <c r="I1033" s="90"/>
      <c r="J1033" s="90"/>
      <c r="K1033" s="90"/>
      <c r="L1033" s="90"/>
      <c r="M1033" s="90"/>
      <c r="N1033" s="90"/>
      <c r="O1033" s="90"/>
      <c r="P1033" s="90"/>
      <c r="Q1033" s="90"/>
      <c r="R1033" s="90"/>
      <c r="S1033" s="90"/>
      <c r="T1033" s="90"/>
      <c r="U1033" s="90"/>
      <c r="V1033" s="90"/>
      <c r="W1033" s="90"/>
      <c r="X1033" s="90"/>
      <c r="Y1033" s="90"/>
      <c r="Z1033" s="90"/>
      <c r="AA1033" s="90"/>
      <c r="AB1033" s="90"/>
    </row>
    <row r="1034" spans="1:28" ht="16">
      <c r="A1034" s="100"/>
      <c r="B1034" s="87"/>
      <c r="C1034" s="94"/>
      <c r="D1034" s="95"/>
      <c r="E1034" s="96"/>
      <c r="F1034" s="88"/>
      <c r="G1034" s="89" t="b">
        <v>0</v>
      </c>
      <c r="H1034" s="89"/>
      <c r="I1034" s="90"/>
      <c r="J1034" s="90"/>
      <c r="K1034" s="90"/>
      <c r="L1034" s="90"/>
      <c r="M1034" s="90"/>
      <c r="N1034" s="90"/>
      <c r="O1034" s="90"/>
      <c r="P1034" s="90"/>
      <c r="Q1034" s="90"/>
      <c r="R1034" s="90"/>
      <c r="S1034" s="90"/>
      <c r="T1034" s="90"/>
      <c r="U1034" s="90"/>
      <c r="V1034" s="90"/>
      <c r="W1034" s="90"/>
      <c r="X1034" s="90"/>
      <c r="Y1034" s="90"/>
      <c r="Z1034" s="90"/>
      <c r="AA1034" s="90"/>
      <c r="AB1034" s="90"/>
    </row>
    <row r="1035" spans="1:28" ht="16">
      <c r="A1035" s="100"/>
      <c r="B1035" s="91"/>
      <c r="C1035" s="97"/>
      <c r="D1035" s="98"/>
      <c r="E1035" s="99"/>
      <c r="F1035" s="92"/>
      <c r="G1035" s="93" t="b">
        <v>0</v>
      </c>
      <c r="H1035" s="93"/>
      <c r="I1035" s="90"/>
      <c r="J1035" s="90"/>
      <c r="K1035" s="90"/>
      <c r="L1035" s="90"/>
      <c r="M1035" s="90"/>
      <c r="N1035" s="90"/>
      <c r="O1035" s="90"/>
      <c r="P1035" s="90"/>
      <c r="Q1035" s="90"/>
      <c r="R1035" s="90"/>
      <c r="S1035" s="90"/>
      <c r="T1035" s="90"/>
      <c r="U1035" s="90"/>
      <c r="V1035" s="90"/>
      <c r="W1035" s="90"/>
      <c r="X1035" s="90"/>
      <c r="Y1035" s="90"/>
      <c r="Z1035" s="90"/>
      <c r="AA1035" s="90"/>
      <c r="AB1035" s="90"/>
    </row>
    <row r="1036" spans="1:28" ht="16">
      <c r="A1036" s="100"/>
      <c r="B1036" s="87"/>
      <c r="C1036" s="94"/>
      <c r="D1036" s="95"/>
      <c r="E1036" s="96"/>
      <c r="F1036" s="88"/>
      <c r="G1036" s="89" t="b">
        <v>0</v>
      </c>
      <c r="H1036" s="89"/>
      <c r="I1036" s="90"/>
      <c r="J1036" s="90"/>
      <c r="K1036" s="90"/>
      <c r="L1036" s="90"/>
      <c r="M1036" s="90"/>
      <c r="N1036" s="90"/>
      <c r="O1036" s="90"/>
      <c r="P1036" s="90"/>
      <c r="Q1036" s="90"/>
      <c r="R1036" s="90"/>
      <c r="S1036" s="90"/>
      <c r="T1036" s="90"/>
      <c r="U1036" s="90"/>
      <c r="V1036" s="90"/>
      <c r="W1036" s="90"/>
      <c r="X1036" s="90"/>
      <c r="Y1036" s="90"/>
      <c r="Z1036" s="90"/>
      <c r="AA1036" s="90"/>
      <c r="AB1036" s="90"/>
    </row>
    <row r="1037" spans="1:28" ht="16">
      <c r="A1037" s="100"/>
      <c r="B1037" s="91"/>
      <c r="C1037" s="97"/>
      <c r="D1037" s="98"/>
      <c r="E1037" s="99"/>
      <c r="F1037" s="92"/>
      <c r="G1037" s="93" t="b">
        <v>0</v>
      </c>
      <c r="H1037" s="93"/>
      <c r="I1037" s="90"/>
      <c r="J1037" s="90"/>
      <c r="K1037" s="90"/>
      <c r="L1037" s="90"/>
      <c r="M1037" s="90"/>
      <c r="N1037" s="90"/>
      <c r="O1037" s="90"/>
      <c r="P1037" s="90"/>
      <c r="Q1037" s="90"/>
      <c r="R1037" s="90"/>
      <c r="S1037" s="90"/>
      <c r="T1037" s="90"/>
      <c r="U1037" s="90"/>
      <c r="V1037" s="90"/>
      <c r="W1037" s="90"/>
      <c r="X1037" s="90"/>
      <c r="Y1037" s="90"/>
      <c r="Z1037" s="90"/>
      <c r="AA1037" s="90"/>
      <c r="AB1037" s="90"/>
    </row>
    <row r="1038" spans="1:28" ht="16">
      <c r="A1038" s="100"/>
      <c r="B1038" s="87"/>
      <c r="C1038" s="94"/>
      <c r="D1038" s="95"/>
      <c r="E1038" s="96"/>
      <c r="F1038" s="88"/>
      <c r="G1038" s="89" t="b">
        <v>0</v>
      </c>
      <c r="H1038" s="89"/>
      <c r="I1038" s="90"/>
      <c r="J1038" s="90"/>
      <c r="K1038" s="90"/>
      <c r="L1038" s="90"/>
      <c r="M1038" s="90"/>
      <c r="N1038" s="90"/>
      <c r="O1038" s="90"/>
      <c r="P1038" s="90"/>
      <c r="Q1038" s="90"/>
      <c r="R1038" s="90"/>
      <c r="S1038" s="90"/>
      <c r="T1038" s="90"/>
      <c r="U1038" s="90"/>
      <c r="V1038" s="90"/>
      <c r="W1038" s="90"/>
      <c r="X1038" s="90"/>
      <c r="Y1038" s="90"/>
      <c r="Z1038" s="90"/>
      <c r="AA1038" s="90"/>
      <c r="AB1038" s="90"/>
    </row>
    <row r="1039" spans="1:28" ht="16">
      <c r="A1039" s="100"/>
      <c r="B1039" s="91"/>
      <c r="C1039" s="97"/>
      <c r="D1039" s="98"/>
      <c r="E1039" s="99"/>
      <c r="F1039" s="92"/>
      <c r="G1039" s="93" t="b">
        <v>0</v>
      </c>
      <c r="H1039" s="93"/>
      <c r="I1039" s="90"/>
      <c r="J1039" s="90"/>
      <c r="K1039" s="90"/>
      <c r="L1039" s="90"/>
      <c r="M1039" s="90"/>
      <c r="N1039" s="90"/>
      <c r="O1039" s="90"/>
      <c r="P1039" s="90"/>
      <c r="Q1039" s="90"/>
      <c r="R1039" s="90"/>
      <c r="S1039" s="90"/>
      <c r="T1039" s="90"/>
      <c r="U1039" s="90"/>
      <c r="V1039" s="90"/>
      <c r="W1039" s="90"/>
      <c r="X1039" s="90"/>
      <c r="Y1039" s="90"/>
      <c r="Z1039" s="90"/>
      <c r="AA1039" s="90"/>
      <c r="AB1039" s="90"/>
    </row>
    <row r="1040" spans="1:28" ht="16">
      <c r="A1040" s="100"/>
      <c r="B1040" s="87"/>
      <c r="C1040" s="94"/>
      <c r="D1040" s="95"/>
      <c r="E1040" s="96"/>
      <c r="F1040" s="88"/>
      <c r="G1040" s="89" t="b">
        <v>0</v>
      </c>
      <c r="H1040" s="89"/>
      <c r="I1040" s="90"/>
      <c r="J1040" s="90"/>
      <c r="K1040" s="90"/>
      <c r="L1040" s="90"/>
      <c r="M1040" s="90"/>
      <c r="N1040" s="90"/>
      <c r="O1040" s="90"/>
      <c r="P1040" s="90"/>
      <c r="Q1040" s="90"/>
      <c r="R1040" s="90"/>
      <c r="S1040" s="90"/>
      <c r="T1040" s="90"/>
      <c r="U1040" s="90"/>
      <c r="V1040" s="90"/>
      <c r="W1040" s="90"/>
      <c r="X1040" s="90"/>
      <c r="Y1040" s="90"/>
      <c r="Z1040" s="90"/>
      <c r="AA1040" s="90"/>
      <c r="AB1040" s="90"/>
    </row>
    <row r="1041" spans="1:28" ht="16">
      <c r="A1041" s="100"/>
      <c r="B1041" s="91"/>
      <c r="C1041" s="97"/>
      <c r="D1041" s="98"/>
      <c r="E1041" s="99"/>
      <c r="F1041" s="92"/>
      <c r="G1041" s="93" t="b">
        <v>0</v>
      </c>
      <c r="H1041" s="93"/>
      <c r="I1041" s="90"/>
      <c r="J1041" s="90"/>
      <c r="K1041" s="90"/>
      <c r="L1041" s="90"/>
      <c r="M1041" s="90"/>
      <c r="N1041" s="90"/>
      <c r="O1041" s="90"/>
      <c r="P1041" s="90"/>
      <c r="Q1041" s="90"/>
      <c r="R1041" s="90"/>
      <c r="S1041" s="90"/>
      <c r="T1041" s="90"/>
      <c r="U1041" s="90"/>
      <c r="V1041" s="90"/>
      <c r="W1041" s="90"/>
      <c r="X1041" s="90"/>
      <c r="Y1041" s="90"/>
      <c r="Z1041" s="90"/>
      <c r="AA1041" s="90"/>
      <c r="AB1041" s="90"/>
    </row>
    <row r="1042" spans="1:28" ht="16">
      <c r="A1042" s="100"/>
      <c r="B1042" s="87"/>
      <c r="C1042" s="94"/>
      <c r="D1042" s="95"/>
      <c r="E1042" s="96"/>
      <c r="F1042" s="88"/>
      <c r="G1042" s="89" t="b">
        <v>0</v>
      </c>
      <c r="H1042" s="89"/>
      <c r="I1042" s="90"/>
      <c r="J1042" s="90"/>
      <c r="K1042" s="90"/>
      <c r="L1042" s="90"/>
      <c r="M1042" s="90"/>
      <c r="N1042" s="90"/>
      <c r="O1042" s="90"/>
      <c r="P1042" s="90"/>
      <c r="Q1042" s="90"/>
      <c r="R1042" s="90"/>
      <c r="S1042" s="90"/>
      <c r="T1042" s="90"/>
      <c r="U1042" s="90"/>
      <c r="V1042" s="90"/>
      <c r="W1042" s="90"/>
      <c r="X1042" s="90"/>
      <c r="Y1042" s="90"/>
      <c r="Z1042" s="90"/>
      <c r="AA1042" s="90"/>
      <c r="AB1042" s="90"/>
    </row>
    <row r="1043" spans="1:28" ht="16">
      <c r="A1043" s="100"/>
      <c r="B1043" s="91"/>
      <c r="C1043" s="97"/>
      <c r="D1043" s="98"/>
      <c r="E1043" s="99"/>
      <c r="F1043" s="92"/>
      <c r="G1043" s="93" t="b">
        <v>0</v>
      </c>
      <c r="H1043" s="93"/>
      <c r="I1043" s="90"/>
      <c r="J1043" s="90"/>
      <c r="K1043" s="90"/>
      <c r="L1043" s="90"/>
      <c r="M1043" s="90"/>
      <c r="N1043" s="90"/>
      <c r="O1043" s="90"/>
      <c r="P1043" s="90"/>
      <c r="Q1043" s="90"/>
      <c r="R1043" s="90"/>
      <c r="S1043" s="90"/>
      <c r="T1043" s="90"/>
      <c r="U1043" s="90"/>
      <c r="V1043" s="90"/>
      <c r="W1043" s="90"/>
      <c r="X1043" s="90"/>
      <c r="Y1043" s="90"/>
      <c r="Z1043" s="90"/>
      <c r="AA1043" s="90"/>
      <c r="AB1043" s="90"/>
    </row>
    <row r="1044" spans="1:28" ht="16">
      <c r="A1044" s="100"/>
      <c r="B1044" s="87"/>
      <c r="C1044" s="94"/>
      <c r="D1044" s="95"/>
      <c r="E1044" s="96"/>
      <c r="F1044" s="88"/>
      <c r="G1044" s="89" t="b">
        <v>0</v>
      </c>
      <c r="H1044" s="89"/>
      <c r="I1044" s="90"/>
      <c r="J1044" s="90"/>
      <c r="K1044" s="90"/>
      <c r="L1044" s="90"/>
      <c r="M1044" s="90"/>
      <c r="N1044" s="90"/>
      <c r="O1044" s="90"/>
      <c r="P1044" s="90"/>
      <c r="Q1044" s="90"/>
      <c r="R1044" s="90"/>
      <c r="S1044" s="90"/>
      <c r="T1044" s="90"/>
      <c r="U1044" s="90"/>
      <c r="V1044" s="90"/>
      <c r="W1044" s="90"/>
      <c r="X1044" s="90"/>
      <c r="Y1044" s="90"/>
      <c r="Z1044" s="90"/>
      <c r="AA1044" s="90"/>
      <c r="AB1044" s="90"/>
    </row>
    <row r="1045" spans="1:28" ht="16">
      <c r="A1045" s="100"/>
      <c r="B1045" s="91"/>
      <c r="C1045" s="97"/>
      <c r="D1045" s="98"/>
      <c r="E1045" s="99"/>
      <c r="F1045" s="92"/>
      <c r="G1045" s="93" t="b">
        <v>0</v>
      </c>
      <c r="H1045" s="93"/>
      <c r="I1045" s="90"/>
      <c r="J1045" s="90"/>
      <c r="K1045" s="90"/>
      <c r="L1045" s="90"/>
      <c r="M1045" s="90"/>
      <c r="N1045" s="90"/>
      <c r="O1045" s="90"/>
      <c r="P1045" s="90"/>
      <c r="Q1045" s="90"/>
      <c r="R1045" s="90"/>
      <c r="S1045" s="90"/>
      <c r="T1045" s="90"/>
      <c r="U1045" s="90"/>
      <c r="V1045" s="90"/>
      <c r="W1045" s="90"/>
      <c r="X1045" s="90"/>
      <c r="Y1045" s="90"/>
      <c r="Z1045" s="90"/>
      <c r="AA1045" s="90"/>
      <c r="AB1045" s="90"/>
    </row>
    <row r="1046" spans="1:28" ht="16">
      <c r="A1046" s="100"/>
      <c r="B1046" s="87"/>
      <c r="C1046" s="94"/>
      <c r="D1046" s="95"/>
      <c r="E1046" s="96"/>
      <c r="F1046" s="88"/>
      <c r="G1046" s="89" t="b">
        <v>0</v>
      </c>
      <c r="H1046" s="89"/>
      <c r="I1046" s="90"/>
      <c r="J1046" s="90"/>
      <c r="K1046" s="90"/>
      <c r="L1046" s="90"/>
      <c r="M1046" s="90"/>
      <c r="N1046" s="90"/>
      <c r="O1046" s="90"/>
      <c r="P1046" s="90"/>
      <c r="Q1046" s="90"/>
      <c r="R1046" s="90"/>
      <c r="S1046" s="90"/>
      <c r="T1046" s="90"/>
      <c r="U1046" s="90"/>
      <c r="V1046" s="90"/>
      <c r="W1046" s="90"/>
      <c r="X1046" s="90"/>
      <c r="Y1046" s="90"/>
      <c r="Z1046" s="90"/>
      <c r="AA1046" s="90"/>
      <c r="AB1046" s="90"/>
    </row>
    <row r="1047" spans="1:28" ht="16">
      <c r="A1047" s="100"/>
      <c r="B1047" s="91"/>
      <c r="C1047" s="97"/>
      <c r="D1047" s="98"/>
      <c r="E1047" s="99"/>
      <c r="F1047" s="92"/>
      <c r="G1047" s="93" t="b">
        <v>0</v>
      </c>
      <c r="H1047" s="93"/>
      <c r="I1047" s="90"/>
      <c r="J1047" s="90"/>
      <c r="K1047" s="90"/>
      <c r="L1047" s="90"/>
      <c r="M1047" s="90"/>
      <c r="N1047" s="90"/>
      <c r="O1047" s="90"/>
      <c r="P1047" s="90"/>
      <c r="Q1047" s="90"/>
      <c r="R1047" s="90"/>
      <c r="S1047" s="90"/>
      <c r="T1047" s="90"/>
      <c r="U1047" s="90"/>
      <c r="V1047" s="90"/>
      <c r="W1047" s="90"/>
      <c r="X1047" s="90"/>
      <c r="Y1047" s="90"/>
      <c r="Z1047" s="90"/>
      <c r="AA1047" s="90"/>
      <c r="AB1047" s="90"/>
    </row>
    <row r="1048" spans="1:28" ht="16">
      <c r="A1048" s="100"/>
      <c r="B1048" s="87"/>
      <c r="C1048" s="94"/>
      <c r="D1048" s="95"/>
      <c r="E1048" s="96"/>
      <c r="F1048" s="88"/>
      <c r="G1048" s="89" t="b">
        <v>0</v>
      </c>
      <c r="H1048" s="89"/>
      <c r="I1048" s="90"/>
      <c r="J1048" s="90"/>
      <c r="K1048" s="90"/>
      <c r="L1048" s="90"/>
      <c r="M1048" s="90"/>
      <c r="N1048" s="90"/>
      <c r="O1048" s="90"/>
      <c r="P1048" s="90"/>
      <c r="Q1048" s="90"/>
      <c r="R1048" s="90"/>
      <c r="S1048" s="90"/>
      <c r="T1048" s="90"/>
      <c r="U1048" s="90"/>
      <c r="V1048" s="90"/>
      <c r="W1048" s="90"/>
      <c r="X1048" s="90"/>
      <c r="Y1048" s="90"/>
      <c r="Z1048" s="90"/>
      <c r="AA1048" s="90"/>
      <c r="AB1048" s="90"/>
    </row>
    <row r="1049" spans="1:28" ht="16">
      <c r="A1049" s="100"/>
      <c r="B1049" s="91"/>
      <c r="C1049" s="97"/>
      <c r="D1049" s="98"/>
      <c r="E1049" s="99"/>
      <c r="F1049" s="92"/>
      <c r="G1049" s="93" t="b">
        <v>0</v>
      </c>
      <c r="H1049" s="93"/>
      <c r="I1049" s="90"/>
      <c r="J1049" s="90"/>
      <c r="K1049" s="90"/>
      <c r="L1049" s="90"/>
      <c r="M1049" s="90"/>
      <c r="N1049" s="90"/>
      <c r="O1049" s="90"/>
      <c r="P1049" s="90"/>
      <c r="Q1049" s="90"/>
      <c r="R1049" s="90"/>
      <c r="S1049" s="90"/>
      <c r="T1049" s="90"/>
      <c r="U1049" s="90"/>
      <c r="V1049" s="90"/>
      <c r="W1049" s="90"/>
      <c r="X1049" s="90"/>
      <c r="Y1049" s="90"/>
      <c r="Z1049" s="90"/>
      <c r="AA1049" s="90"/>
      <c r="AB1049" s="90"/>
    </row>
    <row r="1050" spans="1:28" ht="16">
      <c r="A1050" s="100"/>
      <c r="B1050" s="87"/>
      <c r="C1050" s="94"/>
      <c r="D1050" s="95"/>
      <c r="E1050" s="96"/>
      <c r="F1050" s="88"/>
      <c r="G1050" s="89" t="b">
        <v>0</v>
      </c>
      <c r="H1050" s="89"/>
      <c r="I1050" s="90"/>
      <c r="J1050" s="90"/>
      <c r="K1050" s="90"/>
      <c r="L1050" s="90"/>
      <c r="M1050" s="90"/>
      <c r="N1050" s="90"/>
      <c r="O1050" s="90"/>
      <c r="P1050" s="90"/>
      <c r="Q1050" s="90"/>
      <c r="R1050" s="90"/>
      <c r="S1050" s="90"/>
      <c r="T1050" s="90"/>
      <c r="U1050" s="90"/>
      <c r="V1050" s="90"/>
      <c r="W1050" s="90"/>
      <c r="X1050" s="90"/>
      <c r="Y1050" s="90"/>
      <c r="Z1050" s="90"/>
      <c r="AA1050" s="90"/>
      <c r="AB1050" s="90"/>
    </row>
    <row r="1051" spans="1:28" ht="16">
      <c r="A1051" s="100"/>
      <c r="B1051" s="91"/>
      <c r="C1051" s="97"/>
      <c r="D1051" s="98"/>
      <c r="E1051" s="99"/>
      <c r="F1051" s="92"/>
      <c r="G1051" s="93" t="b">
        <v>0</v>
      </c>
      <c r="H1051" s="93"/>
      <c r="I1051" s="90"/>
      <c r="J1051" s="90"/>
      <c r="K1051" s="90"/>
      <c r="L1051" s="90"/>
      <c r="M1051" s="90"/>
      <c r="N1051" s="90"/>
      <c r="O1051" s="90"/>
      <c r="P1051" s="90"/>
      <c r="Q1051" s="90"/>
      <c r="R1051" s="90"/>
      <c r="S1051" s="90"/>
      <c r="T1051" s="90"/>
      <c r="U1051" s="90"/>
      <c r="V1051" s="90"/>
      <c r="W1051" s="90"/>
      <c r="X1051" s="90"/>
      <c r="Y1051" s="90"/>
      <c r="Z1051" s="90"/>
      <c r="AA1051" s="90"/>
      <c r="AB1051" s="90"/>
    </row>
    <row r="1052" spans="1:28" ht="16">
      <c r="A1052" s="100"/>
      <c r="B1052" s="87"/>
      <c r="C1052" s="94"/>
      <c r="D1052" s="95"/>
      <c r="E1052" s="96"/>
      <c r="F1052" s="88"/>
      <c r="G1052" s="89" t="b">
        <v>0</v>
      </c>
      <c r="H1052" s="89"/>
      <c r="I1052" s="90"/>
      <c r="J1052" s="90"/>
      <c r="K1052" s="90"/>
      <c r="L1052" s="90"/>
      <c r="M1052" s="90"/>
      <c r="N1052" s="90"/>
      <c r="O1052" s="90"/>
      <c r="P1052" s="90"/>
      <c r="Q1052" s="90"/>
      <c r="R1052" s="90"/>
      <c r="S1052" s="90"/>
      <c r="T1052" s="90"/>
      <c r="U1052" s="90"/>
      <c r="V1052" s="90"/>
      <c r="W1052" s="90"/>
      <c r="X1052" s="90"/>
      <c r="Y1052" s="90"/>
      <c r="Z1052" s="90"/>
      <c r="AA1052" s="90"/>
      <c r="AB1052" s="90"/>
    </row>
    <row r="1053" spans="1:28" ht="16">
      <c r="A1053" s="100"/>
      <c r="B1053" s="91"/>
      <c r="C1053" s="97"/>
      <c r="D1053" s="98"/>
      <c r="E1053" s="99"/>
      <c r="F1053" s="92"/>
      <c r="G1053" s="93" t="b">
        <v>0</v>
      </c>
      <c r="H1053" s="93"/>
      <c r="I1053" s="90"/>
      <c r="J1053" s="90"/>
      <c r="K1053" s="90"/>
      <c r="L1053" s="90"/>
      <c r="M1053" s="90"/>
      <c r="N1053" s="90"/>
      <c r="O1053" s="90"/>
      <c r="P1053" s="90"/>
      <c r="Q1053" s="90"/>
      <c r="R1053" s="90"/>
      <c r="S1053" s="90"/>
      <c r="T1053" s="90"/>
      <c r="U1053" s="90"/>
      <c r="V1053" s="90"/>
      <c r="W1053" s="90"/>
      <c r="X1053" s="90"/>
      <c r="Y1053" s="90"/>
      <c r="Z1053" s="90"/>
      <c r="AA1053" s="90"/>
      <c r="AB1053" s="90"/>
    </row>
    <row r="1054" spans="1:28" ht="16">
      <c r="A1054" s="100"/>
      <c r="B1054" s="87"/>
      <c r="C1054" s="94"/>
      <c r="D1054" s="95"/>
      <c r="E1054" s="96"/>
      <c r="F1054" s="88"/>
      <c r="G1054" s="89" t="b">
        <v>0</v>
      </c>
      <c r="H1054" s="89"/>
      <c r="I1054" s="90"/>
      <c r="J1054" s="90"/>
      <c r="K1054" s="90"/>
      <c r="L1054" s="90"/>
      <c r="M1054" s="90"/>
      <c r="N1054" s="90"/>
      <c r="O1054" s="90"/>
      <c r="P1054" s="90"/>
      <c r="Q1054" s="90"/>
      <c r="R1054" s="90"/>
      <c r="S1054" s="90"/>
      <c r="T1054" s="90"/>
      <c r="U1054" s="90"/>
      <c r="V1054" s="90"/>
      <c r="W1054" s="90"/>
      <c r="X1054" s="90"/>
      <c r="Y1054" s="90"/>
      <c r="Z1054" s="90"/>
      <c r="AA1054" s="90"/>
      <c r="AB1054" s="90"/>
    </row>
    <row r="1055" spans="1:28" ht="16">
      <c r="A1055" s="100"/>
      <c r="B1055" s="91"/>
      <c r="C1055" s="97"/>
      <c r="D1055" s="98"/>
      <c r="E1055" s="99"/>
      <c r="F1055" s="92"/>
      <c r="G1055" s="93" t="b">
        <v>0</v>
      </c>
      <c r="H1055" s="93"/>
      <c r="I1055" s="90"/>
      <c r="J1055" s="90"/>
      <c r="K1055" s="90"/>
      <c r="L1055" s="90"/>
      <c r="M1055" s="90"/>
      <c r="N1055" s="90"/>
      <c r="O1055" s="90"/>
      <c r="P1055" s="90"/>
      <c r="Q1055" s="90"/>
      <c r="R1055" s="90"/>
      <c r="S1055" s="90"/>
      <c r="T1055" s="90"/>
      <c r="U1055" s="90"/>
      <c r="V1055" s="90"/>
      <c r="W1055" s="90"/>
      <c r="X1055" s="90"/>
      <c r="Y1055" s="90"/>
      <c r="Z1055" s="90"/>
      <c r="AA1055" s="90"/>
      <c r="AB1055" s="90"/>
    </row>
    <row r="1056" spans="1:28" ht="16">
      <c r="A1056" s="100"/>
      <c r="B1056" s="87"/>
      <c r="C1056" s="94"/>
      <c r="D1056" s="95"/>
      <c r="E1056" s="96"/>
      <c r="F1056" s="88"/>
      <c r="G1056" s="89" t="b">
        <v>0</v>
      </c>
      <c r="H1056" s="89"/>
      <c r="I1056" s="90"/>
      <c r="J1056" s="90"/>
      <c r="K1056" s="90"/>
      <c r="L1056" s="90"/>
      <c r="M1056" s="90"/>
      <c r="N1056" s="90"/>
      <c r="O1056" s="90"/>
      <c r="P1056" s="90"/>
      <c r="Q1056" s="90"/>
      <c r="R1056" s="90"/>
      <c r="S1056" s="90"/>
      <c r="T1056" s="90"/>
      <c r="U1056" s="90"/>
      <c r="V1056" s="90"/>
      <c r="W1056" s="90"/>
      <c r="X1056" s="90"/>
      <c r="Y1056" s="90"/>
      <c r="Z1056" s="90"/>
      <c r="AA1056" s="90"/>
      <c r="AB1056" s="90"/>
    </row>
    <row r="1057" spans="1:28" ht="16">
      <c r="A1057" s="100"/>
      <c r="B1057" s="91"/>
      <c r="C1057" s="97"/>
      <c r="D1057" s="98"/>
      <c r="E1057" s="99"/>
      <c r="F1057" s="92"/>
      <c r="G1057" s="93" t="b">
        <v>0</v>
      </c>
      <c r="H1057" s="93"/>
      <c r="I1057" s="90"/>
      <c r="J1057" s="90"/>
      <c r="K1057" s="90"/>
      <c r="L1057" s="90"/>
      <c r="M1057" s="90"/>
      <c r="N1057" s="90"/>
      <c r="O1057" s="90"/>
      <c r="P1057" s="90"/>
      <c r="Q1057" s="90"/>
      <c r="R1057" s="90"/>
      <c r="S1057" s="90"/>
      <c r="T1057" s="90"/>
      <c r="U1057" s="90"/>
      <c r="V1057" s="90"/>
      <c r="W1057" s="90"/>
      <c r="X1057" s="90"/>
      <c r="Y1057" s="90"/>
      <c r="Z1057" s="90"/>
      <c r="AA1057" s="90"/>
      <c r="AB1057" s="90"/>
    </row>
    <row r="1058" spans="1:28" ht="16">
      <c r="A1058" s="100"/>
      <c r="B1058" s="87"/>
      <c r="C1058" s="94"/>
      <c r="D1058" s="95"/>
      <c r="E1058" s="96"/>
      <c r="F1058" s="88"/>
      <c r="G1058" s="89" t="b">
        <v>0</v>
      </c>
      <c r="H1058" s="89"/>
      <c r="I1058" s="90"/>
      <c r="J1058" s="90"/>
      <c r="K1058" s="90"/>
      <c r="L1058" s="90"/>
      <c r="M1058" s="90"/>
      <c r="N1058" s="90"/>
      <c r="O1058" s="90"/>
      <c r="P1058" s="90"/>
      <c r="Q1058" s="90"/>
      <c r="R1058" s="90"/>
      <c r="S1058" s="90"/>
      <c r="T1058" s="90"/>
      <c r="U1058" s="90"/>
      <c r="V1058" s="90"/>
      <c r="W1058" s="90"/>
      <c r="X1058" s="90"/>
      <c r="Y1058" s="90"/>
      <c r="Z1058" s="90"/>
      <c r="AA1058" s="90"/>
      <c r="AB1058" s="90"/>
    </row>
    <row r="1059" spans="1:28" ht="16">
      <c r="A1059" s="100"/>
      <c r="B1059" s="91"/>
      <c r="C1059" s="97"/>
      <c r="D1059" s="98"/>
      <c r="E1059" s="99"/>
      <c r="F1059" s="92"/>
      <c r="G1059" s="93" t="b">
        <v>0</v>
      </c>
      <c r="H1059" s="93"/>
      <c r="I1059" s="90"/>
      <c r="J1059" s="90"/>
      <c r="K1059" s="90"/>
      <c r="L1059" s="90"/>
      <c r="M1059" s="90"/>
      <c r="N1059" s="90"/>
      <c r="O1059" s="90"/>
      <c r="P1059" s="90"/>
      <c r="Q1059" s="90"/>
      <c r="R1059" s="90"/>
      <c r="S1059" s="90"/>
      <c r="T1059" s="90"/>
      <c r="U1059" s="90"/>
      <c r="V1059" s="90"/>
      <c r="W1059" s="90"/>
      <c r="X1059" s="90"/>
      <c r="Y1059" s="90"/>
      <c r="Z1059" s="90"/>
      <c r="AA1059" s="90"/>
      <c r="AB1059" s="90"/>
    </row>
    <row r="1060" spans="1:28" ht="16">
      <c r="A1060" s="100"/>
      <c r="B1060" s="87"/>
      <c r="C1060" s="94"/>
      <c r="D1060" s="95"/>
      <c r="E1060" s="96"/>
      <c r="F1060" s="88"/>
      <c r="G1060" s="89" t="b">
        <v>0</v>
      </c>
      <c r="H1060" s="89"/>
      <c r="I1060" s="90"/>
      <c r="J1060" s="90"/>
      <c r="K1060" s="90"/>
      <c r="L1060" s="90"/>
      <c r="M1060" s="90"/>
      <c r="N1060" s="90"/>
      <c r="O1060" s="90"/>
      <c r="P1060" s="90"/>
      <c r="Q1060" s="90"/>
      <c r="R1060" s="90"/>
      <c r="S1060" s="90"/>
      <c r="T1060" s="90"/>
      <c r="U1060" s="90"/>
      <c r="V1060" s="90"/>
      <c r="W1060" s="90"/>
      <c r="X1060" s="90"/>
      <c r="Y1060" s="90"/>
      <c r="Z1060" s="90"/>
      <c r="AA1060" s="90"/>
      <c r="AB1060" s="90"/>
    </row>
    <row r="1061" spans="1:28" ht="16">
      <c r="A1061" s="100"/>
      <c r="B1061" s="91"/>
      <c r="C1061" s="97"/>
      <c r="D1061" s="98"/>
      <c r="E1061" s="99"/>
      <c r="F1061" s="92"/>
      <c r="G1061" s="93" t="b">
        <v>0</v>
      </c>
      <c r="H1061" s="93"/>
      <c r="I1061" s="90"/>
      <c r="J1061" s="90"/>
      <c r="K1061" s="90"/>
      <c r="L1061" s="90"/>
      <c r="M1061" s="90"/>
      <c r="N1061" s="90"/>
      <c r="O1061" s="90"/>
      <c r="P1061" s="90"/>
      <c r="Q1061" s="90"/>
      <c r="R1061" s="90"/>
      <c r="S1061" s="90"/>
      <c r="T1061" s="90"/>
      <c r="U1061" s="90"/>
      <c r="V1061" s="90"/>
      <c r="W1061" s="90"/>
      <c r="X1061" s="90"/>
      <c r="Y1061" s="90"/>
      <c r="Z1061" s="90"/>
      <c r="AA1061" s="90"/>
      <c r="AB1061" s="90"/>
    </row>
    <row r="1062" spans="1:28" ht="16">
      <c r="A1062" s="100"/>
      <c r="B1062" s="87"/>
      <c r="C1062" s="94"/>
      <c r="D1062" s="95"/>
      <c r="E1062" s="96"/>
      <c r="F1062" s="88"/>
      <c r="G1062" s="89" t="b">
        <v>0</v>
      </c>
      <c r="H1062" s="89"/>
      <c r="I1062" s="90"/>
      <c r="J1062" s="90"/>
      <c r="K1062" s="90"/>
      <c r="L1062" s="90"/>
      <c r="M1062" s="90"/>
      <c r="N1062" s="90"/>
      <c r="O1062" s="90"/>
      <c r="P1062" s="90"/>
      <c r="Q1062" s="90"/>
      <c r="R1062" s="90"/>
      <c r="S1062" s="90"/>
      <c r="T1062" s="90"/>
      <c r="U1062" s="90"/>
      <c r="V1062" s="90"/>
      <c r="W1062" s="90"/>
      <c r="X1062" s="90"/>
      <c r="Y1062" s="90"/>
      <c r="Z1062" s="90"/>
      <c r="AA1062" s="90"/>
      <c r="AB1062" s="90"/>
    </row>
    <row r="1063" spans="1:28" ht="16">
      <c r="A1063" s="100"/>
      <c r="B1063" s="91"/>
      <c r="C1063" s="97"/>
      <c r="D1063" s="98"/>
      <c r="E1063" s="99"/>
      <c r="F1063" s="92"/>
      <c r="G1063" s="93" t="b">
        <v>0</v>
      </c>
      <c r="H1063" s="93"/>
      <c r="I1063" s="90"/>
      <c r="J1063" s="90"/>
      <c r="K1063" s="90"/>
      <c r="L1063" s="90"/>
      <c r="M1063" s="90"/>
      <c r="N1063" s="90"/>
      <c r="O1063" s="90"/>
      <c r="P1063" s="90"/>
      <c r="Q1063" s="90"/>
      <c r="R1063" s="90"/>
      <c r="S1063" s="90"/>
      <c r="T1063" s="90"/>
      <c r="U1063" s="90"/>
      <c r="V1063" s="90"/>
      <c r="W1063" s="90"/>
      <c r="X1063" s="90"/>
      <c r="Y1063" s="90"/>
      <c r="Z1063" s="90"/>
      <c r="AA1063" s="90"/>
      <c r="AB1063" s="90"/>
    </row>
    <row r="1064" spans="1:28" ht="16">
      <c r="A1064" s="86"/>
      <c r="B1064" s="87"/>
      <c r="C1064" s="94"/>
      <c r="D1064" s="95"/>
      <c r="E1064" s="96"/>
      <c r="F1064" s="88"/>
      <c r="G1064" s="89" t="b">
        <v>0</v>
      </c>
      <c r="H1064" s="89"/>
      <c r="I1064" s="90"/>
      <c r="J1064" s="90"/>
      <c r="K1064" s="90"/>
      <c r="L1064" s="90"/>
      <c r="M1064" s="90"/>
      <c r="N1064" s="90"/>
      <c r="O1064" s="90"/>
      <c r="P1064" s="90"/>
      <c r="Q1064" s="90"/>
      <c r="R1064" s="90"/>
      <c r="S1064" s="90"/>
      <c r="T1064" s="90"/>
      <c r="U1064" s="90"/>
      <c r="V1064" s="90"/>
      <c r="W1064" s="90"/>
      <c r="X1064" s="90"/>
      <c r="Y1064" s="90"/>
      <c r="Z1064" s="90"/>
      <c r="AA1064" s="90"/>
      <c r="AB1064" s="90"/>
    </row>
  </sheetData>
  <mergeCells count="104">
    <mergeCell ref="A240:A252"/>
    <mergeCell ref="A256:A260"/>
    <mergeCell ref="A169:A170"/>
    <mergeCell ref="A171:A178"/>
    <mergeCell ref="A179:A180"/>
    <mergeCell ref="A181:A183"/>
    <mergeCell ref="A185:A187"/>
    <mergeCell ref="A188:A189"/>
    <mergeCell ref="A190:A201"/>
    <mergeCell ref="A202:A228"/>
    <mergeCell ref="A229:A238"/>
    <mergeCell ref="A137:A142"/>
    <mergeCell ref="A143:A144"/>
    <mergeCell ref="A145:A147"/>
    <mergeCell ref="A148:A150"/>
    <mergeCell ref="A152:A154"/>
    <mergeCell ref="A155:A156"/>
    <mergeCell ref="A157:A163"/>
    <mergeCell ref="A164:A165"/>
    <mergeCell ref="A167:A168"/>
    <mergeCell ref="C10:F10"/>
    <mergeCell ref="C12:F12"/>
    <mergeCell ref="C3:F3"/>
    <mergeCell ref="C4:F4"/>
    <mergeCell ref="C5:F5"/>
    <mergeCell ref="C6:F6"/>
    <mergeCell ref="C8:F8"/>
    <mergeCell ref="C9:F9"/>
    <mergeCell ref="C41:F41"/>
    <mergeCell ref="A340:A345"/>
    <mergeCell ref="A346:A349"/>
    <mergeCell ref="A350:A354"/>
    <mergeCell ref="A356:A363"/>
    <mergeCell ref="A422:A433"/>
    <mergeCell ref="A434:A439"/>
    <mergeCell ref="A440:A464"/>
    <mergeCell ref="A465:A476"/>
    <mergeCell ref="A365:A372"/>
    <mergeCell ref="A373:A379"/>
    <mergeCell ref="A380:A390"/>
    <mergeCell ref="A391:A398"/>
    <mergeCell ref="A399:A400"/>
    <mergeCell ref="A401:A413"/>
    <mergeCell ref="A414:A421"/>
    <mergeCell ref="A302:A305"/>
    <mergeCell ref="A307:A309"/>
    <mergeCell ref="A310:A313"/>
    <mergeCell ref="A314:A315"/>
    <mergeCell ref="A316:A321"/>
    <mergeCell ref="A323:A324"/>
    <mergeCell ref="A325:A330"/>
    <mergeCell ref="A332:A335"/>
    <mergeCell ref="A336:A339"/>
    <mergeCell ref="C40:F40"/>
    <mergeCell ref="A261:A269"/>
    <mergeCell ref="A270:A273"/>
    <mergeCell ref="A274:A277"/>
    <mergeCell ref="A278:A281"/>
    <mergeCell ref="A282:A284"/>
    <mergeCell ref="A285:A291"/>
    <mergeCell ref="A292:A298"/>
    <mergeCell ref="A299:A301"/>
    <mergeCell ref="A2:A41"/>
    <mergeCell ref="A42:A55"/>
    <mergeCell ref="A56:A68"/>
    <mergeCell ref="A69:A81"/>
    <mergeCell ref="A84:A88"/>
    <mergeCell ref="A89:A95"/>
    <mergeCell ref="A96:A100"/>
    <mergeCell ref="A101:A104"/>
    <mergeCell ref="A105:A109"/>
    <mergeCell ref="A110:A122"/>
    <mergeCell ref="A123:A127"/>
    <mergeCell ref="A128:A129"/>
    <mergeCell ref="A130:A131"/>
    <mergeCell ref="A133:A134"/>
    <mergeCell ref="A135:A136"/>
    <mergeCell ref="C31:F31"/>
    <mergeCell ref="C32:F32"/>
    <mergeCell ref="C33:F33"/>
    <mergeCell ref="C34:F34"/>
    <mergeCell ref="C35:F35"/>
    <mergeCell ref="C36:F36"/>
    <mergeCell ref="C37:F37"/>
    <mergeCell ref="C38:F38"/>
    <mergeCell ref="C39:F39"/>
    <mergeCell ref="C22:F22"/>
    <mergeCell ref="C23:F23"/>
    <mergeCell ref="C24:F24"/>
    <mergeCell ref="C25:F25"/>
    <mergeCell ref="C26:F26"/>
    <mergeCell ref="C27:F27"/>
    <mergeCell ref="C28:F28"/>
    <mergeCell ref="C29:F29"/>
    <mergeCell ref="C30:F30"/>
    <mergeCell ref="C13:F13"/>
    <mergeCell ref="C14:F14"/>
    <mergeCell ref="C15:F15"/>
    <mergeCell ref="C16:F16"/>
    <mergeCell ref="C17:F17"/>
    <mergeCell ref="C18:F18"/>
    <mergeCell ref="C19:F19"/>
    <mergeCell ref="C20:F20"/>
    <mergeCell ref="C21:F2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B1059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min="1" max="1" width="6.83203125" customWidth="1"/>
    <col min="2" max="2" width="19" customWidth="1"/>
    <col min="3" max="3" width="11" customWidth="1"/>
    <col min="4" max="4" width="6.5" customWidth="1"/>
    <col min="5" max="5" width="41.5" customWidth="1"/>
    <col min="6" max="6" width="64.33203125" customWidth="1"/>
    <col min="7" max="7" width="10" customWidth="1"/>
    <col min="11" max="11" width="31.33203125" customWidth="1"/>
    <col min="12" max="12" width="36.5" customWidth="1"/>
  </cols>
  <sheetData>
    <row r="1" spans="1:28" ht="15.75" customHeight="1">
      <c r="A1" s="79"/>
      <c r="B1" s="80" t="s">
        <v>637</v>
      </c>
      <c r="C1" s="81" t="s">
        <v>638</v>
      </c>
      <c r="D1" s="82" t="s">
        <v>639</v>
      </c>
      <c r="E1" s="80" t="s">
        <v>640</v>
      </c>
      <c r="F1" s="83" t="s">
        <v>19</v>
      </c>
      <c r="G1" s="84" t="s">
        <v>641</v>
      </c>
      <c r="H1" s="84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</row>
    <row r="2" spans="1:28" ht="15.75" customHeight="1">
      <c r="A2" s="128" t="s">
        <v>642</v>
      </c>
      <c r="B2" s="87" t="s">
        <v>643</v>
      </c>
      <c r="C2" s="88" t="s">
        <v>644</v>
      </c>
      <c r="D2" s="88"/>
      <c r="E2" s="88"/>
      <c r="F2" s="88"/>
      <c r="G2" s="89" t="b">
        <v>0</v>
      </c>
      <c r="H2" s="89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</row>
    <row r="3" spans="1:28" ht="15.75" customHeight="1">
      <c r="A3" s="125"/>
      <c r="B3" s="91" t="s">
        <v>645</v>
      </c>
      <c r="C3" s="126" t="s">
        <v>646</v>
      </c>
      <c r="D3" s="125"/>
      <c r="E3" s="125"/>
      <c r="F3" s="125"/>
      <c r="G3" s="93" t="b">
        <v>0</v>
      </c>
      <c r="H3" s="93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</row>
    <row r="4" spans="1:28" ht="15.75" customHeight="1">
      <c r="A4" s="125"/>
      <c r="B4" s="87" t="s">
        <v>647</v>
      </c>
      <c r="C4" s="127" t="s">
        <v>648</v>
      </c>
      <c r="D4" s="125"/>
      <c r="E4" s="125"/>
      <c r="F4" s="125"/>
      <c r="G4" s="89" t="b">
        <v>0</v>
      </c>
      <c r="H4" s="89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</row>
    <row r="5" spans="1:28" ht="15.75" customHeight="1">
      <c r="A5" s="125"/>
      <c r="B5" s="91" t="s">
        <v>649</v>
      </c>
      <c r="C5" s="126" t="s">
        <v>650</v>
      </c>
      <c r="D5" s="125"/>
      <c r="E5" s="125"/>
      <c r="F5" s="125"/>
      <c r="G5" s="93" t="b">
        <v>0</v>
      </c>
      <c r="H5" s="93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  <c r="AA5" s="90"/>
      <c r="AB5" s="90"/>
    </row>
    <row r="6" spans="1:28" ht="15.75" customHeight="1">
      <c r="A6" s="125"/>
      <c r="B6" s="87" t="s">
        <v>651</v>
      </c>
      <c r="C6" s="127" t="s">
        <v>652</v>
      </c>
      <c r="D6" s="125"/>
      <c r="E6" s="125"/>
      <c r="F6" s="125"/>
      <c r="G6" s="89" t="b">
        <v>0</v>
      </c>
      <c r="H6" s="89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</row>
    <row r="7" spans="1:28" ht="15.75" customHeight="1">
      <c r="A7" s="125"/>
      <c r="B7" s="91" t="s">
        <v>653</v>
      </c>
      <c r="C7" s="92" t="s">
        <v>654</v>
      </c>
      <c r="D7" s="92"/>
      <c r="E7" s="92"/>
      <c r="F7" s="92"/>
      <c r="G7" s="93" t="b">
        <v>0</v>
      </c>
      <c r="H7" s="93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</row>
    <row r="8" spans="1:28" ht="15.75" customHeight="1">
      <c r="A8" s="125"/>
      <c r="B8" s="87" t="s">
        <v>655</v>
      </c>
      <c r="C8" s="127" t="s">
        <v>656</v>
      </c>
      <c r="D8" s="125"/>
      <c r="E8" s="125"/>
      <c r="F8" s="125"/>
      <c r="G8" s="89" t="b">
        <v>0</v>
      </c>
      <c r="H8" s="89"/>
      <c r="I8" s="90"/>
      <c r="J8" s="90"/>
      <c r="K8" s="90"/>
      <c r="L8" s="90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  <c r="AA8" s="90"/>
      <c r="AB8" s="90"/>
    </row>
    <row r="9" spans="1:28" ht="15.75" customHeight="1">
      <c r="A9" s="125"/>
      <c r="B9" s="91" t="s">
        <v>657</v>
      </c>
      <c r="C9" s="126" t="s">
        <v>658</v>
      </c>
      <c r="D9" s="125"/>
      <c r="E9" s="125"/>
      <c r="F9" s="125"/>
      <c r="G9" s="93" t="b">
        <v>0</v>
      </c>
      <c r="H9" s="93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  <c r="AA9" s="90"/>
      <c r="AB9" s="90"/>
    </row>
    <row r="10" spans="1:28" ht="15.75" customHeight="1">
      <c r="A10" s="125"/>
      <c r="B10" s="87" t="s">
        <v>659</v>
      </c>
      <c r="C10" s="127" t="s">
        <v>660</v>
      </c>
      <c r="D10" s="125"/>
      <c r="E10" s="125"/>
      <c r="F10" s="125"/>
      <c r="G10" s="89" t="b">
        <v>0</v>
      </c>
      <c r="H10" s="89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  <c r="AA10" s="90"/>
      <c r="AB10" s="90"/>
    </row>
    <row r="11" spans="1:28" ht="15.75" customHeight="1">
      <c r="A11" s="125"/>
      <c r="B11" s="91" t="s">
        <v>661</v>
      </c>
      <c r="C11" s="92" t="s">
        <v>662</v>
      </c>
      <c r="D11" s="92"/>
      <c r="E11" s="92"/>
      <c r="F11" s="92"/>
      <c r="G11" s="93" t="b">
        <v>0</v>
      </c>
      <c r="H11" s="93"/>
      <c r="I11" s="90"/>
      <c r="J11" s="90"/>
      <c r="K11" s="90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  <c r="AA11" s="90"/>
      <c r="AB11" s="90"/>
    </row>
    <row r="12" spans="1:28" ht="15.75" customHeight="1">
      <c r="A12" s="125"/>
      <c r="B12" s="87" t="s">
        <v>663</v>
      </c>
      <c r="C12" s="127" t="s">
        <v>664</v>
      </c>
      <c r="D12" s="125"/>
      <c r="E12" s="125"/>
      <c r="F12" s="125"/>
      <c r="G12" s="89" t="b">
        <v>0</v>
      </c>
      <c r="H12" s="89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</row>
    <row r="13" spans="1:28" ht="15.75" customHeight="1">
      <c r="A13" s="125"/>
      <c r="B13" s="91" t="s">
        <v>665</v>
      </c>
      <c r="C13" s="126" t="s">
        <v>666</v>
      </c>
      <c r="D13" s="125"/>
      <c r="E13" s="125"/>
      <c r="F13" s="125"/>
      <c r="G13" s="93" t="b">
        <v>0</v>
      </c>
      <c r="H13" s="93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  <c r="AA13" s="90"/>
      <c r="AB13" s="90"/>
    </row>
    <row r="14" spans="1:28" ht="15.75" customHeight="1">
      <c r="A14" s="125"/>
      <c r="B14" s="87" t="s">
        <v>667</v>
      </c>
      <c r="C14" s="127" t="s">
        <v>668</v>
      </c>
      <c r="D14" s="125"/>
      <c r="E14" s="125"/>
      <c r="F14" s="125"/>
      <c r="G14" s="89" t="b">
        <v>0</v>
      </c>
      <c r="H14" s="89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  <c r="AA14" s="90"/>
      <c r="AB14" s="90"/>
    </row>
    <row r="15" spans="1:28" ht="15.75" customHeight="1">
      <c r="A15" s="125"/>
      <c r="B15" s="91" t="s">
        <v>669</v>
      </c>
      <c r="C15" s="126" t="s">
        <v>670</v>
      </c>
      <c r="D15" s="125"/>
      <c r="E15" s="125"/>
      <c r="F15" s="125"/>
      <c r="G15" s="93" t="b">
        <v>0</v>
      </c>
      <c r="H15" s="93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  <c r="AA15" s="90"/>
      <c r="AB15" s="90"/>
    </row>
    <row r="16" spans="1:28" ht="15.75" customHeight="1">
      <c r="A16" s="125"/>
      <c r="B16" s="87" t="s">
        <v>671</v>
      </c>
      <c r="C16" s="127" t="s">
        <v>672</v>
      </c>
      <c r="D16" s="125"/>
      <c r="E16" s="125"/>
      <c r="F16" s="125"/>
      <c r="G16" s="89" t="b">
        <v>0</v>
      </c>
      <c r="H16" s="89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</row>
    <row r="17" spans="1:28" ht="15.75" customHeight="1">
      <c r="A17" s="125"/>
      <c r="B17" s="91" t="s">
        <v>673</v>
      </c>
      <c r="C17" s="126" t="s">
        <v>674</v>
      </c>
      <c r="D17" s="125"/>
      <c r="E17" s="125"/>
      <c r="F17" s="125"/>
      <c r="G17" s="93" t="b">
        <v>0</v>
      </c>
      <c r="H17" s="93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</row>
    <row r="18" spans="1:28" ht="15.75" customHeight="1">
      <c r="A18" s="125"/>
      <c r="B18" s="87" t="s">
        <v>675</v>
      </c>
      <c r="C18" s="127" t="s">
        <v>676</v>
      </c>
      <c r="D18" s="125"/>
      <c r="E18" s="125"/>
      <c r="F18" s="125"/>
      <c r="G18" s="89" t="b">
        <v>0</v>
      </c>
      <c r="H18" s="89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  <c r="AA18" s="90"/>
      <c r="AB18" s="90"/>
    </row>
    <row r="19" spans="1:28" ht="15.75" customHeight="1">
      <c r="A19" s="125"/>
      <c r="B19" s="91" t="s">
        <v>677</v>
      </c>
      <c r="C19" s="126" t="s">
        <v>678</v>
      </c>
      <c r="D19" s="125"/>
      <c r="E19" s="125"/>
      <c r="F19" s="125"/>
      <c r="G19" s="93" t="b">
        <v>0</v>
      </c>
      <c r="H19" s="93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  <c r="AA19" s="90"/>
      <c r="AB19" s="90"/>
    </row>
    <row r="20" spans="1:28" ht="15.75" customHeight="1">
      <c r="A20" s="125"/>
      <c r="B20" s="87" t="s">
        <v>679</v>
      </c>
      <c r="C20" s="127" t="s">
        <v>680</v>
      </c>
      <c r="D20" s="125"/>
      <c r="E20" s="125"/>
      <c r="F20" s="125"/>
      <c r="G20" s="89" t="b">
        <v>0</v>
      </c>
      <c r="H20" s="89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</row>
    <row r="21" spans="1:28" ht="15.75" customHeight="1">
      <c r="A21" s="125"/>
      <c r="B21" s="91" t="s">
        <v>681</v>
      </c>
      <c r="C21" s="126" t="s">
        <v>682</v>
      </c>
      <c r="D21" s="125"/>
      <c r="E21" s="125"/>
      <c r="F21" s="125"/>
      <c r="G21" s="93" t="b">
        <v>0</v>
      </c>
      <c r="H21" s="93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90"/>
      <c r="AB21" s="90"/>
    </row>
    <row r="22" spans="1:28" ht="15.75" customHeight="1">
      <c r="A22" s="125"/>
      <c r="B22" s="87" t="s">
        <v>683</v>
      </c>
      <c r="C22" s="127" t="s">
        <v>684</v>
      </c>
      <c r="D22" s="125"/>
      <c r="E22" s="125"/>
      <c r="F22" s="125"/>
      <c r="G22" s="89" t="b">
        <v>0</v>
      </c>
      <c r="H22" s="89"/>
      <c r="I22" s="90"/>
      <c r="J22" s="90"/>
      <c r="K22" s="90"/>
      <c r="L22" s="90"/>
      <c r="M22" s="90"/>
      <c r="N22" s="90"/>
      <c r="O22" s="90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  <c r="AA22" s="90"/>
      <c r="AB22" s="90"/>
    </row>
    <row r="23" spans="1:28" ht="15.75" customHeight="1">
      <c r="A23" s="125"/>
      <c r="B23" s="91" t="s">
        <v>685</v>
      </c>
      <c r="C23" s="126" t="s">
        <v>686</v>
      </c>
      <c r="D23" s="125"/>
      <c r="E23" s="125"/>
      <c r="F23" s="125"/>
      <c r="G23" s="93" t="b">
        <v>0</v>
      </c>
      <c r="H23" s="93"/>
      <c r="I23" s="90"/>
      <c r="J23" s="90"/>
      <c r="K23" s="90"/>
      <c r="L23" s="90"/>
      <c r="M23" s="90"/>
      <c r="N23" s="90"/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  <c r="AA23" s="90"/>
      <c r="AB23" s="90"/>
    </row>
    <row r="24" spans="1:28" ht="15.75" customHeight="1">
      <c r="A24" s="125"/>
      <c r="B24" s="87" t="s">
        <v>687</v>
      </c>
      <c r="C24" s="127" t="s">
        <v>688</v>
      </c>
      <c r="D24" s="125"/>
      <c r="E24" s="125"/>
      <c r="F24" s="125"/>
      <c r="G24" s="89" t="b">
        <v>0</v>
      </c>
      <c r="H24" s="89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</row>
    <row r="25" spans="1:28" ht="15.75" customHeight="1">
      <c r="A25" s="125"/>
      <c r="B25" s="91" t="s">
        <v>689</v>
      </c>
      <c r="C25" s="126" t="s">
        <v>690</v>
      </c>
      <c r="D25" s="125"/>
      <c r="E25" s="125"/>
      <c r="F25" s="125"/>
      <c r="G25" s="93" t="b">
        <v>0</v>
      </c>
      <c r="H25" s="93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</row>
    <row r="26" spans="1:28" ht="15.75" customHeight="1">
      <c r="A26" s="125"/>
      <c r="B26" s="87" t="s">
        <v>691</v>
      </c>
      <c r="C26" s="127" t="s">
        <v>692</v>
      </c>
      <c r="D26" s="125"/>
      <c r="E26" s="125"/>
      <c r="F26" s="125"/>
      <c r="G26" s="89" t="b">
        <v>0</v>
      </c>
      <c r="H26" s="89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</row>
    <row r="27" spans="1:28" ht="15.75" customHeight="1">
      <c r="A27" s="125"/>
      <c r="B27" s="91" t="s">
        <v>693</v>
      </c>
      <c r="C27" s="126" t="s">
        <v>694</v>
      </c>
      <c r="D27" s="125"/>
      <c r="E27" s="125"/>
      <c r="F27" s="125"/>
      <c r="G27" s="93" t="b">
        <v>0</v>
      </c>
      <c r="H27" s="93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  <c r="AA27" s="90"/>
      <c r="AB27" s="90"/>
    </row>
    <row r="28" spans="1:28" ht="15.75" customHeight="1">
      <c r="A28" s="125"/>
      <c r="B28" s="87" t="s">
        <v>695</v>
      </c>
      <c r="C28" s="127" t="s">
        <v>696</v>
      </c>
      <c r="D28" s="125"/>
      <c r="E28" s="125"/>
      <c r="F28" s="125"/>
      <c r="G28" s="89" t="b">
        <v>0</v>
      </c>
      <c r="H28" s="89"/>
      <c r="I28" s="90"/>
      <c r="J28" s="90"/>
      <c r="K28" s="90"/>
      <c r="L28" s="90"/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  <c r="AA28" s="90"/>
      <c r="AB28" s="90"/>
    </row>
    <row r="29" spans="1:28" ht="15.75" customHeight="1">
      <c r="A29" s="125"/>
      <c r="B29" s="91" t="s">
        <v>697</v>
      </c>
      <c r="C29" s="126" t="s">
        <v>698</v>
      </c>
      <c r="D29" s="125"/>
      <c r="E29" s="125"/>
      <c r="F29" s="125"/>
      <c r="G29" s="93" t="b">
        <v>0</v>
      </c>
      <c r="H29" s="93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  <c r="AA29" s="90"/>
      <c r="AB29" s="90"/>
    </row>
    <row r="30" spans="1:28" ht="15.75" customHeight="1">
      <c r="A30" s="125"/>
      <c r="B30" s="87" t="s">
        <v>699</v>
      </c>
      <c r="C30" s="127" t="s">
        <v>700</v>
      </c>
      <c r="D30" s="125"/>
      <c r="E30" s="125"/>
      <c r="F30" s="125"/>
      <c r="G30" s="89" t="b">
        <v>0</v>
      </c>
      <c r="H30" s="89"/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  <c r="AA30" s="90"/>
      <c r="AB30" s="90"/>
    </row>
    <row r="31" spans="1:28" ht="15.75" customHeight="1">
      <c r="A31" s="125"/>
      <c r="B31" s="91" t="s">
        <v>701</v>
      </c>
      <c r="C31" s="126" t="s">
        <v>702</v>
      </c>
      <c r="D31" s="125"/>
      <c r="E31" s="125"/>
      <c r="F31" s="125"/>
      <c r="G31" s="93" t="b">
        <v>0</v>
      </c>
      <c r="H31" s="93"/>
      <c r="I31" s="90"/>
      <c r="J31" s="90"/>
      <c r="K31" s="90"/>
      <c r="L31" s="90"/>
      <c r="M31" s="90"/>
      <c r="N31" s="90"/>
      <c r="O31" s="90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  <c r="AA31" s="90"/>
      <c r="AB31" s="90"/>
    </row>
    <row r="32" spans="1:28" ht="15.75" customHeight="1">
      <c r="A32" s="125"/>
      <c r="B32" s="87" t="s">
        <v>703</v>
      </c>
      <c r="C32" s="127" t="s">
        <v>704</v>
      </c>
      <c r="D32" s="125"/>
      <c r="E32" s="125"/>
      <c r="F32" s="125"/>
      <c r="G32" s="89" t="b">
        <v>0</v>
      </c>
      <c r="H32" s="89"/>
      <c r="I32" s="90"/>
      <c r="J32" s="90"/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  <c r="AA32" s="90"/>
      <c r="AB32" s="90"/>
    </row>
    <row r="33" spans="1:28" ht="15.75" customHeight="1">
      <c r="A33" s="125"/>
      <c r="B33" s="91" t="s">
        <v>705</v>
      </c>
      <c r="C33" s="126" t="s">
        <v>706</v>
      </c>
      <c r="D33" s="125"/>
      <c r="E33" s="125"/>
      <c r="F33" s="125"/>
      <c r="G33" s="93" t="b">
        <v>0</v>
      </c>
      <c r="H33" s="93"/>
      <c r="I33" s="90"/>
      <c r="J33" s="90"/>
      <c r="K33" s="90"/>
      <c r="L33" s="90"/>
      <c r="M33" s="90"/>
      <c r="N33" s="90"/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  <c r="AA33" s="90"/>
      <c r="AB33" s="90"/>
    </row>
    <row r="34" spans="1:28" ht="15.75" customHeight="1">
      <c r="A34" s="125"/>
      <c r="B34" s="87" t="s">
        <v>707</v>
      </c>
      <c r="C34" s="127" t="s">
        <v>708</v>
      </c>
      <c r="D34" s="125"/>
      <c r="E34" s="125"/>
      <c r="F34" s="125"/>
      <c r="G34" s="89" t="b">
        <v>0</v>
      </c>
      <c r="H34" s="89"/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90"/>
      <c r="AB34" s="90"/>
    </row>
    <row r="35" spans="1:28" ht="15.75" customHeight="1">
      <c r="A35" s="125"/>
      <c r="B35" s="91" t="s">
        <v>354</v>
      </c>
      <c r="C35" s="126" t="s">
        <v>709</v>
      </c>
      <c r="D35" s="125"/>
      <c r="E35" s="125"/>
      <c r="F35" s="125"/>
      <c r="G35" s="93" t="b">
        <v>0</v>
      </c>
      <c r="H35" s="93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  <c r="AA35" s="90"/>
      <c r="AB35" s="90"/>
    </row>
    <row r="36" spans="1:28" ht="15.75" customHeight="1">
      <c r="A36" s="125"/>
      <c r="B36" s="87" t="s">
        <v>710</v>
      </c>
      <c r="C36" s="127" t="s">
        <v>711</v>
      </c>
      <c r="D36" s="125"/>
      <c r="E36" s="125"/>
      <c r="F36" s="125"/>
      <c r="G36" s="89" t="b">
        <v>0</v>
      </c>
      <c r="H36" s="89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  <c r="AA36" s="90"/>
      <c r="AB36" s="90"/>
    </row>
    <row r="37" spans="1:28" ht="15.75" customHeight="1">
      <c r="A37" s="125"/>
      <c r="B37" s="91" t="s">
        <v>357</v>
      </c>
      <c r="C37" s="126" t="s">
        <v>712</v>
      </c>
      <c r="D37" s="125"/>
      <c r="E37" s="125"/>
      <c r="F37" s="125"/>
      <c r="G37" s="93" t="b">
        <v>0</v>
      </c>
      <c r="H37" s="93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  <c r="AA37" s="90"/>
      <c r="AB37" s="90"/>
    </row>
    <row r="38" spans="1:28" ht="15.75" customHeight="1">
      <c r="A38" s="125"/>
      <c r="B38" s="87" t="s">
        <v>713</v>
      </c>
      <c r="C38" s="127" t="s">
        <v>714</v>
      </c>
      <c r="D38" s="125"/>
      <c r="E38" s="125"/>
      <c r="F38" s="125"/>
      <c r="G38" s="89" t="b">
        <v>0</v>
      </c>
      <c r="H38" s="89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</row>
    <row r="39" spans="1:28" ht="15.75" customHeight="1">
      <c r="A39" s="125"/>
      <c r="B39" s="91" t="s">
        <v>715</v>
      </c>
      <c r="C39" s="126" t="s">
        <v>716</v>
      </c>
      <c r="D39" s="125"/>
      <c r="E39" s="125"/>
      <c r="F39" s="125"/>
      <c r="G39" s="93" t="b">
        <v>0</v>
      </c>
      <c r="H39" s="93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  <c r="AA39" s="90"/>
      <c r="AB39" s="90"/>
    </row>
    <row r="40" spans="1:28" ht="15.75" customHeight="1">
      <c r="A40" s="125"/>
      <c r="B40" s="87" t="s">
        <v>717</v>
      </c>
      <c r="C40" s="127" t="s">
        <v>718</v>
      </c>
      <c r="D40" s="125"/>
      <c r="E40" s="125"/>
      <c r="F40" s="125"/>
      <c r="G40" s="89" t="b">
        <v>0</v>
      </c>
      <c r="H40" s="89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  <c r="AA40" s="90"/>
      <c r="AB40" s="90"/>
    </row>
    <row r="41" spans="1:28" ht="15.75" customHeight="1">
      <c r="A41" s="125"/>
      <c r="B41" s="91" t="s">
        <v>352</v>
      </c>
      <c r="C41" s="126" t="s">
        <v>719</v>
      </c>
      <c r="D41" s="125"/>
      <c r="E41" s="125"/>
      <c r="F41" s="125"/>
      <c r="G41" s="93" t="b">
        <v>0</v>
      </c>
      <c r="H41" s="93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  <c r="AA41" s="90"/>
      <c r="AB41" s="90"/>
    </row>
    <row r="42" spans="1:28" ht="15.75" customHeight="1">
      <c r="A42" s="128" t="s">
        <v>645</v>
      </c>
      <c r="B42" s="87" t="s">
        <v>720</v>
      </c>
      <c r="C42" s="94">
        <v>20</v>
      </c>
      <c r="D42" s="95"/>
      <c r="E42" s="96"/>
      <c r="F42" s="88" t="s">
        <v>721</v>
      </c>
      <c r="G42" s="89" t="b">
        <v>0</v>
      </c>
      <c r="H42" s="89"/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  <c r="AA42" s="90"/>
      <c r="AB42" s="90"/>
    </row>
    <row r="43" spans="1:28" ht="15.75" customHeight="1">
      <c r="A43" s="125"/>
      <c r="B43" s="91" t="s">
        <v>722</v>
      </c>
      <c r="C43" s="97">
        <v>1</v>
      </c>
      <c r="D43" s="98"/>
      <c r="E43" s="99"/>
      <c r="F43" s="92" t="s">
        <v>723</v>
      </c>
      <c r="G43" s="93" t="b">
        <v>0</v>
      </c>
      <c r="H43" s="93"/>
      <c r="I43" s="90"/>
      <c r="J43" s="90"/>
      <c r="K43" s="90"/>
      <c r="L43" s="90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90"/>
      <c r="Z43" s="90"/>
      <c r="AA43" s="90"/>
      <c r="AB43" s="90"/>
    </row>
    <row r="44" spans="1:28" ht="15.75" customHeight="1">
      <c r="A44" s="125"/>
      <c r="B44" s="87" t="s">
        <v>724</v>
      </c>
      <c r="C44" s="94">
        <v>1.33</v>
      </c>
      <c r="D44" s="95"/>
      <c r="E44" s="96"/>
      <c r="F44" s="88" t="s">
        <v>725</v>
      </c>
      <c r="G44" s="89" t="b">
        <v>0</v>
      </c>
      <c r="H44" s="89"/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  <c r="AA44" s="90"/>
      <c r="AB44" s="90"/>
    </row>
    <row r="45" spans="1:28" ht="15.75" customHeight="1">
      <c r="A45" s="125"/>
      <c r="B45" s="91" t="s">
        <v>726</v>
      </c>
      <c r="C45" s="97">
        <v>180</v>
      </c>
      <c r="D45" s="98" t="s">
        <v>727</v>
      </c>
      <c r="E45" s="99"/>
      <c r="F45" s="92" t="s">
        <v>728</v>
      </c>
      <c r="G45" s="93" t="b">
        <v>0</v>
      </c>
      <c r="H45" s="93"/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  <c r="AA45" s="90"/>
      <c r="AB45" s="90"/>
    </row>
    <row r="46" spans="1:28" ht="15.75" customHeight="1">
      <c r="A46" s="125"/>
      <c r="B46" s="87" t="s">
        <v>729</v>
      </c>
      <c r="C46" s="94">
        <v>2</v>
      </c>
      <c r="D46" s="95" t="s">
        <v>727</v>
      </c>
      <c r="E46" s="96"/>
      <c r="F46" s="88" t="s">
        <v>730</v>
      </c>
      <c r="G46" s="89" t="b">
        <v>0</v>
      </c>
      <c r="H46" s="89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  <c r="AA46" s="90"/>
      <c r="AB46" s="90"/>
    </row>
    <row r="47" spans="1:28" ht="15.75" customHeight="1">
      <c r="A47" s="125"/>
      <c r="B47" s="91" t="s">
        <v>731</v>
      </c>
      <c r="C47" s="97">
        <v>22</v>
      </c>
      <c r="D47" s="98" t="s">
        <v>727</v>
      </c>
      <c r="E47" s="99"/>
      <c r="F47" s="92" t="s">
        <v>732</v>
      </c>
      <c r="G47" s="93" t="b">
        <v>0</v>
      </c>
      <c r="H47" s="93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  <c r="Z47" s="90"/>
      <c r="AA47" s="90"/>
      <c r="AB47" s="90"/>
    </row>
    <row r="48" spans="1:28" ht="15.75" customHeight="1">
      <c r="A48" s="125"/>
      <c r="B48" s="87" t="s">
        <v>733</v>
      </c>
      <c r="C48" s="94">
        <v>75</v>
      </c>
      <c r="D48" s="95" t="s">
        <v>727</v>
      </c>
      <c r="E48" s="96"/>
      <c r="F48" s="88" t="s">
        <v>734</v>
      </c>
      <c r="G48" s="89" t="b">
        <v>0</v>
      </c>
      <c r="H48" s="89"/>
      <c r="I48" s="90"/>
      <c r="J48" s="90"/>
      <c r="K48" s="90"/>
      <c r="L48" s="90"/>
      <c r="M48" s="90"/>
      <c r="N48" s="90"/>
      <c r="O48" s="90"/>
      <c r="P48" s="90"/>
      <c r="Q48" s="90"/>
      <c r="R48" s="90"/>
      <c r="S48" s="90"/>
      <c r="T48" s="90"/>
      <c r="U48" s="90"/>
      <c r="V48" s="90"/>
      <c r="W48" s="90"/>
      <c r="X48" s="90"/>
      <c r="Y48" s="90"/>
      <c r="Z48" s="90"/>
      <c r="AA48" s="90"/>
      <c r="AB48" s="90"/>
    </row>
    <row r="49" spans="1:28" ht="15.75" customHeight="1">
      <c r="A49" s="125"/>
      <c r="B49" s="91" t="s">
        <v>735</v>
      </c>
      <c r="C49" s="97">
        <f>C45/C42</f>
        <v>9</v>
      </c>
      <c r="D49" s="98" t="s">
        <v>727</v>
      </c>
      <c r="E49" s="99" t="s">
        <v>736</v>
      </c>
      <c r="F49" s="92" t="s">
        <v>737</v>
      </c>
      <c r="G49" s="93" t="b">
        <v>1</v>
      </c>
      <c r="H49" s="93"/>
      <c r="I49" s="90"/>
      <c r="J49" s="90"/>
      <c r="K49" s="90"/>
      <c r="L49" s="90"/>
      <c r="M49" s="90"/>
      <c r="N49" s="90"/>
      <c r="O49" s="90"/>
      <c r="P49" s="90"/>
      <c r="Q49" s="90"/>
      <c r="R49" s="90"/>
      <c r="S49" s="90"/>
      <c r="T49" s="90"/>
      <c r="U49" s="90"/>
      <c r="V49" s="90"/>
      <c r="W49" s="90"/>
      <c r="X49" s="90"/>
      <c r="Y49" s="90"/>
      <c r="Z49" s="90"/>
      <c r="AA49" s="90"/>
      <c r="AB49" s="90"/>
    </row>
    <row r="50" spans="1:28" ht="15.75" customHeight="1">
      <c r="A50" s="125"/>
      <c r="B50" s="87" t="s">
        <v>738</v>
      </c>
      <c r="C50" s="94">
        <f>C49*C44</f>
        <v>11.97</v>
      </c>
      <c r="D50" s="95" t="s">
        <v>727</v>
      </c>
      <c r="E50" s="96" t="s">
        <v>739</v>
      </c>
      <c r="F50" s="88" t="s">
        <v>740</v>
      </c>
      <c r="G50" s="89" t="b">
        <v>1</v>
      </c>
      <c r="H50" s="89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90"/>
      <c r="T50" s="90"/>
      <c r="U50" s="90"/>
      <c r="V50" s="90"/>
      <c r="W50" s="90"/>
      <c r="X50" s="90"/>
      <c r="Y50" s="90"/>
      <c r="Z50" s="90"/>
      <c r="AA50" s="90"/>
      <c r="AB50" s="90"/>
    </row>
    <row r="51" spans="1:28" ht="15.75" customHeight="1">
      <c r="A51" s="125"/>
      <c r="B51" s="91" t="s">
        <v>741</v>
      </c>
      <c r="C51" s="97">
        <f>2*C43*C49</f>
        <v>18</v>
      </c>
      <c r="D51" s="98" t="s">
        <v>727</v>
      </c>
      <c r="E51" s="99" t="s">
        <v>742</v>
      </c>
      <c r="F51" s="92" t="s">
        <v>743</v>
      </c>
      <c r="G51" s="93" t="b">
        <v>1</v>
      </c>
      <c r="H51" s="93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90"/>
      <c r="T51" s="90"/>
      <c r="U51" s="90"/>
      <c r="V51" s="90"/>
      <c r="W51" s="90"/>
      <c r="X51" s="90"/>
      <c r="Y51" s="90"/>
      <c r="Z51" s="90"/>
      <c r="AA51" s="90"/>
      <c r="AB51" s="90"/>
    </row>
    <row r="52" spans="1:28" ht="15.75" customHeight="1">
      <c r="A52" s="125"/>
      <c r="B52" s="87" t="s">
        <v>744</v>
      </c>
      <c r="C52" s="94">
        <f>C47/C42</f>
        <v>1.1000000000000001</v>
      </c>
      <c r="D52" s="95" t="s">
        <v>727</v>
      </c>
      <c r="E52" s="96" t="s">
        <v>745</v>
      </c>
      <c r="F52" s="88" t="s">
        <v>746</v>
      </c>
      <c r="G52" s="89" t="b">
        <v>1</v>
      </c>
      <c r="H52" s="89"/>
      <c r="I52" s="90"/>
      <c r="J52" s="90"/>
      <c r="K52" s="90"/>
      <c r="L52" s="90"/>
      <c r="M52" s="90"/>
      <c r="N52" s="90"/>
      <c r="O52" s="90"/>
      <c r="P52" s="90"/>
      <c r="Q52" s="90"/>
      <c r="R52" s="90"/>
      <c r="S52" s="90"/>
      <c r="T52" s="90"/>
      <c r="U52" s="90"/>
      <c r="V52" s="90"/>
      <c r="W52" s="90"/>
      <c r="X52" s="90"/>
      <c r="Y52" s="90"/>
      <c r="Z52" s="90"/>
      <c r="AA52" s="90"/>
      <c r="AB52" s="90"/>
    </row>
    <row r="53" spans="1:28" ht="15.75" customHeight="1">
      <c r="A53" s="125"/>
      <c r="B53" s="91" t="s">
        <v>747</v>
      </c>
      <c r="C53" s="97">
        <f>(PI()*C43*C47/2/C42)^2</f>
        <v>2.9855553313295298</v>
      </c>
      <c r="D53" s="98" t="s">
        <v>748</v>
      </c>
      <c r="E53" s="99" t="s">
        <v>749</v>
      </c>
      <c r="F53" s="92" t="s">
        <v>750</v>
      </c>
      <c r="G53" s="93" t="b">
        <v>1</v>
      </c>
      <c r="H53" s="93"/>
      <c r="I53" s="90"/>
      <c r="J53" s="90"/>
      <c r="K53" s="90"/>
      <c r="L53" s="90"/>
      <c r="M53" s="90"/>
      <c r="N53" s="90"/>
      <c r="O53" s="90"/>
      <c r="P53" s="90"/>
      <c r="Q53" s="90"/>
      <c r="R53" s="90"/>
      <c r="S53" s="90"/>
      <c r="T53" s="90"/>
      <c r="U53" s="90"/>
      <c r="V53" s="90"/>
      <c r="W53" s="90"/>
      <c r="X53" s="90"/>
      <c r="Y53" s="90"/>
      <c r="Z53" s="90"/>
      <c r="AA53" s="90"/>
      <c r="AB53" s="90"/>
    </row>
    <row r="54" spans="1:28" ht="15.75" customHeight="1">
      <c r="A54" s="125"/>
      <c r="B54" s="87" t="s">
        <v>751</v>
      </c>
      <c r="C54" s="94">
        <f>DEGREES(ASIN(C47/2/C45))</f>
        <v>3.5035917935311445</v>
      </c>
      <c r="D54" s="95" t="s">
        <v>752</v>
      </c>
      <c r="E54" s="96" t="s">
        <v>753</v>
      </c>
      <c r="F54" s="88" t="s">
        <v>754</v>
      </c>
      <c r="G54" s="89" t="b">
        <v>1</v>
      </c>
      <c r="H54" s="89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90"/>
      <c r="T54" s="90"/>
      <c r="U54" s="90"/>
      <c r="V54" s="90"/>
      <c r="W54" s="90"/>
      <c r="X54" s="90"/>
      <c r="Y54" s="90"/>
      <c r="Z54" s="90"/>
      <c r="AA54" s="90"/>
      <c r="AB54" s="90"/>
    </row>
    <row r="55" spans="1:28" ht="15.75" customHeight="1">
      <c r="A55" s="129"/>
      <c r="B55" s="91" t="s">
        <v>755</v>
      </c>
      <c r="C55" s="97">
        <f>DEGREES(C52/2/C49)</f>
        <v>3.501408748021698</v>
      </c>
      <c r="D55" s="98" t="s">
        <v>752</v>
      </c>
      <c r="E55" s="99" t="s">
        <v>756</v>
      </c>
      <c r="F55" s="92" t="s">
        <v>757</v>
      </c>
      <c r="G55" s="93" t="b">
        <v>1</v>
      </c>
      <c r="H55" s="93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  <c r="AA55" s="90"/>
      <c r="AB55" s="90"/>
    </row>
    <row r="56" spans="1:28" ht="15.75" customHeight="1">
      <c r="A56" s="128" t="s">
        <v>651</v>
      </c>
      <c r="B56" s="87" t="s">
        <v>758</v>
      </c>
      <c r="C56" s="94">
        <v>20</v>
      </c>
      <c r="D56" s="95"/>
      <c r="E56" s="96"/>
      <c r="F56" s="88"/>
      <c r="G56" s="89" t="b">
        <v>0</v>
      </c>
      <c r="H56" s="89"/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  <c r="Y56" s="90"/>
      <c r="Z56" s="90"/>
      <c r="AA56" s="90"/>
      <c r="AB56" s="90"/>
    </row>
    <row r="57" spans="1:28" ht="15.75" customHeight="1">
      <c r="A57" s="125"/>
      <c r="B57" s="91" t="s">
        <v>759</v>
      </c>
      <c r="C57" s="97">
        <v>0.8</v>
      </c>
      <c r="D57" s="98"/>
      <c r="E57" s="99"/>
      <c r="F57" s="92"/>
      <c r="G57" s="93" t="b">
        <v>0</v>
      </c>
      <c r="H57" s="93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90"/>
      <c r="T57" s="90"/>
      <c r="U57" s="90"/>
      <c r="V57" s="90"/>
      <c r="W57" s="90"/>
      <c r="X57" s="90"/>
      <c r="Y57" s="90"/>
      <c r="Z57" s="90"/>
      <c r="AA57" s="90"/>
      <c r="AB57" s="90"/>
    </row>
    <row r="58" spans="1:28" ht="15.75" customHeight="1">
      <c r="A58" s="125"/>
      <c r="B58" s="87" t="s">
        <v>760</v>
      </c>
      <c r="C58" s="94">
        <v>1</v>
      </c>
      <c r="D58" s="95"/>
      <c r="E58" s="96"/>
      <c r="F58" s="88"/>
      <c r="G58" s="89" t="b">
        <v>0</v>
      </c>
      <c r="H58" s="89"/>
      <c r="I58" s="90"/>
      <c r="J58" s="90"/>
      <c r="K58" s="90"/>
      <c r="L58" s="90"/>
      <c r="M58" s="90"/>
      <c r="N58" s="90"/>
      <c r="O58" s="90"/>
      <c r="P58" s="90"/>
      <c r="Q58" s="90"/>
      <c r="R58" s="90"/>
      <c r="S58" s="90"/>
      <c r="T58" s="90"/>
      <c r="U58" s="90"/>
      <c r="V58" s="90"/>
      <c r="W58" s="90"/>
      <c r="X58" s="90"/>
      <c r="Y58" s="90"/>
      <c r="Z58" s="90"/>
      <c r="AA58" s="90"/>
      <c r="AB58" s="90"/>
    </row>
    <row r="59" spans="1:28" ht="15.75" customHeight="1">
      <c r="A59" s="125"/>
      <c r="B59" s="91" t="s">
        <v>761</v>
      </c>
      <c r="C59" s="97">
        <v>180</v>
      </c>
      <c r="D59" s="98" t="s">
        <v>727</v>
      </c>
      <c r="E59" s="99"/>
      <c r="F59" s="92"/>
      <c r="G59" s="93" t="b">
        <v>0</v>
      </c>
      <c r="H59" s="93"/>
      <c r="I59" s="90"/>
      <c r="J59" s="90"/>
      <c r="K59" s="90"/>
      <c r="L59" s="90"/>
      <c r="M59" s="90"/>
      <c r="N59" s="90"/>
      <c r="O59" s="90"/>
      <c r="P59" s="90"/>
      <c r="Q59" s="90"/>
      <c r="R59" s="90"/>
      <c r="S59" s="90"/>
      <c r="T59" s="90"/>
      <c r="U59" s="90"/>
      <c r="V59" s="90"/>
      <c r="W59" s="90"/>
      <c r="X59" s="90"/>
      <c r="Y59" s="90"/>
      <c r="Z59" s="90"/>
      <c r="AA59" s="90"/>
      <c r="AB59" s="90"/>
    </row>
    <row r="60" spans="1:28" ht="15.75" customHeight="1">
      <c r="A60" s="125"/>
      <c r="B60" s="87" t="s">
        <v>762</v>
      </c>
      <c r="C60" s="94">
        <v>0.61</v>
      </c>
      <c r="D60" s="95" t="s">
        <v>727</v>
      </c>
      <c r="E60" s="96"/>
      <c r="F60" s="88"/>
      <c r="G60" s="89" t="b">
        <v>0</v>
      </c>
      <c r="H60" s="89"/>
      <c r="I60" s="90"/>
      <c r="J60" s="90"/>
      <c r="K60" s="90"/>
      <c r="L60" s="90"/>
      <c r="M60" s="90"/>
      <c r="N60" s="90"/>
      <c r="O60" s="90"/>
      <c r="P60" s="90"/>
      <c r="Q60" s="90"/>
      <c r="R60" s="90"/>
      <c r="S60" s="90"/>
      <c r="T60" s="90"/>
      <c r="U60" s="90"/>
      <c r="V60" s="90"/>
      <c r="W60" s="90"/>
      <c r="X60" s="90"/>
      <c r="Y60" s="90"/>
      <c r="Z60" s="90"/>
      <c r="AA60" s="90"/>
      <c r="AB60" s="90"/>
    </row>
    <row r="61" spans="1:28" ht="15.75" customHeight="1">
      <c r="A61" s="125"/>
      <c r="B61" s="91" t="s">
        <v>763</v>
      </c>
      <c r="C61" s="97">
        <v>26.5</v>
      </c>
      <c r="D61" s="98" t="s">
        <v>727</v>
      </c>
      <c r="E61" s="99"/>
      <c r="F61" s="92"/>
      <c r="G61" s="93" t="b">
        <v>0</v>
      </c>
      <c r="H61" s="93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</row>
    <row r="62" spans="1:28" ht="15.75" customHeight="1">
      <c r="A62" s="125"/>
      <c r="B62" s="87" t="s">
        <v>764</v>
      </c>
      <c r="C62" s="94">
        <v>45.06</v>
      </c>
      <c r="D62" s="95" t="s">
        <v>727</v>
      </c>
      <c r="E62" s="96"/>
      <c r="F62" s="88"/>
      <c r="G62" s="89" t="b">
        <v>0</v>
      </c>
      <c r="H62" s="89"/>
      <c r="I62" s="90"/>
      <c r="J62" s="90"/>
      <c r="K62" s="90"/>
      <c r="L62" s="90"/>
      <c r="M62" s="90"/>
      <c r="N62" s="90"/>
      <c r="O62" s="90"/>
      <c r="P62" s="90"/>
      <c r="Q62" s="90"/>
      <c r="R62" s="90"/>
      <c r="S62" s="90"/>
      <c r="T62" s="90"/>
      <c r="U62" s="90"/>
      <c r="V62" s="90"/>
      <c r="W62" s="90"/>
      <c r="X62" s="90"/>
      <c r="Y62" s="90"/>
      <c r="Z62" s="90"/>
      <c r="AA62" s="90"/>
      <c r="AB62" s="90"/>
    </row>
    <row r="63" spans="1:28" ht="15.75" customHeight="1">
      <c r="A63" s="125"/>
      <c r="B63" s="91" t="s">
        <v>765</v>
      </c>
      <c r="C63" s="97">
        <f>C59/C56</f>
        <v>9</v>
      </c>
      <c r="D63" s="98" t="s">
        <v>727</v>
      </c>
      <c r="E63" s="99"/>
      <c r="F63" s="92" t="s">
        <v>766</v>
      </c>
      <c r="G63" s="93" t="b">
        <v>1</v>
      </c>
      <c r="H63" s="93"/>
      <c r="I63" s="90"/>
      <c r="J63" s="90"/>
      <c r="K63" s="90"/>
      <c r="L63" s="90"/>
      <c r="M63" s="90"/>
      <c r="N63" s="90"/>
      <c r="O63" s="90"/>
      <c r="P63" s="90"/>
      <c r="Q63" s="90"/>
      <c r="R63" s="90"/>
      <c r="S63" s="90"/>
      <c r="T63" s="90"/>
      <c r="U63" s="90"/>
      <c r="V63" s="90"/>
      <c r="W63" s="90"/>
      <c r="X63" s="90"/>
      <c r="Y63" s="90"/>
      <c r="Z63" s="90"/>
      <c r="AA63" s="90"/>
      <c r="AB63" s="90"/>
    </row>
    <row r="64" spans="1:28" ht="15.75" customHeight="1">
      <c r="A64" s="125"/>
      <c r="B64" s="87" t="s">
        <v>767</v>
      </c>
      <c r="C64" s="94">
        <f>C63*C58</f>
        <v>9</v>
      </c>
      <c r="D64" s="95" t="s">
        <v>727</v>
      </c>
      <c r="E64" s="96"/>
      <c r="F64" s="88" t="s">
        <v>768</v>
      </c>
      <c r="G64" s="89" t="b">
        <v>1</v>
      </c>
      <c r="H64" s="89"/>
      <c r="I64" s="90"/>
      <c r="J64" s="90"/>
      <c r="K64" s="90"/>
      <c r="L64" s="90"/>
      <c r="M64" s="90"/>
      <c r="N64" s="90"/>
      <c r="O64" s="90"/>
      <c r="P64" s="90"/>
      <c r="Q64" s="90"/>
      <c r="R64" s="90"/>
      <c r="S64" s="90"/>
      <c r="T64" s="90"/>
      <c r="U64" s="90"/>
      <c r="V64" s="90"/>
      <c r="W64" s="90"/>
      <c r="X64" s="90"/>
      <c r="Y64" s="90"/>
      <c r="Z64" s="90"/>
      <c r="AA64" s="90"/>
      <c r="AB64" s="90"/>
    </row>
    <row r="65" spans="1:28" ht="15.75" customHeight="1">
      <c r="A65" s="125"/>
      <c r="B65" s="91" t="s">
        <v>769</v>
      </c>
      <c r="C65" s="97">
        <f>2*C57*C63</f>
        <v>14.4</v>
      </c>
      <c r="D65" s="98" t="s">
        <v>727</v>
      </c>
      <c r="E65" s="99"/>
      <c r="F65" s="92" t="s">
        <v>770</v>
      </c>
      <c r="G65" s="93" t="b">
        <v>1</v>
      </c>
      <c r="H65" s="93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</row>
    <row r="66" spans="1:28" ht="15.75" customHeight="1">
      <c r="A66" s="125"/>
      <c r="B66" s="87" t="s">
        <v>771</v>
      </c>
      <c r="C66" s="94">
        <f>C61/C56</f>
        <v>1.325</v>
      </c>
      <c r="D66" s="95" t="s">
        <v>727</v>
      </c>
      <c r="E66" s="96"/>
      <c r="F66" s="88"/>
      <c r="G66" s="89" t="b">
        <v>1</v>
      </c>
      <c r="H66" s="89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90"/>
      <c r="T66" s="90"/>
      <c r="U66" s="90"/>
      <c r="V66" s="90"/>
      <c r="W66" s="90"/>
      <c r="X66" s="90"/>
      <c r="Y66" s="90"/>
      <c r="Z66" s="90"/>
      <c r="AA66" s="90"/>
      <c r="AB66" s="90"/>
    </row>
    <row r="67" spans="1:28" ht="16">
      <c r="A67" s="125"/>
      <c r="B67" s="91" t="s">
        <v>772</v>
      </c>
      <c r="C67" s="97">
        <f>(PI()*C57*C61/2/C56)^2</f>
        <v>2.7723718762660012</v>
      </c>
      <c r="D67" s="98" t="s">
        <v>748</v>
      </c>
      <c r="E67" s="99"/>
      <c r="F67" s="92" t="s">
        <v>773</v>
      </c>
      <c r="G67" s="93" t="b">
        <v>1</v>
      </c>
      <c r="H67" s="93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90"/>
      <c r="T67" s="90"/>
      <c r="U67" s="90"/>
      <c r="V67" s="90"/>
      <c r="W67" s="90"/>
      <c r="X67" s="90"/>
      <c r="Y67" s="90"/>
      <c r="Z67" s="90"/>
      <c r="AA67" s="90"/>
      <c r="AB67" s="90"/>
    </row>
    <row r="68" spans="1:28" ht="16">
      <c r="A68" s="130"/>
      <c r="B68" s="87" t="s">
        <v>774</v>
      </c>
      <c r="C68" s="94">
        <f>DEGREES(ASIN(C61/2/C59))</f>
        <v>4.2214242264770734</v>
      </c>
      <c r="D68" s="95" t="s">
        <v>752</v>
      </c>
      <c r="E68" s="96"/>
      <c r="F68" s="88" t="s">
        <v>775</v>
      </c>
      <c r="G68" s="89" t="b">
        <v>1</v>
      </c>
      <c r="H68" s="89"/>
      <c r="I68" s="90"/>
      <c r="J68" s="90"/>
      <c r="K68" s="90"/>
      <c r="L68" s="90"/>
      <c r="M68" s="90"/>
      <c r="N68" s="90"/>
      <c r="O68" s="90"/>
      <c r="P68" s="90"/>
      <c r="Q68" s="90"/>
      <c r="R68" s="90"/>
      <c r="S68" s="90"/>
      <c r="T68" s="90"/>
      <c r="U68" s="90"/>
      <c r="V68" s="90"/>
      <c r="W68" s="90"/>
      <c r="X68" s="90"/>
      <c r="Y68" s="90"/>
      <c r="Z68" s="90"/>
      <c r="AA68" s="90"/>
      <c r="AB68" s="90"/>
    </row>
    <row r="69" spans="1:28" ht="16">
      <c r="A69" s="128" t="s">
        <v>659</v>
      </c>
      <c r="B69" s="91" t="s">
        <v>776</v>
      </c>
      <c r="C69" s="97">
        <v>4</v>
      </c>
      <c r="D69" s="98"/>
      <c r="E69" s="99"/>
      <c r="F69" s="92"/>
      <c r="G69" s="93" t="b">
        <v>0</v>
      </c>
      <c r="H69" s="93"/>
      <c r="I69" s="90"/>
      <c r="J69" s="90"/>
      <c r="K69" s="90"/>
      <c r="L69" s="90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  <c r="Y69" s="90"/>
      <c r="Z69" s="90"/>
      <c r="AA69" s="90"/>
      <c r="AB69" s="90"/>
    </row>
    <row r="70" spans="1:28" ht="16">
      <c r="A70" s="125"/>
      <c r="B70" s="87" t="s">
        <v>777</v>
      </c>
      <c r="C70" s="94">
        <v>0.2</v>
      </c>
      <c r="D70" s="95"/>
      <c r="E70" s="96"/>
      <c r="F70" s="88"/>
      <c r="G70" s="89" t="b">
        <v>0</v>
      </c>
      <c r="H70" s="89"/>
      <c r="I70" s="90"/>
      <c r="J70" s="90"/>
      <c r="K70" s="90"/>
      <c r="L70" s="90"/>
      <c r="M70" s="90"/>
      <c r="N70" s="90"/>
      <c r="O70" s="90"/>
      <c r="P70" s="90"/>
      <c r="Q70" s="90"/>
      <c r="R70" s="90"/>
      <c r="S70" s="90"/>
      <c r="T70" s="90"/>
      <c r="U70" s="90"/>
      <c r="V70" s="90"/>
      <c r="W70" s="90"/>
      <c r="X70" s="90"/>
      <c r="Y70" s="90"/>
      <c r="Z70" s="90"/>
      <c r="AA70" s="90"/>
      <c r="AB70" s="90"/>
    </row>
    <row r="71" spans="1:28" ht="16">
      <c r="A71" s="125"/>
      <c r="B71" s="91" t="s">
        <v>778</v>
      </c>
      <c r="C71" s="97">
        <v>1</v>
      </c>
      <c r="D71" s="98"/>
      <c r="E71" s="99"/>
      <c r="F71" s="92"/>
      <c r="G71" s="93" t="b">
        <v>0</v>
      </c>
      <c r="H71" s="93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90"/>
      <c r="T71" s="90"/>
      <c r="U71" s="90"/>
      <c r="V71" s="90"/>
      <c r="W71" s="90"/>
      <c r="X71" s="90"/>
      <c r="Y71" s="90"/>
      <c r="Z71" s="90"/>
      <c r="AA71" s="90"/>
      <c r="AB71" s="90"/>
    </row>
    <row r="72" spans="1:28" ht="16">
      <c r="A72" s="125"/>
      <c r="B72" s="87" t="s">
        <v>779</v>
      </c>
      <c r="C72" s="94">
        <v>200</v>
      </c>
      <c r="D72" s="95" t="s">
        <v>727</v>
      </c>
      <c r="E72" s="96"/>
      <c r="F72" s="88"/>
      <c r="G72" s="89" t="b">
        <v>0</v>
      </c>
      <c r="H72" s="89"/>
      <c r="I72" s="90"/>
      <c r="J72" s="90"/>
      <c r="K72" s="90"/>
      <c r="L72" s="90"/>
      <c r="M72" s="90"/>
      <c r="N72" s="90"/>
      <c r="O72" s="90"/>
      <c r="P72" s="90"/>
      <c r="Q72" s="90"/>
      <c r="R72" s="90"/>
      <c r="S72" s="90"/>
      <c r="T72" s="90"/>
      <c r="U72" s="90"/>
      <c r="V72" s="90"/>
      <c r="W72" s="90"/>
      <c r="X72" s="90"/>
      <c r="Y72" s="90"/>
      <c r="Z72" s="90"/>
      <c r="AA72" s="90"/>
      <c r="AB72" s="90"/>
    </row>
    <row r="73" spans="1:28" ht="16">
      <c r="A73" s="125"/>
      <c r="B73" s="91" t="s">
        <v>780</v>
      </c>
      <c r="C73" s="97">
        <v>20</v>
      </c>
      <c r="D73" s="98" t="s">
        <v>727</v>
      </c>
      <c r="E73" s="99"/>
      <c r="F73" s="92"/>
      <c r="G73" s="93" t="b">
        <v>0</v>
      </c>
      <c r="H73" s="93"/>
      <c r="I73" s="90"/>
      <c r="J73" s="90"/>
      <c r="K73" s="90"/>
      <c r="L73" s="90"/>
      <c r="M73" s="90"/>
      <c r="N73" s="90"/>
      <c r="O73" s="90"/>
      <c r="P73" s="90"/>
      <c r="Q73" s="90"/>
      <c r="R73" s="90"/>
      <c r="S73" s="90"/>
      <c r="T73" s="90"/>
      <c r="U73" s="90"/>
      <c r="V73" s="90"/>
      <c r="W73" s="90"/>
      <c r="X73" s="90"/>
      <c r="Y73" s="90"/>
      <c r="Z73" s="90"/>
      <c r="AA73" s="90"/>
      <c r="AB73" s="90"/>
    </row>
    <row r="74" spans="1:28" ht="16">
      <c r="A74" s="125"/>
      <c r="B74" s="87" t="s">
        <v>781</v>
      </c>
      <c r="C74" s="94">
        <v>25</v>
      </c>
      <c r="D74" s="95" t="s">
        <v>727</v>
      </c>
      <c r="E74" s="96"/>
      <c r="F74" s="88"/>
      <c r="G74" s="89" t="b">
        <v>0</v>
      </c>
      <c r="H74" s="89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  <c r="T74" s="90"/>
      <c r="U74" s="90"/>
      <c r="V74" s="90"/>
      <c r="W74" s="90"/>
      <c r="X74" s="90"/>
      <c r="Y74" s="90"/>
      <c r="Z74" s="90"/>
      <c r="AA74" s="90"/>
      <c r="AB74" s="90"/>
    </row>
    <row r="75" spans="1:28" ht="16">
      <c r="A75" s="125"/>
      <c r="B75" s="91" t="s">
        <v>782</v>
      </c>
      <c r="C75" s="97">
        <v>60.06</v>
      </c>
      <c r="D75" s="98" t="s">
        <v>727</v>
      </c>
      <c r="E75" s="99"/>
      <c r="F75" s="92"/>
      <c r="G75" s="93" t="b">
        <v>0</v>
      </c>
      <c r="H75" s="93"/>
      <c r="I75" s="90"/>
      <c r="J75" s="90"/>
      <c r="K75" s="90"/>
      <c r="L75" s="90"/>
      <c r="M75" s="90"/>
      <c r="N75" s="90"/>
      <c r="O75" s="90"/>
      <c r="P75" s="90"/>
      <c r="Q75" s="90"/>
      <c r="R75" s="90"/>
      <c r="S75" s="90"/>
      <c r="T75" s="90"/>
      <c r="U75" s="90"/>
      <c r="V75" s="90"/>
      <c r="W75" s="90"/>
      <c r="X75" s="90"/>
      <c r="Y75" s="90"/>
      <c r="Z75" s="90"/>
      <c r="AA75" s="90"/>
      <c r="AB75" s="90"/>
    </row>
    <row r="76" spans="1:28" ht="16">
      <c r="A76" s="125"/>
      <c r="B76" s="87" t="s">
        <v>783</v>
      </c>
      <c r="C76" s="94">
        <f>C72/C69</f>
        <v>50</v>
      </c>
      <c r="D76" s="95" t="s">
        <v>727</v>
      </c>
      <c r="E76" s="96"/>
      <c r="F76" s="88" t="s">
        <v>784</v>
      </c>
      <c r="G76" s="89" t="b">
        <v>1</v>
      </c>
      <c r="H76" s="89"/>
      <c r="I76" s="90"/>
      <c r="J76" s="90"/>
      <c r="K76" s="90"/>
      <c r="L76" s="90"/>
      <c r="M76" s="90"/>
      <c r="N76" s="90"/>
      <c r="O76" s="90"/>
      <c r="P76" s="90"/>
      <c r="Q76" s="90"/>
      <c r="R76" s="90"/>
      <c r="S76" s="90"/>
      <c r="T76" s="90"/>
      <c r="U76" s="90"/>
      <c r="V76" s="90"/>
      <c r="W76" s="90"/>
      <c r="X76" s="90"/>
      <c r="Y76" s="90"/>
      <c r="Z76" s="90"/>
      <c r="AA76" s="90"/>
      <c r="AB76" s="90"/>
    </row>
    <row r="77" spans="1:28" ht="16">
      <c r="A77" s="125"/>
      <c r="B77" s="91" t="s">
        <v>785</v>
      </c>
      <c r="C77" s="97">
        <f>C76*C71</f>
        <v>50</v>
      </c>
      <c r="D77" s="98" t="s">
        <v>727</v>
      </c>
      <c r="E77" s="99"/>
      <c r="F77" s="92" t="s">
        <v>786</v>
      </c>
      <c r="G77" s="93" t="b">
        <v>1</v>
      </c>
      <c r="H77" s="93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90"/>
      <c r="T77" s="90"/>
      <c r="U77" s="90"/>
      <c r="V77" s="90"/>
      <c r="W77" s="90"/>
      <c r="X77" s="90"/>
      <c r="Y77" s="90"/>
      <c r="Z77" s="90"/>
      <c r="AA77" s="90"/>
      <c r="AB77" s="90"/>
    </row>
    <row r="78" spans="1:28" ht="16">
      <c r="A78" s="125"/>
      <c r="B78" s="87" t="s">
        <v>787</v>
      </c>
      <c r="C78" s="94">
        <f>2*C70*C76</f>
        <v>20</v>
      </c>
      <c r="D78" s="95" t="s">
        <v>727</v>
      </c>
      <c r="E78" s="96"/>
      <c r="F78" s="88" t="s">
        <v>788</v>
      </c>
      <c r="G78" s="89" t="b">
        <v>1</v>
      </c>
      <c r="H78" s="89"/>
      <c r="I78" s="90"/>
      <c r="J78" s="90"/>
      <c r="K78" s="90"/>
      <c r="L78" s="90"/>
      <c r="M78" s="90"/>
      <c r="N78" s="90"/>
      <c r="O78" s="90"/>
      <c r="P78" s="90"/>
      <c r="Q78" s="90"/>
      <c r="R78" s="90"/>
      <c r="S78" s="90"/>
      <c r="T78" s="90"/>
      <c r="U78" s="90"/>
      <c r="V78" s="90"/>
      <c r="W78" s="90"/>
      <c r="X78" s="90"/>
      <c r="Y78" s="90"/>
      <c r="Z78" s="90"/>
      <c r="AA78" s="90"/>
      <c r="AB78" s="90"/>
    </row>
    <row r="79" spans="1:28" ht="16">
      <c r="A79" s="125"/>
      <c r="B79" s="91" t="s">
        <v>789</v>
      </c>
      <c r="C79" s="97">
        <f>C74/C69</f>
        <v>6.25</v>
      </c>
      <c r="D79" s="98" t="s">
        <v>727</v>
      </c>
      <c r="E79" s="99"/>
      <c r="F79" s="92"/>
      <c r="G79" s="93" t="b">
        <v>1</v>
      </c>
      <c r="H79" s="93"/>
      <c r="I79" s="90"/>
      <c r="J79" s="90"/>
      <c r="K79" s="90"/>
      <c r="L79" s="90"/>
      <c r="M79" s="90"/>
      <c r="N79" s="90"/>
      <c r="O79" s="90"/>
      <c r="P79" s="90"/>
      <c r="Q79" s="90"/>
      <c r="R79" s="90"/>
      <c r="S79" s="90"/>
      <c r="T79" s="90"/>
      <c r="U79" s="90"/>
      <c r="V79" s="90"/>
      <c r="W79" s="90"/>
      <c r="X79" s="90"/>
      <c r="Y79" s="90"/>
      <c r="Z79" s="90"/>
      <c r="AA79" s="90"/>
      <c r="AB79" s="90"/>
    </row>
    <row r="80" spans="1:28" ht="16">
      <c r="A80" s="125"/>
      <c r="B80" s="87" t="s">
        <v>790</v>
      </c>
      <c r="C80" s="94">
        <f>(PI()*C70*C74/2/C69)^2</f>
        <v>3.8553142191755305</v>
      </c>
      <c r="D80" s="95" t="s">
        <v>748</v>
      </c>
      <c r="E80" s="96"/>
      <c r="F80" s="88" t="s">
        <v>791</v>
      </c>
      <c r="G80" s="89" t="b">
        <v>1</v>
      </c>
      <c r="H80" s="89"/>
      <c r="I80" s="90"/>
      <c r="J80" s="90"/>
      <c r="K80" s="90"/>
      <c r="L80" s="90"/>
      <c r="M80" s="90"/>
      <c r="N80" s="90"/>
      <c r="O80" s="90"/>
      <c r="P80" s="90"/>
      <c r="Q80" s="90"/>
      <c r="R80" s="90"/>
      <c r="S80" s="90"/>
      <c r="T80" s="90"/>
      <c r="U80" s="90"/>
      <c r="V80" s="90"/>
      <c r="W80" s="90"/>
      <c r="X80" s="90"/>
      <c r="Y80" s="90"/>
      <c r="Z80" s="90"/>
      <c r="AA80" s="90"/>
      <c r="AB80" s="90"/>
    </row>
    <row r="81" spans="1:28" ht="16">
      <c r="A81" s="129"/>
      <c r="B81" s="91" t="s">
        <v>792</v>
      </c>
      <c r="C81" s="97">
        <f>DEGREES(ASIN(C74/2/C238))</f>
        <v>3.5833216984719738</v>
      </c>
      <c r="D81" s="98" t="s">
        <v>752</v>
      </c>
      <c r="E81" s="99"/>
      <c r="F81" s="92" t="s">
        <v>793</v>
      </c>
      <c r="G81" s="93" t="b">
        <v>1</v>
      </c>
      <c r="H81" s="93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90"/>
      <c r="T81" s="90"/>
      <c r="U81" s="90"/>
      <c r="V81" s="90"/>
      <c r="W81" s="90"/>
      <c r="X81" s="90"/>
      <c r="Y81" s="90"/>
      <c r="Z81" s="90"/>
      <c r="AA81" s="90"/>
      <c r="AB81" s="90"/>
    </row>
    <row r="82" spans="1:28" ht="16">
      <c r="A82" s="128" t="s">
        <v>647</v>
      </c>
      <c r="B82" s="87" t="s">
        <v>796</v>
      </c>
      <c r="C82" s="94">
        <v>200</v>
      </c>
      <c r="D82" s="95" t="s">
        <v>727</v>
      </c>
      <c r="E82" s="96"/>
      <c r="F82" s="88" t="s">
        <v>797</v>
      </c>
      <c r="G82" s="89" t="b">
        <v>0</v>
      </c>
      <c r="H82" s="89"/>
      <c r="I82" s="90"/>
      <c r="J82" s="90"/>
      <c r="K82" s="90"/>
      <c r="L82" s="90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  <c r="Y82" s="90"/>
      <c r="Z82" s="90"/>
      <c r="AA82" s="90"/>
      <c r="AB82" s="90"/>
    </row>
    <row r="83" spans="1:28" ht="16">
      <c r="A83" s="125"/>
      <c r="B83" s="91" t="s">
        <v>798</v>
      </c>
      <c r="C83" s="97">
        <v>151.4</v>
      </c>
      <c r="D83" s="98" t="s">
        <v>727</v>
      </c>
      <c r="E83" s="99"/>
      <c r="F83" s="92" t="s">
        <v>799</v>
      </c>
      <c r="G83" s="93" t="b">
        <v>0</v>
      </c>
      <c r="H83" s="93"/>
      <c r="I83" s="90"/>
      <c r="M83" s="90"/>
      <c r="O83" s="90"/>
      <c r="P83" s="90"/>
      <c r="Q83" s="90"/>
      <c r="R83" s="90"/>
      <c r="S83" s="90"/>
      <c r="T83" s="90"/>
      <c r="U83" s="90"/>
      <c r="V83" s="90"/>
      <c r="W83" s="90"/>
      <c r="X83" s="90"/>
      <c r="Y83" s="90"/>
      <c r="Z83" s="90"/>
      <c r="AA83" s="90"/>
      <c r="AB83" s="90"/>
    </row>
    <row r="84" spans="1:28" ht="16">
      <c r="A84" s="125"/>
      <c r="B84" s="87" t="s">
        <v>800</v>
      </c>
      <c r="C84" s="94">
        <v>228</v>
      </c>
      <c r="D84" s="95" t="s">
        <v>727</v>
      </c>
      <c r="E84" s="96"/>
      <c r="F84" s="88" t="s">
        <v>801</v>
      </c>
      <c r="G84" s="89" t="b">
        <v>0</v>
      </c>
      <c r="H84" s="89"/>
      <c r="I84" s="90"/>
      <c r="M84" s="90"/>
      <c r="O84" s="90"/>
      <c r="P84" s="90"/>
      <c r="Q84" s="90"/>
      <c r="R84" s="90"/>
      <c r="S84" s="90"/>
      <c r="T84" s="90"/>
      <c r="U84" s="90"/>
      <c r="V84" s="90"/>
      <c r="W84" s="90"/>
      <c r="X84" s="90"/>
      <c r="Y84" s="90"/>
      <c r="Z84" s="90"/>
      <c r="AA84" s="90"/>
      <c r="AB84" s="90"/>
    </row>
    <row r="85" spans="1:28" ht="16">
      <c r="A85" s="125"/>
      <c r="B85" s="91" t="s">
        <v>802</v>
      </c>
      <c r="C85" s="97">
        <v>37.700000000000003</v>
      </c>
      <c r="D85" s="98" t="s">
        <v>727</v>
      </c>
      <c r="E85" s="99"/>
      <c r="F85" s="92" t="s">
        <v>803</v>
      </c>
      <c r="G85" s="93" t="b">
        <v>0</v>
      </c>
      <c r="H85" s="93"/>
      <c r="I85" s="90"/>
      <c r="M85" s="90"/>
      <c r="O85" s="90"/>
      <c r="P85" s="90"/>
      <c r="Q85" s="90"/>
      <c r="R85" s="90"/>
      <c r="S85" s="90"/>
      <c r="T85" s="90"/>
      <c r="U85" s="90"/>
      <c r="V85" s="90"/>
      <c r="W85" s="90"/>
      <c r="X85" s="90"/>
      <c r="Y85" s="90"/>
      <c r="Z85" s="90"/>
      <c r="AA85" s="90"/>
      <c r="AB85" s="90"/>
    </row>
    <row r="86" spans="1:28" ht="16">
      <c r="A86" s="130"/>
      <c r="B86" s="87" t="s">
        <v>804</v>
      </c>
      <c r="C86" s="94">
        <v>20</v>
      </c>
      <c r="D86" s="95" t="s">
        <v>727</v>
      </c>
      <c r="E86" s="96"/>
      <c r="F86" s="88" t="s">
        <v>805</v>
      </c>
      <c r="G86" s="89" t="b">
        <v>0</v>
      </c>
      <c r="H86" s="89"/>
      <c r="I86" s="90"/>
      <c r="M86" s="90"/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0"/>
      <c r="Z86" s="90"/>
      <c r="AA86" s="90"/>
      <c r="AB86" s="90"/>
    </row>
    <row r="87" spans="1:28" ht="16">
      <c r="A87" s="128" t="s">
        <v>649</v>
      </c>
      <c r="B87" s="91" t="s">
        <v>806</v>
      </c>
      <c r="C87" s="97">
        <v>150</v>
      </c>
      <c r="D87" s="98" t="s">
        <v>727</v>
      </c>
      <c r="E87" s="99"/>
      <c r="F87" s="92" t="s">
        <v>807</v>
      </c>
      <c r="G87" s="93" t="b">
        <v>0</v>
      </c>
      <c r="H87" s="93"/>
      <c r="I87" s="90"/>
      <c r="M87" s="90"/>
      <c r="O87" s="90"/>
      <c r="P87" s="90"/>
      <c r="Q87" s="90"/>
      <c r="R87" s="90"/>
      <c r="S87" s="90"/>
      <c r="T87" s="90"/>
      <c r="U87" s="90"/>
      <c r="V87" s="90"/>
      <c r="W87" s="90"/>
      <c r="X87" s="90"/>
      <c r="Y87" s="90"/>
      <c r="Z87" s="90"/>
      <c r="AA87" s="90"/>
      <c r="AB87" s="90"/>
    </row>
    <row r="88" spans="1:28" ht="16">
      <c r="A88" s="125"/>
      <c r="B88" s="87" t="s">
        <v>808</v>
      </c>
      <c r="C88" s="94">
        <v>76.325999999999993</v>
      </c>
      <c r="D88" s="95" t="s">
        <v>727</v>
      </c>
      <c r="E88" s="96"/>
      <c r="F88" s="88" t="s">
        <v>809</v>
      </c>
      <c r="G88" s="89" t="b">
        <v>0</v>
      </c>
      <c r="H88" s="89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/>
      <c r="AA88" s="90"/>
      <c r="AB88" s="90"/>
    </row>
    <row r="89" spans="1:28" ht="16">
      <c r="A89" s="125"/>
      <c r="B89" s="91" t="s">
        <v>810</v>
      </c>
      <c r="C89" s="97">
        <v>70</v>
      </c>
      <c r="D89" s="98" t="s">
        <v>727</v>
      </c>
      <c r="E89" s="99"/>
      <c r="F89" s="92" t="s">
        <v>811</v>
      </c>
      <c r="G89" s="93" t="b">
        <v>0</v>
      </c>
      <c r="H89" s="93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0"/>
      <c r="AA89" s="90"/>
      <c r="AB89" s="90"/>
    </row>
    <row r="90" spans="1:28" ht="16">
      <c r="A90" s="125"/>
      <c r="B90" s="87" t="s">
        <v>812</v>
      </c>
      <c r="C90" s="94">
        <v>170</v>
      </c>
      <c r="D90" s="95" t="s">
        <v>727</v>
      </c>
      <c r="E90" s="96"/>
      <c r="F90" s="88" t="s">
        <v>813</v>
      </c>
      <c r="G90" s="89" t="b">
        <v>0</v>
      </c>
      <c r="H90" s="89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  <c r="AA90" s="90"/>
      <c r="AB90" s="90"/>
    </row>
    <row r="91" spans="1:28" ht="16">
      <c r="A91" s="125"/>
      <c r="B91" s="91" t="s">
        <v>814</v>
      </c>
      <c r="C91" s="97">
        <v>166</v>
      </c>
      <c r="D91" s="98" t="s">
        <v>727</v>
      </c>
      <c r="E91" s="99"/>
      <c r="F91" s="92"/>
      <c r="G91" s="93" t="b">
        <v>0</v>
      </c>
      <c r="H91" s="93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  <c r="AA91" s="90"/>
      <c r="AB91" s="90"/>
    </row>
    <row r="92" spans="1:28" ht="16">
      <c r="A92" s="125"/>
      <c r="B92" s="87" t="s">
        <v>815</v>
      </c>
      <c r="C92" s="94">
        <v>73.97</v>
      </c>
      <c r="D92" s="95" t="s">
        <v>727</v>
      </c>
      <c r="E92" s="96"/>
      <c r="F92" s="88" t="s">
        <v>816</v>
      </c>
      <c r="G92" s="89" t="b">
        <v>0</v>
      </c>
      <c r="H92" s="89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  <c r="AA92" s="90"/>
      <c r="AB92" s="90"/>
    </row>
    <row r="93" spans="1:28" ht="16">
      <c r="A93" s="129"/>
      <c r="B93" s="91" t="s">
        <v>817</v>
      </c>
      <c r="C93" s="97">
        <v>20</v>
      </c>
      <c r="D93" s="98" t="s">
        <v>727</v>
      </c>
      <c r="E93" s="99"/>
      <c r="F93" s="92"/>
      <c r="G93" s="93" t="b">
        <v>0</v>
      </c>
      <c r="H93" s="93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  <c r="AA93" s="90"/>
      <c r="AB93" s="90"/>
    </row>
    <row r="94" spans="1:28" ht="16">
      <c r="A94" s="128" t="s">
        <v>655</v>
      </c>
      <c r="B94" s="87" t="s">
        <v>818</v>
      </c>
      <c r="C94" s="94">
        <v>176</v>
      </c>
      <c r="D94" s="95" t="s">
        <v>727</v>
      </c>
      <c r="E94" s="96"/>
      <c r="F94" s="88"/>
      <c r="G94" s="89" t="b">
        <v>0</v>
      </c>
      <c r="H94" s="89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  <c r="Z94" s="90"/>
      <c r="AA94" s="90"/>
      <c r="AB94" s="90"/>
    </row>
    <row r="95" spans="1:28" ht="16">
      <c r="A95" s="125"/>
      <c r="B95" s="91" t="s">
        <v>819</v>
      </c>
      <c r="C95" s="97">
        <v>113.19</v>
      </c>
      <c r="D95" s="98" t="s">
        <v>727</v>
      </c>
      <c r="E95" s="99"/>
      <c r="F95" s="92"/>
      <c r="G95" s="93" t="b">
        <v>0</v>
      </c>
      <c r="H95" s="93"/>
      <c r="I95" s="90"/>
      <c r="J95" s="90"/>
      <c r="K95" s="90"/>
      <c r="L95" s="90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  <c r="Y95" s="90"/>
      <c r="Z95" s="90"/>
      <c r="AA95" s="90"/>
      <c r="AB95" s="90"/>
    </row>
    <row r="96" spans="1:28" ht="16">
      <c r="A96" s="125"/>
      <c r="B96" s="87" t="s">
        <v>820</v>
      </c>
      <c r="C96" s="94">
        <v>228</v>
      </c>
      <c r="D96" s="95" t="s">
        <v>727</v>
      </c>
      <c r="E96" s="96"/>
      <c r="F96" s="88"/>
      <c r="G96" s="89" t="b">
        <v>0</v>
      </c>
      <c r="H96" s="89"/>
      <c r="I96" s="90"/>
      <c r="J96" s="90"/>
      <c r="K96" s="90"/>
      <c r="L96" s="90"/>
      <c r="M96" s="90"/>
      <c r="N96" s="90"/>
      <c r="O96" s="90"/>
      <c r="P96" s="90"/>
      <c r="Q96" s="90"/>
      <c r="R96" s="90"/>
      <c r="S96" s="90"/>
      <c r="T96" s="90"/>
      <c r="U96" s="90"/>
      <c r="V96" s="90"/>
      <c r="W96" s="90"/>
      <c r="X96" s="90"/>
      <c r="Y96" s="90"/>
      <c r="Z96" s="90"/>
      <c r="AA96" s="90"/>
      <c r="AB96" s="90"/>
    </row>
    <row r="97" spans="1:28" ht="16">
      <c r="A97" s="125"/>
      <c r="B97" s="91" t="s">
        <v>821</v>
      </c>
      <c r="C97" s="97">
        <v>63.88</v>
      </c>
      <c r="D97" s="98" t="s">
        <v>727</v>
      </c>
      <c r="E97" s="99"/>
      <c r="F97" s="92"/>
      <c r="G97" s="93" t="b">
        <v>0</v>
      </c>
      <c r="H97" s="93"/>
      <c r="I97" s="90"/>
      <c r="J97" s="90"/>
      <c r="K97" s="90"/>
      <c r="L97" s="90"/>
      <c r="M97" s="90"/>
      <c r="N97" s="90"/>
      <c r="O97" s="90"/>
      <c r="P97" s="90"/>
      <c r="Q97" s="90"/>
      <c r="R97" s="90"/>
      <c r="S97" s="90"/>
      <c r="T97" s="90"/>
      <c r="U97" s="90"/>
      <c r="V97" s="90"/>
      <c r="W97" s="90"/>
      <c r="X97" s="90"/>
      <c r="Y97" s="90"/>
      <c r="Z97" s="90"/>
      <c r="AA97" s="90"/>
      <c r="AB97" s="90"/>
    </row>
    <row r="98" spans="1:28" ht="16">
      <c r="A98" s="130"/>
      <c r="B98" s="87" t="s">
        <v>822</v>
      </c>
      <c r="C98" s="94">
        <v>20</v>
      </c>
      <c r="D98" s="95" t="s">
        <v>727</v>
      </c>
      <c r="E98" s="96"/>
      <c r="F98" s="88"/>
      <c r="G98" s="89" t="b">
        <v>0</v>
      </c>
      <c r="H98" s="89"/>
      <c r="I98" s="90"/>
      <c r="J98" s="90"/>
      <c r="K98" s="90"/>
      <c r="L98" s="90"/>
      <c r="M98" s="90"/>
      <c r="N98" s="90"/>
      <c r="O98" s="90"/>
      <c r="P98" s="90"/>
      <c r="Q98" s="90"/>
      <c r="R98" s="90"/>
      <c r="S98" s="90"/>
      <c r="T98" s="90"/>
      <c r="U98" s="90"/>
      <c r="V98" s="90"/>
      <c r="W98" s="90"/>
      <c r="X98" s="90"/>
      <c r="Y98" s="90"/>
      <c r="Z98" s="90"/>
      <c r="AA98" s="90"/>
      <c r="AB98" s="90"/>
    </row>
    <row r="99" spans="1:28" ht="16">
      <c r="A99" s="128" t="s">
        <v>657</v>
      </c>
      <c r="B99" s="91" t="s">
        <v>823</v>
      </c>
      <c r="C99" s="97">
        <v>211</v>
      </c>
      <c r="D99" s="98" t="s">
        <v>727</v>
      </c>
      <c r="E99" s="99"/>
      <c r="F99" s="92"/>
      <c r="G99" s="93" t="b">
        <v>0</v>
      </c>
      <c r="H99" s="93"/>
      <c r="I99" s="90"/>
      <c r="J99" s="90"/>
      <c r="K99" s="90"/>
      <c r="L99" s="90"/>
      <c r="M99" s="90"/>
      <c r="N99" s="90"/>
      <c r="O99" s="90"/>
      <c r="P99" s="90"/>
      <c r="Q99" s="90"/>
      <c r="R99" s="90"/>
      <c r="S99" s="90"/>
      <c r="T99" s="90"/>
      <c r="U99" s="90"/>
      <c r="V99" s="90"/>
      <c r="W99" s="90"/>
      <c r="X99" s="90"/>
      <c r="Y99" s="90"/>
      <c r="Z99" s="90"/>
      <c r="AA99" s="90"/>
      <c r="AB99" s="90"/>
    </row>
    <row r="100" spans="1:28" ht="16">
      <c r="A100" s="125"/>
      <c r="B100" s="87" t="s">
        <v>824</v>
      </c>
      <c r="C100" s="94">
        <v>171.93</v>
      </c>
      <c r="D100" s="95" t="s">
        <v>727</v>
      </c>
      <c r="E100" s="96"/>
      <c r="F100" s="88"/>
      <c r="G100" s="89" t="b">
        <v>0</v>
      </c>
      <c r="H100" s="89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  <c r="T100" s="90"/>
      <c r="U100" s="90"/>
      <c r="V100" s="90"/>
      <c r="W100" s="90"/>
      <c r="X100" s="90"/>
      <c r="Y100" s="90"/>
      <c r="Z100" s="90"/>
      <c r="AA100" s="90"/>
      <c r="AB100" s="90"/>
    </row>
    <row r="101" spans="1:28" ht="16">
      <c r="A101" s="125"/>
      <c r="B101" s="91" t="s">
        <v>825</v>
      </c>
      <c r="C101" s="97">
        <v>77.72</v>
      </c>
      <c r="D101" s="98" t="s">
        <v>727</v>
      </c>
      <c r="E101" s="99"/>
      <c r="F101" s="92"/>
      <c r="G101" s="93" t="b">
        <v>0</v>
      </c>
      <c r="H101" s="93"/>
      <c r="I101" s="90"/>
      <c r="J101" s="90"/>
      <c r="K101" s="90"/>
      <c r="L101" s="90"/>
      <c r="M101" s="90"/>
      <c r="N101" s="90"/>
      <c r="O101" s="90"/>
      <c r="P101" s="90"/>
      <c r="Q101" s="90"/>
      <c r="R101" s="90"/>
      <c r="S101" s="90"/>
      <c r="T101" s="90"/>
      <c r="U101" s="90"/>
      <c r="V101" s="90"/>
      <c r="W101" s="90"/>
      <c r="X101" s="90"/>
      <c r="Y101" s="90"/>
      <c r="Z101" s="90"/>
      <c r="AA101" s="90"/>
      <c r="AB101" s="90"/>
    </row>
    <row r="102" spans="1:28" ht="16">
      <c r="A102" s="130"/>
      <c r="B102" s="87" t="s">
        <v>820</v>
      </c>
      <c r="C102" s="94">
        <v>187.15</v>
      </c>
      <c r="D102" s="95" t="s">
        <v>727</v>
      </c>
      <c r="E102" s="96"/>
      <c r="F102" s="88"/>
      <c r="G102" s="89" t="b">
        <v>0</v>
      </c>
      <c r="H102" s="89"/>
      <c r="I102" s="90"/>
      <c r="J102" s="90"/>
      <c r="K102" s="90"/>
      <c r="L102" s="90"/>
      <c r="M102" s="90"/>
      <c r="N102" s="90"/>
      <c r="O102" s="90"/>
      <c r="P102" s="90"/>
      <c r="Q102" s="90"/>
      <c r="R102" s="90"/>
      <c r="S102" s="90"/>
      <c r="T102" s="90"/>
      <c r="U102" s="90"/>
      <c r="V102" s="90"/>
      <c r="W102" s="90"/>
      <c r="X102" s="90"/>
      <c r="Y102" s="90"/>
      <c r="Z102" s="90"/>
      <c r="AA102" s="90"/>
      <c r="AB102" s="90"/>
    </row>
    <row r="103" spans="1:28" ht="16">
      <c r="A103" s="128" t="s">
        <v>826</v>
      </c>
      <c r="B103" s="91" t="s">
        <v>827</v>
      </c>
      <c r="C103" s="97">
        <v>4.5</v>
      </c>
      <c r="D103" s="101" t="s">
        <v>828</v>
      </c>
      <c r="E103" s="99"/>
      <c r="F103" s="92" t="s">
        <v>829</v>
      </c>
      <c r="G103" s="93" t="b">
        <v>0</v>
      </c>
      <c r="H103" s="93"/>
      <c r="I103" s="90"/>
      <c r="J103" s="90"/>
      <c r="K103" s="90"/>
      <c r="L103" s="90"/>
      <c r="M103" s="90"/>
      <c r="N103" s="90"/>
      <c r="O103" s="90"/>
      <c r="P103" s="90"/>
      <c r="Q103" s="90"/>
      <c r="R103" s="90"/>
      <c r="S103" s="90"/>
      <c r="T103" s="90"/>
      <c r="U103" s="90"/>
      <c r="V103" s="90"/>
      <c r="W103" s="90"/>
      <c r="X103" s="90"/>
      <c r="Y103" s="90"/>
      <c r="Z103" s="90"/>
      <c r="AA103" s="90"/>
      <c r="AB103" s="90"/>
    </row>
    <row r="104" spans="1:28" ht="16">
      <c r="A104" s="125"/>
      <c r="B104" s="87" t="s">
        <v>830</v>
      </c>
      <c r="C104" s="94">
        <v>9.1999999999999993</v>
      </c>
      <c r="D104" s="95" t="s">
        <v>727</v>
      </c>
      <c r="E104" s="96"/>
      <c r="F104" s="88"/>
      <c r="G104" s="89" t="b">
        <v>0</v>
      </c>
      <c r="H104" s="89"/>
      <c r="I104" s="90"/>
      <c r="J104" s="90"/>
      <c r="K104" s="90"/>
      <c r="L104" s="90"/>
      <c r="M104" s="90"/>
      <c r="N104" s="90"/>
      <c r="O104" s="90"/>
      <c r="P104" s="90"/>
      <c r="Q104" s="90"/>
      <c r="R104" s="90"/>
      <c r="S104" s="90"/>
      <c r="T104" s="90"/>
      <c r="U104" s="90"/>
      <c r="V104" s="90"/>
      <c r="W104" s="90"/>
      <c r="X104" s="90"/>
      <c r="Y104" s="90"/>
      <c r="Z104" s="90"/>
      <c r="AA104" s="90"/>
      <c r="AB104" s="90"/>
    </row>
    <row r="105" spans="1:28" ht="16">
      <c r="A105" s="125"/>
      <c r="B105" s="91" t="s">
        <v>831</v>
      </c>
      <c r="C105" s="97">
        <v>5.5</v>
      </c>
      <c r="D105" s="98" t="s">
        <v>727</v>
      </c>
      <c r="E105" s="99"/>
      <c r="F105" s="92"/>
      <c r="G105" s="93" t="b">
        <v>0</v>
      </c>
      <c r="H105" s="93"/>
      <c r="I105" s="90"/>
      <c r="J105" s="90"/>
      <c r="K105" s="90"/>
      <c r="L105" s="90"/>
      <c r="M105" s="90"/>
      <c r="N105" s="90"/>
      <c r="O105" s="90"/>
      <c r="P105" s="90"/>
      <c r="Q105" s="90"/>
      <c r="R105" s="90"/>
      <c r="S105" s="90"/>
      <c r="T105" s="90"/>
      <c r="U105" s="90"/>
      <c r="V105" s="90"/>
      <c r="W105" s="90"/>
      <c r="X105" s="90"/>
      <c r="Y105" s="90"/>
      <c r="Z105" s="90"/>
      <c r="AA105" s="90"/>
      <c r="AB105" s="90"/>
    </row>
    <row r="106" spans="1:28" ht="16">
      <c r="A106" s="125"/>
      <c r="B106" s="87" t="s">
        <v>832</v>
      </c>
      <c r="C106" s="102">
        <v>2048</v>
      </c>
      <c r="D106" s="95"/>
      <c r="E106" s="96"/>
      <c r="F106" s="88"/>
      <c r="G106" s="89" t="b">
        <v>0</v>
      </c>
      <c r="H106" s="89"/>
      <c r="I106" s="90"/>
      <c r="J106" s="90"/>
      <c r="K106" s="90"/>
      <c r="L106" s="90"/>
      <c r="M106" s="90"/>
      <c r="N106" s="90"/>
      <c r="O106" s="90"/>
      <c r="P106" s="90"/>
      <c r="Q106" s="90"/>
      <c r="R106" s="90"/>
      <c r="S106" s="90"/>
      <c r="T106" s="90"/>
      <c r="U106" s="90"/>
      <c r="V106" s="90"/>
      <c r="W106" s="90"/>
      <c r="X106" s="90"/>
      <c r="Y106" s="90"/>
      <c r="Z106" s="90"/>
      <c r="AA106" s="90"/>
      <c r="AB106" s="90"/>
    </row>
    <row r="107" spans="1:28" ht="16">
      <c r="A107" s="129"/>
      <c r="B107" s="91" t="s">
        <v>833</v>
      </c>
      <c r="C107" s="103">
        <v>1216</v>
      </c>
      <c r="D107" s="98"/>
      <c r="E107" s="99"/>
      <c r="F107" s="92"/>
      <c r="G107" s="93" t="b">
        <v>0</v>
      </c>
      <c r="H107" s="93"/>
      <c r="I107" s="90"/>
      <c r="J107" s="90"/>
      <c r="K107" s="90"/>
      <c r="L107" s="90"/>
      <c r="M107" s="90"/>
      <c r="N107" s="90"/>
      <c r="O107" s="90"/>
      <c r="P107" s="90"/>
      <c r="Q107" s="90"/>
      <c r="R107" s="90"/>
      <c r="S107" s="90"/>
      <c r="T107" s="90"/>
      <c r="U107" s="90"/>
      <c r="V107" s="90"/>
      <c r="W107" s="90"/>
      <c r="X107" s="90"/>
      <c r="Y107" s="90"/>
      <c r="Z107" s="90"/>
      <c r="AA107" s="90"/>
      <c r="AB107" s="90"/>
    </row>
    <row r="108" spans="1:28" ht="16">
      <c r="A108" s="128" t="s">
        <v>834</v>
      </c>
      <c r="B108" s="87" t="s">
        <v>835</v>
      </c>
      <c r="C108" s="94">
        <f>C82/C49</f>
        <v>22.222222222222221</v>
      </c>
      <c r="D108" s="95"/>
      <c r="E108" s="96" t="s">
        <v>836</v>
      </c>
      <c r="F108" s="88" t="s">
        <v>837</v>
      </c>
      <c r="G108" s="89" t="b">
        <v>1</v>
      </c>
      <c r="H108" s="89"/>
      <c r="I108" s="90"/>
      <c r="J108" s="90"/>
      <c r="K108" s="90"/>
      <c r="L108" s="90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  <c r="Y108" s="90"/>
      <c r="Z108" s="90"/>
      <c r="AA108" s="90"/>
      <c r="AB108" s="90"/>
    </row>
    <row r="109" spans="1:28" ht="16">
      <c r="A109" s="125"/>
      <c r="B109" s="91" t="s">
        <v>838</v>
      </c>
      <c r="C109" s="97">
        <f>C87/C63</f>
        <v>16.666666666666668</v>
      </c>
      <c r="D109" s="98"/>
      <c r="E109" s="99"/>
      <c r="F109" s="92" t="s">
        <v>839</v>
      </c>
      <c r="G109" s="93" t="b">
        <v>1</v>
      </c>
      <c r="H109" s="93"/>
      <c r="I109" s="90"/>
      <c r="J109" s="90"/>
      <c r="K109" s="90"/>
      <c r="L109" s="90"/>
      <c r="M109" s="90"/>
      <c r="N109" s="90"/>
      <c r="O109" s="90"/>
      <c r="P109" s="90"/>
      <c r="Q109" s="90"/>
      <c r="R109" s="90"/>
      <c r="S109" s="90"/>
      <c r="T109" s="90"/>
      <c r="U109" s="90"/>
      <c r="V109" s="90"/>
      <c r="W109" s="90"/>
      <c r="X109" s="90"/>
      <c r="Y109" s="90"/>
      <c r="Z109" s="90"/>
      <c r="AA109" s="90"/>
      <c r="AB109" s="90"/>
    </row>
    <row r="110" spans="1:28" ht="16">
      <c r="A110" s="125"/>
      <c r="B110" s="87" t="s">
        <v>840</v>
      </c>
      <c r="C110" s="94">
        <f>C94/C63</f>
        <v>19.555555555555557</v>
      </c>
      <c r="D110" s="95"/>
      <c r="E110" s="96"/>
      <c r="F110" s="88" t="s">
        <v>841</v>
      </c>
      <c r="G110" s="89" t="b">
        <v>1</v>
      </c>
      <c r="H110" s="89"/>
      <c r="I110" s="90"/>
      <c r="J110" s="90"/>
      <c r="K110" s="90"/>
      <c r="L110" s="90"/>
      <c r="M110" s="90"/>
      <c r="N110" s="90"/>
      <c r="O110" s="90"/>
      <c r="P110" s="90"/>
      <c r="Q110" s="90"/>
      <c r="R110" s="90"/>
      <c r="S110" s="90"/>
      <c r="T110" s="90"/>
      <c r="U110" s="90"/>
      <c r="V110" s="90"/>
      <c r="W110" s="90"/>
      <c r="X110" s="90"/>
      <c r="Y110" s="90"/>
      <c r="Z110" s="90"/>
      <c r="AA110" s="90"/>
      <c r="AB110" s="90"/>
    </row>
    <row r="111" spans="1:28" ht="16">
      <c r="A111" s="125"/>
      <c r="B111" s="91" t="s">
        <v>842</v>
      </c>
      <c r="C111" s="97">
        <f>C99/C76</f>
        <v>4.22</v>
      </c>
      <c r="D111" s="98"/>
      <c r="E111" s="99"/>
      <c r="F111" s="92" t="s">
        <v>843</v>
      </c>
      <c r="G111" s="93" t="b">
        <v>1</v>
      </c>
      <c r="H111" s="93"/>
      <c r="I111" s="90"/>
      <c r="J111" s="90"/>
      <c r="K111" s="90"/>
      <c r="L111" s="90"/>
      <c r="M111" s="90"/>
      <c r="N111" s="90"/>
      <c r="O111" s="90"/>
      <c r="P111" s="90"/>
      <c r="Q111" s="90"/>
      <c r="R111" s="90"/>
      <c r="S111" s="90"/>
      <c r="T111" s="90"/>
      <c r="U111" s="90"/>
      <c r="V111" s="90"/>
      <c r="W111" s="90"/>
      <c r="X111" s="90"/>
      <c r="Y111" s="90"/>
      <c r="Z111" s="90"/>
      <c r="AA111" s="90"/>
      <c r="AB111" s="90"/>
    </row>
    <row r="112" spans="1:28" ht="16">
      <c r="A112" s="125"/>
      <c r="B112" s="87" t="s">
        <v>844</v>
      </c>
      <c r="C112" s="94">
        <f>C251/C243</f>
        <v>4</v>
      </c>
      <c r="D112" s="95"/>
      <c r="E112" s="96"/>
      <c r="F112" s="88" t="s">
        <v>845</v>
      </c>
      <c r="G112" s="89" t="b">
        <v>1</v>
      </c>
      <c r="H112" s="89"/>
      <c r="I112" s="90"/>
      <c r="J112" s="90"/>
      <c r="K112" s="90"/>
      <c r="L112" s="90"/>
      <c r="M112" s="90"/>
      <c r="N112" s="90"/>
      <c r="O112" s="90"/>
      <c r="P112" s="90"/>
      <c r="Q112" s="90"/>
      <c r="R112" s="90"/>
      <c r="S112" s="90"/>
      <c r="T112" s="90"/>
      <c r="U112" s="90"/>
      <c r="V112" s="90"/>
      <c r="W112" s="90"/>
      <c r="X112" s="90"/>
      <c r="Y112" s="90"/>
      <c r="Z112" s="90"/>
      <c r="AA112" s="90"/>
      <c r="AB112" s="90"/>
    </row>
    <row r="113" spans="1:28" ht="16">
      <c r="A113" s="125"/>
      <c r="B113" s="91" t="s">
        <v>846</v>
      </c>
      <c r="C113" s="97">
        <f>C108</f>
        <v>22.222222222222221</v>
      </c>
      <c r="D113" s="98"/>
      <c r="E113" s="99"/>
      <c r="F113" s="92" t="s">
        <v>847</v>
      </c>
      <c r="G113" s="93" t="b">
        <v>1</v>
      </c>
      <c r="H113" s="93"/>
      <c r="I113" s="90"/>
      <c r="J113" s="90"/>
      <c r="K113" s="90"/>
      <c r="L113" s="90"/>
      <c r="M113" s="90"/>
      <c r="N113" s="90"/>
      <c r="O113" s="90"/>
      <c r="P113" s="90"/>
      <c r="Q113" s="90"/>
      <c r="R113" s="90"/>
      <c r="S113" s="90"/>
      <c r="T113" s="90"/>
      <c r="U113" s="90"/>
      <c r="V113" s="90"/>
      <c r="W113" s="90"/>
      <c r="X113" s="90"/>
      <c r="Y113" s="90"/>
      <c r="Z113" s="90"/>
      <c r="AA113" s="90"/>
      <c r="AB113" s="90"/>
    </row>
    <row r="114" spans="1:28" ht="16">
      <c r="A114" s="125"/>
      <c r="B114" s="87" t="s">
        <v>848</v>
      </c>
      <c r="C114" s="94">
        <f>C108/C109</f>
        <v>1.3333333333333333</v>
      </c>
      <c r="D114" s="95"/>
      <c r="E114" s="96"/>
      <c r="F114" s="88"/>
      <c r="G114" s="89" t="b">
        <v>1</v>
      </c>
      <c r="H114" s="89"/>
      <c r="I114" s="90"/>
      <c r="J114" s="90"/>
      <c r="K114" s="90"/>
      <c r="L114" s="90"/>
      <c r="M114" s="90"/>
      <c r="N114" s="90"/>
      <c r="O114" s="90"/>
      <c r="P114" s="90"/>
      <c r="Q114" s="90"/>
      <c r="R114" s="90"/>
      <c r="S114" s="90"/>
      <c r="T114" s="90"/>
      <c r="U114" s="90"/>
      <c r="V114" s="90"/>
      <c r="W114" s="90"/>
      <c r="X114" s="90"/>
      <c r="Y114" s="90"/>
      <c r="Z114" s="90"/>
      <c r="AA114" s="90"/>
      <c r="AB114" s="90"/>
    </row>
    <row r="115" spans="1:28" ht="16">
      <c r="A115" s="125"/>
      <c r="B115" s="91" t="s">
        <v>849</v>
      </c>
      <c r="C115" s="97">
        <f>C114*C110</f>
        <v>26.074074074074076</v>
      </c>
      <c r="D115" s="98"/>
      <c r="E115" s="99"/>
      <c r="F115" s="92"/>
      <c r="G115" s="93" t="b">
        <v>1</v>
      </c>
      <c r="H115" s="93"/>
      <c r="I115" s="90"/>
      <c r="J115" s="90"/>
      <c r="K115" s="90"/>
      <c r="L115" s="90"/>
      <c r="M115" s="90"/>
      <c r="N115" s="90"/>
      <c r="O115" s="90"/>
      <c r="P115" s="90"/>
      <c r="Q115" s="90"/>
      <c r="R115" s="90"/>
      <c r="S115" s="90"/>
      <c r="T115" s="90"/>
      <c r="U115" s="90"/>
      <c r="V115" s="90"/>
      <c r="W115" s="90"/>
      <c r="X115" s="90"/>
      <c r="Y115" s="90"/>
      <c r="Z115" s="90"/>
      <c r="AA115" s="90"/>
      <c r="AB115" s="90"/>
    </row>
    <row r="116" spans="1:28" ht="16">
      <c r="A116" s="125"/>
      <c r="B116" s="87" t="s">
        <v>850</v>
      </c>
      <c r="C116" s="94">
        <f>C115/C112</f>
        <v>6.518518518518519</v>
      </c>
      <c r="D116" s="95"/>
      <c r="E116" s="96"/>
      <c r="F116" s="88"/>
      <c r="G116" s="89" t="b">
        <v>1</v>
      </c>
      <c r="H116" s="89"/>
      <c r="I116" s="90"/>
      <c r="J116" s="90"/>
      <c r="K116" s="90"/>
      <c r="L116" s="90"/>
      <c r="M116" s="90"/>
      <c r="N116" s="90"/>
      <c r="O116" s="90"/>
      <c r="P116" s="90"/>
      <c r="Q116" s="90"/>
      <c r="R116" s="90"/>
      <c r="S116" s="90"/>
      <c r="T116" s="90"/>
      <c r="U116" s="90"/>
      <c r="V116" s="90"/>
      <c r="W116" s="90"/>
      <c r="X116" s="90"/>
      <c r="Y116" s="90"/>
      <c r="Z116" s="90"/>
      <c r="AA116" s="90"/>
      <c r="AB116" s="90"/>
    </row>
    <row r="117" spans="1:28" ht="16">
      <c r="A117" s="125"/>
      <c r="B117" s="91" t="s">
        <v>851</v>
      </c>
      <c r="C117" s="97">
        <f>1/C109*C110</f>
        <v>1.1733333333333333</v>
      </c>
      <c r="D117" s="98"/>
      <c r="E117" s="99"/>
      <c r="F117" s="92"/>
      <c r="G117" s="93" t="b">
        <v>1</v>
      </c>
      <c r="H117" s="93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</row>
    <row r="118" spans="1:28" ht="16">
      <c r="A118" s="125"/>
      <c r="B118" s="87" t="s">
        <v>852</v>
      </c>
      <c r="C118" s="94">
        <f>C110/C111</f>
        <v>4.6340179041600846</v>
      </c>
      <c r="D118" s="95"/>
      <c r="E118" s="96"/>
      <c r="F118" s="88"/>
      <c r="G118" s="89" t="b">
        <v>1</v>
      </c>
      <c r="H118" s="89"/>
      <c r="I118" s="90"/>
      <c r="J118" s="90"/>
      <c r="K118" s="90"/>
      <c r="L118" s="90"/>
      <c r="M118" s="90"/>
      <c r="N118" s="90"/>
      <c r="O118" s="90"/>
      <c r="P118" s="90"/>
      <c r="Q118" s="90"/>
      <c r="R118" s="90"/>
      <c r="S118" s="90"/>
      <c r="T118" s="90"/>
      <c r="U118" s="90"/>
      <c r="V118" s="90"/>
      <c r="W118" s="90"/>
      <c r="X118" s="90"/>
      <c r="Y118" s="90"/>
      <c r="Z118" s="90"/>
      <c r="AA118" s="90"/>
      <c r="AB118" s="90"/>
    </row>
    <row r="119" spans="1:28" ht="16">
      <c r="A119" s="125"/>
      <c r="B119" s="91" t="s">
        <v>853</v>
      </c>
      <c r="C119" s="97">
        <f>C87/C82</f>
        <v>0.75</v>
      </c>
      <c r="D119" s="98"/>
      <c r="E119" s="99" t="s">
        <v>854</v>
      </c>
      <c r="F119" s="92" t="s">
        <v>855</v>
      </c>
      <c r="G119" s="93" t="b">
        <v>1</v>
      </c>
      <c r="H119" s="93"/>
      <c r="I119" s="90"/>
      <c r="J119" s="90"/>
      <c r="K119" s="90"/>
      <c r="L119" s="90"/>
      <c r="M119" s="90"/>
      <c r="N119" s="90"/>
      <c r="O119" s="90"/>
      <c r="P119" s="90"/>
      <c r="Q119" s="90"/>
      <c r="R119" s="90"/>
      <c r="S119" s="90"/>
      <c r="T119" s="90"/>
      <c r="U119" s="90"/>
      <c r="V119" s="90"/>
      <c r="W119" s="90"/>
      <c r="X119" s="90"/>
      <c r="Y119" s="90"/>
      <c r="Z119" s="90"/>
      <c r="AA119" s="90"/>
      <c r="AB119" s="90"/>
    </row>
    <row r="120" spans="1:28" ht="16">
      <c r="A120" s="130"/>
      <c r="B120" s="87" t="s">
        <v>856</v>
      </c>
      <c r="C120" s="94">
        <f>C99/C94</f>
        <v>1.1988636363636365</v>
      </c>
      <c r="D120" s="95"/>
      <c r="E120" s="96" t="s">
        <v>857</v>
      </c>
      <c r="F120" s="88" t="s">
        <v>858</v>
      </c>
      <c r="G120" s="89" t="b">
        <v>1</v>
      </c>
      <c r="H120" s="89"/>
      <c r="I120" s="90"/>
      <c r="J120" s="90"/>
      <c r="K120" s="90"/>
      <c r="L120" s="90"/>
      <c r="M120" s="90"/>
      <c r="N120" s="90"/>
      <c r="O120" s="90"/>
      <c r="P120" s="90"/>
      <c r="Q120" s="90"/>
      <c r="R120" s="90"/>
      <c r="S120" s="90"/>
      <c r="T120" s="90"/>
      <c r="U120" s="90"/>
      <c r="V120" s="90"/>
      <c r="W120" s="90"/>
      <c r="X120" s="90"/>
      <c r="Y120" s="90"/>
      <c r="Z120" s="90"/>
      <c r="AA120" s="90"/>
      <c r="AB120" s="90"/>
    </row>
    <row r="121" spans="1:28" ht="16">
      <c r="A121" s="128" t="s">
        <v>687</v>
      </c>
      <c r="B121" s="91" t="s">
        <v>859</v>
      </c>
      <c r="C121" s="97">
        <v>0.93</v>
      </c>
      <c r="D121" s="98" t="s">
        <v>727</v>
      </c>
      <c r="E121" s="99"/>
      <c r="F121" s="92" t="s">
        <v>860</v>
      </c>
      <c r="G121" s="93" t="b">
        <v>0</v>
      </c>
      <c r="H121" s="93"/>
      <c r="I121" s="90">
        <v>0</v>
      </c>
      <c r="J121" s="90"/>
      <c r="K121" s="90"/>
      <c r="L121" s="90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  <c r="Y121" s="90"/>
      <c r="Z121" s="90"/>
      <c r="AA121" s="90"/>
      <c r="AB121" s="90"/>
    </row>
    <row r="122" spans="1:28" ht="16">
      <c r="A122" s="125"/>
      <c r="B122" s="87" t="s">
        <v>861</v>
      </c>
      <c r="C122" s="94">
        <v>0.37</v>
      </c>
      <c r="D122" s="95" t="s">
        <v>727</v>
      </c>
      <c r="E122" s="96"/>
      <c r="F122" s="88" t="s">
        <v>862</v>
      </c>
      <c r="G122" s="89" t="b">
        <v>0</v>
      </c>
      <c r="H122" s="89"/>
      <c r="I122" s="90"/>
      <c r="J122" s="90"/>
      <c r="K122" s="90"/>
      <c r="L122" s="90"/>
      <c r="M122" s="90"/>
      <c r="N122" s="90"/>
      <c r="O122" s="90"/>
      <c r="P122" s="90"/>
      <c r="Q122" s="90"/>
      <c r="R122" s="90"/>
      <c r="S122" s="90"/>
      <c r="T122" s="90"/>
      <c r="U122" s="90"/>
      <c r="V122" s="90"/>
      <c r="W122" s="90"/>
      <c r="X122" s="90"/>
      <c r="Y122" s="90"/>
      <c r="Z122" s="90"/>
      <c r="AA122" s="90"/>
      <c r="AB122" s="90"/>
    </row>
    <row r="123" spans="1:28" ht="16">
      <c r="A123" s="125"/>
      <c r="B123" s="91" t="s">
        <v>863</v>
      </c>
      <c r="C123" s="97">
        <f>SQRT(C121^2+C122^2)</f>
        <v>1.0008995953640905</v>
      </c>
      <c r="D123" s="98" t="s">
        <v>727</v>
      </c>
      <c r="E123" s="99"/>
      <c r="F123" s="92" t="s">
        <v>864</v>
      </c>
      <c r="G123" s="93" t="b">
        <v>1</v>
      </c>
      <c r="H123" s="93"/>
      <c r="I123" s="90"/>
      <c r="J123" s="90"/>
      <c r="K123" s="90"/>
      <c r="L123" s="90"/>
      <c r="M123" s="90"/>
      <c r="N123" s="90"/>
      <c r="O123" s="90"/>
      <c r="P123" s="90"/>
      <c r="Q123" s="90"/>
      <c r="R123" s="90"/>
      <c r="S123" s="90"/>
      <c r="T123" s="90"/>
      <c r="U123" s="90"/>
      <c r="V123" s="90"/>
      <c r="W123" s="90"/>
      <c r="X123" s="90"/>
      <c r="Y123" s="90"/>
      <c r="Z123" s="90"/>
      <c r="AA123" s="90"/>
      <c r="AB123" s="90"/>
    </row>
    <row r="124" spans="1:28" ht="16">
      <c r="A124" s="125"/>
      <c r="B124" s="87" t="s">
        <v>865</v>
      </c>
      <c r="C124" s="94">
        <f>DEGREES(ASIN(C43/C44))</f>
        <v>48.753466631327235</v>
      </c>
      <c r="D124" s="95" t="s">
        <v>752</v>
      </c>
      <c r="E124" s="96"/>
      <c r="F124" s="88"/>
      <c r="G124" s="89" t="b">
        <v>1</v>
      </c>
      <c r="H124" s="89"/>
      <c r="I124" s="90"/>
      <c r="J124" s="90"/>
      <c r="K124" s="90"/>
      <c r="L124" s="90"/>
      <c r="M124" s="90"/>
      <c r="N124" s="90"/>
      <c r="O124" s="90"/>
      <c r="P124" s="90"/>
      <c r="Q124" s="90"/>
      <c r="R124" s="90"/>
      <c r="S124" s="90"/>
      <c r="T124" s="90"/>
      <c r="U124" s="90"/>
      <c r="V124" s="90"/>
      <c r="W124" s="90"/>
      <c r="X124" s="90"/>
      <c r="Y124" s="90"/>
      <c r="Z124" s="90"/>
      <c r="AA124" s="90"/>
      <c r="AB124" s="90"/>
    </row>
    <row r="125" spans="1:28" ht="16">
      <c r="A125" s="129"/>
      <c r="B125" s="91" t="s">
        <v>866</v>
      </c>
      <c r="C125" s="97">
        <f>PI()*C44^2*(PI()*(C123/2)^2)*SIN(RADIANS(C124))^2</f>
        <v>2.4718424222528297</v>
      </c>
      <c r="D125" s="98" t="s">
        <v>748</v>
      </c>
      <c r="E125" s="99"/>
      <c r="F125" s="92"/>
      <c r="G125" s="93" t="b">
        <v>1</v>
      </c>
      <c r="H125" s="93"/>
      <c r="I125" s="90"/>
      <c r="J125" s="90"/>
      <c r="K125" s="90"/>
      <c r="L125" s="90"/>
      <c r="M125" s="90"/>
      <c r="N125" s="90"/>
      <c r="O125" s="90"/>
      <c r="P125" s="90"/>
      <c r="Q125" s="90"/>
      <c r="R125" s="90"/>
      <c r="S125" s="90"/>
      <c r="T125" s="90"/>
      <c r="U125" s="90"/>
      <c r="V125" s="90"/>
      <c r="W125" s="90"/>
      <c r="X125" s="90"/>
      <c r="Y125" s="90"/>
      <c r="Z125" s="90"/>
      <c r="AA125" s="90"/>
      <c r="AB125" s="90"/>
    </row>
    <row r="126" spans="1:28" ht="16">
      <c r="A126" s="128" t="s">
        <v>867</v>
      </c>
      <c r="B126" s="87" t="s">
        <v>868</v>
      </c>
      <c r="C126" s="94">
        <f>TAN(RADIANS(C124))*C46</f>
        <v>2.2808412838015744</v>
      </c>
      <c r="D126" s="95" t="s">
        <v>727</v>
      </c>
      <c r="E126" s="96"/>
      <c r="F126" s="88"/>
      <c r="G126" s="89" t="b">
        <v>1</v>
      </c>
      <c r="H126" s="89"/>
      <c r="I126" s="90"/>
      <c r="J126" s="90"/>
      <c r="K126" s="90"/>
      <c r="L126" s="90"/>
      <c r="M126" s="90"/>
      <c r="N126" s="90"/>
      <c r="O126" s="90"/>
      <c r="P126" s="90"/>
      <c r="Q126" s="90"/>
      <c r="R126" s="90"/>
      <c r="S126" s="90"/>
      <c r="T126" s="90"/>
      <c r="U126" s="90"/>
      <c r="V126" s="90"/>
      <c r="W126" s="90"/>
      <c r="X126" s="90"/>
      <c r="Y126" s="90"/>
      <c r="Z126" s="90"/>
      <c r="AA126" s="90"/>
      <c r="AB126" s="90"/>
    </row>
    <row r="127" spans="1:28" ht="16">
      <c r="A127" s="129"/>
      <c r="B127" s="91" t="s">
        <v>869</v>
      </c>
      <c r="C127" s="97">
        <f>C126*2+C123</f>
        <v>5.5625821629672387</v>
      </c>
      <c r="D127" s="98" t="s">
        <v>727</v>
      </c>
      <c r="E127" s="99"/>
      <c r="F127" s="92"/>
      <c r="G127" s="93" t="b">
        <v>1</v>
      </c>
      <c r="H127" s="93"/>
      <c r="I127" s="90"/>
      <c r="J127" s="90"/>
      <c r="K127" s="90"/>
      <c r="L127" s="90"/>
      <c r="M127" s="90"/>
      <c r="N127" s="90"/>
      <c r="O127" s="90"/>
      <c r="P127" s="90"/>
      <c r="Q127" s="90"/>
      <c r="R127" s="90"/>
      <c r="S127" s="90"/>
      <c r="T127" s="90"/>
      <c r="U127" s="90"/>
      <c r="V127" s="90"/>
      <c r="W127" s="90"/>
      <c r="X127" s="90"/>
      <c r="Y127" s="90"/>
      <c r="Z127" s="90"/>
      <c r="AA127" s="90"/>
      <c r="AB127" s="90"/>
    </row>
    <row r="128" spans="1:28" ht="16">
      <c r="A128" s="128" t="s">
        <v>703</v>
      </c>
      <c r="B128" s="87" t="s">
        <v>870</v>
      </c>
      <c r="C128" s="94">
        <f>C51</f>
        <v>18</v>
      </c>
      <c r="D128" s="95" t="s">
        <v>727</v>
      </c>
      <c r="E128" s="96"/>
      <c r="F128" s="88" t="s">
        <v>871</v>
      </c>
      <c r="G128" s="89" t="b">
        <v>1</v>
      </c>
      <c r="H128" s="89"/>
      <c r="I128" s="90"/>
      <c r="J128" s="90"/>
      <c r="K128" s="90"/>
      <c r="L128" s="90"/>
      <c r="M128" s="90"/>
      <c r="N128" s="90"/>
      <c r="O128" s="90"/>
      <c r="P128" s="90"/>
      <c r="Q128" s="90"/>
      <c r="R128" s="90"/>
      <c r="S128" s="90"/>
      <c r="T128" s="90"/>
      <c r="U128" s="90"/>
      <c r="V128" s="90"/>
      <c r="W128" s="90"/>
      <c r="X128" s="90"/>
      <c r="Y128" s="90"/>
      <c r="Z128" s="90"/>
      <c r="AA128" s="90"/>
      <c r="AB128" s="90"/>
    </row>
    <row r="129" spans="1:28" ht="16">
      <c r="A129" s="129"/>
      <c r="B129" s="91" t="s">
        <v>872</v>
      </c>
      <c r="C129" s="97">
        <f>DEGREES(C123/2/C49)</f>
        <v>3.1859623628174578</v>
      </c>
      <c r="D129" s="98" t="s">
        <v>752</v>
      </c>
      <c r="E129" s="99" t="s">
        <v>873</v>
      </c>
      <c r="F129" s="92" t="s">
        <v>874</v>
      </c>
      <c r="G129" s="93" t="b">
        <v>1</v>
      </c>
      <c r="H129" s="93"/>
      <c r="I129" s="90"/>
      <c r="J129" s="90"/>
      <c r="K129" s="90"/>
      <c r="L129" s="90"/>
      <c r="M129" s="90"/>
      <c r="N129" s="90"/>
      <c r="O129" s="90"/>
      <c r="P129" s="90"/>
      <c r="Q129" s="90"/>
      <c r="R129" s="90"/>
      <c r="S129" s="90"/>
      <c r="T129" s="90"/>
      <c r="U129" s="90"/>
      <c r="V129" s="90"/>
      <c r="W129" s="90"/>
      <c r="X129" s="90"/>
      <c r="Y129" s="90"/>
      <c r="Z129" s="90"/>
      <c r="AA129" s="90"/>
      <c r="AB129" s="90"/>
    </row>
    <row r="130" spans="1:28" ht="16">
      <c r="A130" s="104" t="s">
        <v>875</v>
      </c>
      <c r="B130" s="87" t="s">
        <v>876</v>
      </c>
      <c r="C130" s="94">
        <v>228</v>
      </c>
      <c r="D130" s="95" t="s">
        <v>727</v>
      </c>
      <c r="E130" s="96"/>
      <c r="F130" s="88"/>
      <c r="G130" s="89" t="b">
        <v>0</v>
      </c>
      <c r="H130" s="89"/>
      <c r="I130" s="90"/>
      <c r="J130" s="90"/>
      <c r="K130" s="90"/>
      <c r="L130" s="90"/>
      <c r="M130" s="90"/>
      <c r="N130" s="90"/>
      <c r="O130" s="90"/>
      <c r="P130" s="90"/>
      <c r="Q130" s="90"/>
      <c r="R130" s="90"/>
      <c r="S130" s="90"/>
      <c r="T130" s="90"/>
      <c r="U130" s="90"/>
      <c r="V130" s="90"/>
      <c r="W130" s="90"/>
      <c r="X130" s="90"/>
      <c r="Y130" s="90"/>
      <c r="Z130" s="90"/>
      <c r="AA130" s="90"/>
      <c r="AB130" s="90"/>
    </row>
    <row r="131" spans="1:28" ht="16">
      <c r="A131" s="128" t="s">
        <v>877</v>
      </c>
      <c r="B131" s="91" t="s">
        <v>878</v>
      </c>
      <c r="C131" s="97">
        <f>TAN(RADIANS(C129))*C130</f>
        <v>12.691144473440396</v>
      </c>
      <c r="D131" s="98" t="s">
        <v>727</v>
      </c>
      <c r="E131" s="99" t="s">
        <v>879</v>
      </c>
      <c r="F131" s="92" t="s">
        <v>880</v>
      </c>
      <c r="G131" s="93" t="b">
        <v>1</v>
      </c>
      <c r="H131" s="93"/>
      <c r="I131" s="90"/>
      <c r="J131" s="90"/>
      <c r="K131" s="90"/>
      <c r="L131" s="90"/>
      <c r="M131" s="90"/>
      <c r="N131" s="90"/>
      <c r="O131" s="90"/>
      <c r="P131" s="90"/>
      <c r="Q131" s="90"/>
      <c r="R131" s="90"/>
      <c r="S131" s="90"/>
      <c r="T131" s="90"/>
      <c r="U131" s="90"/>
      <c r="V131" s="90"/>
      <c r="W131" s="90"/>
      <c r="X131" s="90"/>
      <c r="Y131" s="90"/>
      <c r="Z131" s="90"/>
      <c r="AA131" s="90"/>
      <c r="AB131" s="90"/>
    </row>
    <row r="132" spans="1:28" ht="16">
      <c r="A132" s="130"/>
      <c r="B132" s="87" t="s">
        <v>881</v>
      </c>
      <c r="C132" s="94">
        <f>C128+(2*C131)</f>
        <v>43.382288946880792</v>
      </c>
      <c r="D132" s="95" t="s">
        <v>727</v>
      </c>
      <c r="E132" s="96" t="s">
        <v>882</v>
      </c>
      <c r="F132" s="88" t="s">
        <v>883</v>
      </c>
      <c r="G132" s="89" t="b">
        <v>1</v>
      </c>
      <c r="H132" s="89"/>
      <c r="I132" s="90"/>
      <c r="J132" s="90"/>
      <c r="K132" s="90"/>
      <c r="L132" s="90"/>
      <c r="M132" s="90"/>
      <c r="N132" s="90"/>
      <c r="O132" s="90"/>
      <c r="P132" s="90"/>
      <c r="Q132" s="90"/>
      <c r="R132" s="90"/>
      <c r="S132" s="90"/>
      <c r="T132" s="90"/>
      <c r="U132" s="90"/>
      <c r="V132" s="90"/>
      <c r="W132" s="90"/>
      <c r="X132" s="90"/>
      <c r="Y132" s="90"/>
      <c r="Z132" s="90"/>
      <c r="AA132" s="90"/>
      <c r="AB132" s="90"/>
    </row>
    <row r="133" spans="1:28" ht="16">
      <c r="A133" s="128" t="s">
        <v>884</v>
      </c>
      <c r="B133" s="91" t="s">
        <v>885</v>
      </c>
      <c r="C133" s="97">
        <f>TAN(RADIANS(C140))*C83</f>
        <v>6.819908656794917</v>
      </c>
      <c r="D133" s="98" t="s">
        <v>727</v>
      </c>
      <c r="E133" s="99"/>
      <c r="F133" s="92"/>
      <c r="G133" s="93" t="b">
        <v>1</v>
      </c>
      <c r="H133" s="93"/>
      <c r="I133" s="90"/>
      <c r="J133" s="90"/>
      <c r="K133" s="90"/>
      <c r="L133" s="90"/>
      <c r="M133" s="90"/>
      <c r="N133" s="90"/>
      <c r="O133" s="90"/>
      <c r="P133" s="90"/>
      <c r="Q133" s="90"/>
      <c r="R133" s="90"/>
      <c r="S133" s="90"/>
      <c r="T133" s="90"/>
      <c r="U133" s="90"/>
      <c r="V133" s="90"/>
      <c r="W133" s="90"/>
      <c r="X133" s="90"/>
      <c r="Y133" s="90"/>
      <c r="Z133" s="90"/>
      <c r="AA133" s="90"/>
      <c r="AB133" s="90"/>
    </row>
    <row r="134" spans="1:28" ht="16">
      <c r="A134" s="130"/>
      <c r="B134" s="87" t="s">
        <v>886</v>
      </c>
      <c r="C134" s="94">
        <f>C129+C133*2</f>
        <v>16.825779676407294</v>
      </c>
      <c r="D134" s="95" t="s">
        <v>727</v>
      </c>
      <c r="E134" s="96"/>
      <c r="F134" s="88"/>
      <c r="G134" s="89" t="b">
        <v>1</v>
      </c>
      <c r="H134" s="89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  <c r="Y134" s="90"/>
      <c r="Z134" s="90"/>
      <c r="AA134" s="90"/>
      <c r="AB134" s="90"/>
    </row>
    <row r="135" spans="1:28" ht="16">
      <c r="A135" s="128" t="s">
        <v>689</v>
      </c>
      <c r="B135" s="91" t="s">
        <v>887</v>
      </c>
      <c r="C135" s="97">
        <f>C113</f>
        <v>22.222222222222221</v>
      </c>
      <c r="D135" s="98"/>
      <c r="E135" s="99"/>
      <c r="F135" s="92" t="s">
        <v>888</v>
      </c>
      <c r="G135" s="93" t="b">
        <v>1</v>
      </c>
      <c r="H135" s="93"/>
      <c r="I135" s="90"/>
      <c r="J135" s="90"/>
      <c r="K135" s="90"/>
      <c r="L135" s="90"/>
      <c r="M135" s="90"/>
      <c r="N135" s="90"/>
      <c r="O135" s="90"/>
      <c r="P135" s="90"/>
      <c r="Q135" s="90"/>
      <c r="R135" s="90"/>
      <c r="S135" s="90"/>
      <c r="T135" s="90"/>
      <c r="U135" s="90"/>
      <c r="V135" s="90"/>
      <c r="W135" s="90"/>
      <c r="X135" s="90"/>
      <c r="Y135" s="90"/>
      <c r="Z135" s="90"/>
      <c r="AA135" s="90"/>
      <c r="AB135" s="90"/>
    </row>
    <row r="136" spans="1:28" ht="16">
      <c r="A136" s="125"/>
      <c r="B136" s="87" t="s">
        <v>889</v>
      </c>
      <c r="C136" s="94">
        <f>C121*C135</f>
        <v>20.666666666666668</v>
      </c>
      <c r="D136" s="95" t="s">
        <v>727</v>
      </c>
      <c r="E136" s="96"/>
      <c r="F136" s="88"/>
      <c r="G136" s="89" t="b">
        <v>1</v>
      </c>
      <c r="H136" s="89"/>
      <c r="I136" s="90"/>
      <c r="J136" s="90"/>
      <c r="K136" s="90"/>
      <c r="L136" s="90"/>
      <c r="M136" s="90"/>
      <c r="N136" s="90"/>
      <c r="O136" s="90"/>
      <c r="P136" s="90"/>
      <c r="Q136" s="90"/>
      <c r="R136" s="90"/>
      <c r="S136" s="90"/>
      <c r="T136" s="90"/>
      <c r="U136" s="90"/>
      <c r="V136" s="90"/>
      <c r="W136" s="90"/>
      <c r="X136" s="90"/>
      <c r="Y136" s="90"/>
      <c r="Z136" s="90"/>
      <c r="AA136" s="90"/>
      <c r="AB136" s="90"/>
    </row>
    <row r="137" spans="1:28" ht="16">
      <c r="A137" s="125"/>
      <c r="B137" s="91" t="s">
        <v>890</v>
      </c>
      <c r="C137" s="97">
        <f>C122*C135</f>
        <v>8.2222222222222214</v>
      </c>
      <c r="D137" s="98" t="s">
        <v>727</v>
      </c>
      <c r="E137" s="99"/>
      <c r="F137" s="92"/>
      <c r="G137" s="93" t="b">
        <v>1</v>
      </c>
      <c r="H137" s="93"/>
      <c r="I137" s="90"/>
      <c r="J137" s="90"/>
      <c r="K137" s="90"/>
      <c r="L137" s="90"/>
      <c r="M137" s="90"/>
      <c r="N137" s="90"/>
      <c r="O137" s="90"/>
      <c r="P137" s="90"/>
      <c r="Q137" s="90"/>
      <c r="R137" s="90"/>
      <c r="S137" s="90"/>
      <c r="T137" s="90"/>
      <c r="U137" s="90"/>
      <c r="V137" s="90"/>
      <c r="W137" s="90"/>
      <c r="X137" s="90"/>
      <c r="Y137" s="90"/>
      <c r="Z137" s="90"/>
      <c r="AA137" s="90"/>
      <c r="AB137" s="90"/>
    </row>
    <row r="138" spans="1:28" ht="16">
      <c r="A138" s="125"/>
      <c r="B138" s="87" t="s">
        <v>891</v>
      </c>
      <c r="C138" s="94">
        <f>SQRT(C136^2+C137^2)</f>
        <v>22.242213230313123</v>
      </c>
      <c r="D138" s="95" t="s">
        <v>727</v>
      </c>
      <c r="E138" s="96"/>
      <c r="F138" s="88"/>
      <c r="G138" s="89" t="b">
        <v>1</v>
      </c>
      <c r="H138" s="89"/>
      <c r="I138" s="90"/>
      <c r="J138" s="90"/>
      <c r="K138" s="90"/>
      <c r="L138" s="90"/>
      <c r="M138" s="90"/>
      <c r="N138" s="90"/>
      <c r="O138" s="90"/>
      <c r="P138" s="90"/>
      <c r="Q138" s="90"/>
      <c r="R138" s="90"/>
      <c r="S138" s="90"/>
      <c r="T138" s="90"/>
      <c r="U138" s="90"/>
      <c r="V138" s="90"/>
      <c r="W138" s="90"/>
      <c r="X138" s="90"/>
      <c r="Y138" s="90"/>
      <c r="Z138" s="90"/>
      <c r="AA138" s="90"/>
      <c r="AB138" s="90"/>
    </row>
    <row r="139" spans="1:28" ht="16">
      <c r="A139" s="125"/>
      <c r="B139" s="91" t="s">
        <v>892</v>
      </c>
      <c r="C139" s="97">
        <f>C125</f>
        <v>2.4718424222528297</v>
      </c>
      <c r="D139" s="98" t="s">
        <v>748</v>
      </c>
      <c r="E139" s="99"/>
      <c r="F139" s="92"/>
      <c r="G139" s="93" t="b">
        <v>1</v>
      </c>
      <c r="H139" s="93"/>
      <c r="I139" s="90"/>
      <c r="J139" s="90"/>
      <c r="K139" s="90"/>
      <c r="L139" s="90"/>
      <c r="M139" s="90"/>
      <c r="N139" s="90"/>
      <c r="O139" s="90"/>
      <c r="P139" s="90"/>
      <c r="Q139" s="90"/>
      <c r="R139" s="90"/>
      <c r="S139" s="90"/>
      <c r="T139" s="90"/>
      <c r="U139" s="90"/>
      <c r="V139" s="90"/>
      <c r="W139" s="90"/>
      <c r="X139" s="90"/>
      <c r="Y139" s="90"/>
      <c r="Z139" s="90"/>
      <c r="AA139" s="90"/>
      <c r="AB139" s="90"/>
    </row>
    <row r="140" spans="1:28" ht="16">
      <c r="A140" s="130"/>
      <c r="B140" s="87" t="s">
        <v>893</v>
      </c>
      <c r="C140" s="94">
        <f>DEGREES(ASIN(SQRT(C139/PI()/(PI()*(C138/2)^2))))</f>
        <v>2.5791810516483755</v>
      </c>
      <c r="D140" s="95" t="s">
        <v>752</v>
      </c>
      <c r="E140" s="96"/>
      <c r="F140" s="88"/>
      <c r="G140" s="89" t="b">
        <v>1</v>
      </c>
      <c r="H140" s="89"/>
      <c r="I140" s="90"/>
      <c r="J140" s="90"/>
      <c r="K140" s="90"/>
      <c r="L140" s="90"/>
      <c r="M140" s="90"/>
      <c r="N140" s="90"/>
      <c r="O140" s="90"/>
      <c r="P140" s="90"/>
      <c r="Q140" s="90"/>
      <c r="R140" s="90"/>
      <c r="S140" s="90"/>
      <c r="T140" s="90"/>
      <c r="U140" s="90"/>
      <c r="V140" s="90"/>
      <c r="W140" s="90"/>
      <c r="X140" s="90"/>
      <c r="Y140" s="90"/>
      <c r="Z140" s="90"/>
      <c r="AA140" s="90"/>
      <c r="AB140" s="90"/>
    </row>
    <row r="141" spans="1:28" ht="16">
      <c r="A141" s="128" t="s">
        <v>894</v>
      </c>
      <c r="B141" s="91" t="s">
        <v>885</v>
      </c>
      <c r="C141" s="97">
        <f>TAN(RADIANS(C140))*C88</f>
        <v>3.4381528939136641</v>
      </c>
      <c r="D141" s="98" t="s">
        <v>727</v>
      </c>
      <c r="E141" s="99"/>
      <c r="F141" s="92"/>
      <c r="G141" s="93" t="b">
        <v>1</v>
      </c>
      <c r="H141" s="93"/>
      <c r="I141" s="90"/>
      <c r="J141" s="90"/>
      <c r="K141" s="90"/>
      <c r="L141" s="90"/>
      <c r="M141" s="90"/>
      <c r="N141" s="90"/>
      <c r="O141" s="90"/>
      <c r="P141" s="90"/>
      <c r="Q141" s="90"/>
      <c r="R141" s="90"/>
      <c r="S141" s="90"/>
      <c r="T141" s="90"/>
      <c r="U141" s="90"/>
      <c r="V141" s="90"/>
      <c r="W141" s="90"/>
      <c r="X141" s="90"/>
      <c r="Y141" s="90"/>
      <c r="Z141" s="90"/>
      <c r="AA141" s="90"/>
      <c r="AB141" s="90"/>
    </row>
    <row r="142" spans="1:28" ht="16">
      <c r="A142" s="130"/>
      <c r="B142" s="87" t="s">
        <v>886</v>
      </c>
      <c r="C142" s="94">
        <f>C138+C141*2</f>
        <v>29.11851901814045</v>
      </c>
      <c r="D142" s="95" t="s">
        <v>727</v>
      </c>
      <c r="E142" s="96"/>
      <c r="F142" s="88"/>
      <c r="G142" s="89" t="b">
        <v>1</v>
      </c>
      <c r="H142" s="89"/>
      <c r="I142" s="90"/>
      <c r="J142" s="90"/>
      <c r="K142" s="90"/>
      <c r="L142" s="90"/>
      <c r="M142" s="90"/>
      <c r="N142" s="90"/>
      <c r="O142" s="90"/>
      <c r="P142" s="90"/>
      <c r="Q142" s="90"/>
      <c r="R142" s="90"/>
      <c r="S142" s="90"/>
      <c r="T142" s="90"/>
      <c r="U142" s="90"/>
      <c r="V142" s="90"/>
      <c r="W142" s="90"/>
      <c r="X142" s="90"/>
      <c r="Y142" s="90"/>
      <c r="Z142" s="90"/>
      <c r="AA142" s="90"/>
      <c r="AB142" s="90"/>
    </row>
    <row r="143" spans="1:28" ht="16">
      <c r="A143" s="128" t="s">
        <v>895</v>
      </c>
      <c r="B143" s="91" t="s">
        <v>896</v>
      </c>
      <c r="C143" s="97">
        <f>TAN(RADIANS(C149))*C91</f>
        <v>12.329958227124051</v>
      </c>
      <c r="D143" s="98" t="s">
        <v>727</v>
      </c>
      <c r="E143" s="99"/>
      <c r="F143" s="92"/>
      <c r="G143" s="93" t="b">
        <v>1</v>
      </c>
      <c r="H143" s="93"/>
      <c r="I143" s="90"/>
      <c r="J143" s="90"/>
      <c r="K143" s="90"/>
      <c r="L143" s="90"/>
      <c r="M143" s="90"/>
      <c r="N143" s="90"/>
      <c r="O143" s="90"/>
      <c r="P143" s="90"/>
      <c r="Q143" s="90"/>
      <c r="R143" s="90"/>
      <c r="S143" s="90"/>
      <c r="T143" s="90"/>
      <c r="U143" s="90"/>
      <c r="V143" s="90"/>
      <c r="W143" s="90"/>
      <c r="X143" s="90"/>
      <c r="Y143" s="90"/>
      <c r="Z143" s="90"/>
      <c r="AA143" s="90"/>
      <c r="AB143" s="90"/>
    </row>
    <row r="144" spans="1:28" ht="16">
      <c r="A144" s="125"/>
      <c r="B144" s="87" t="s">
        <v>897</v>
      </c>
      <c r="C144" s="94">
        <f>C143*2+C145</f>
        <v>38.159916454248105</v>
      </c>
      <c r="D144" s="95" t="s">
        <v>727</v>
      </c>
      <c r="E144" s="96"/>
      <c r="F144" s="88"/>
      <c r="G144" s="89" t="b">
        <v>1</v>
      </c>
      <c r="H144" s="89"/>
      <c r="I144" s="90"/>
      <c r="J144" s="90"/>
      <c r="K144" s="90"/>
      <c r="L144" s="90"/>
      <c r="M144" s="90"/>
      <c r="N144" s="90"/>
      <c r="O144" s="90"/>
      <c r="P144" s="90"/>
      <c r="Q144" s="90"/>
      <c r="R144" s="90"/>
      <c r="S144" s="90"/>
      <c r="T144" s="90"/>
      <c r="U144" s="90"/>
      <c r="V144" s="90"/>
      <c r="W144" s="90"/>
      <c r="X144" s="90"/>
      <c r="Y144" s="90"/>
      <c r="Z144" s="90"/>
      <c r="AA144" s="90"/>
      <c r="AB144" s="90"/>
    </row>
    <row r="145" spans="1:28" ht="16">
      <c r="A145" s="125"/>
      <c r="B145" s="91" t="s">
        <v>898</v>
      </c>
      <c r="C145" s="97">
        <f>C119*C128</f>
        <v>13.5</v>
      </c>
      <c r="D145" s="98" t="s">
        <v>727</v>
      </c>
      <c r="E145" s="99"/>
      <c r="F145" s="92"/>
      <c r="G145" s="93" t="b">
        <v>1</v>
      </c>
      <c r="H145" s="93"/>
      <c r="I145" s="90"/>
      <c r="J145" s="90"/>
      <c r="K145" s="90"/>
      <c r="L145" s="90"/>
      <c r="M145" s="90"/>
      <c r="N145" s="90"/>
      <c r="O145" s="90"/>
      <c r="P145" s="90"/>
      <c r="Q145" s="90"/>
      <c r="R145" s="90"/>
      <c r="S145" s="90"/>
      <c r="T145" s="90"/>
      <c r="U145" s="90"/>
      <c r="V145" s="90"/>
      <c r="W145" s="90"/>
      <c r="X145" s="90"/>
      <c r="Y145" s="90"/>
      <c r="Z145" s="90"/>
      <c r="AA145" s="90"/>
      <c r="AB145" s="90"/>
    </row>
    <row r="146" spans="1:28" ht="16">
      <c r="A146" s="104" t="s">
        <v>875</v>
      </c>
      <c r="B146" s="87" t="s">
        <v>903</v>
      </c>
      <c r="C146" s="94">
        <v>166</v>
      </c>
      <c r="D146" s="95" t="s">
        <v>727</v>
      </c>
      <c r="E146" s="96"/>
      <c r="F146" s="88" t="s">
        <v>904</v>
      </c>
      <c r="G146" s="89" t="b">
        <v>0</v>
      </c>
      <c r="H146" s="89"/>
      <c r="I146" s="90"/>
      <c r="J146" s="90"/>
      <c r="K146" s="90"/>
      <c r="L146" s="90"/>
      <c r="M146" s="90"/>
      <c r="N146" s="90"/>
      <c r="O146" s="90"/>
      <c r="P146" s="90"/>
      <c r="Q146" s="90"/>
      <c r="R146" s="90"/>
      <c r="S146" s="90"/>
      <c r="T146" s="90"/>
      <c r="U146" s="90"/>
      <c r="V146" s="90"/>
      <c r="W146" s="90"/>
      <c r="X146" s="90"/>
      <c r="Y146" s="90"/>
      <c r="Z146" s="90"/>
      <c r="AA146" s="90"/>
      <c r="AB146" s="90"/>
    </row>
    <row r="147" spans="1:28" ht="16">
      <c r="A147" s="128" t="s">
        <v>905</v>
      </c>
      <c r="B147" s="91" t="s">
        <v>906</v>
      </c>
      <c r="C147" s="97">
        <f>TAN(RADIANS(C149))*ABS(C146-C91)</f>
        <v>0</v>
      </c>
      <c r="D147" s="98"/>
      <c r="E147" s="99"/>
      <c r="F147" s="92"/>
      <c r="G147" s="93" t="b">
        <v>1</v>
      </c>
      <c r="H147" s="93"/>
      <c r="I147" s="90"/>
      <c r="J147" s="90"/>
      <c r="K147" s="90"/>
      <c r="L147" s="90"/>
      <c r="M147" s="90"/>
      <c r="N147" s="90"/>
      <c r="O147" s="90"/>
      <c r="P147" s="90"/>
      <c r="Q147" s="90"/>
      <c r="R147" s="90"/>
      <c r="S147" s="90"/>
      <c r="T147" s="90"/>
      <c r="U147" s="90"/>
      <c r="V147" s="90"/>
      <c r="W147" s="90"/>
      <c r="X147" s="90"/>
      <c r="Y147" s="90"/>
      <c r="Z147" s="90"/>
      <c r="AA147" s="90"/>
      <c r="AB147" s="90"/>
    </row>
    <row r="148" spans="1:28" ht="16">
      <c r="A148" s="125"/>
      <c r="B148" s="87" t="s">
        <v>907</v>
      </c>
      <c r="C148" s="94">
        <f>C147*2+C145</f>
        <v>13.5</v>
      </c>
      <c r="D148" s="95" t="s">
        <v>727</v>
      </c>
      <c r="E148" s="96"/>
      <c r="F148" s="88"/>
      <c r="G148" s="89" t="b">
        <v>1</v>
      </c>
      <c r="H148" s="89"/>
      <c r="I148" s="90"/>
      <c r="J148" s="90"/>
      <c r="K148" s="90"/>
      <c r="L148" s="90"/>
      <c r="M148" s="90"/>
      <c r="N148" s="90"/>
      <c r="O148" s="90"/>
      <c r="P148" s="90"/>
      <c r="Q148" s="90"/>
      <c r="R148" s="90"/>
      <c r="S148" s="90"/>
      <c r="T148" s="90"/>
      <c r="U148" s="90"/>
      <c r="V148" s="90"/>
      <c r="W148" s="90"/>
      <c r="X148" s="90"/>
      <c r="Y148" s="90"/>
      <c r="Z148" s="90"/>
      <c r="AA148" s="90"/>
      <c r="AB148" s="90"/>
    </row>
    <row r="149" spans="1:28" ht="16">
      <c r="A149" s="129"/>
      <c r="B149" s="91" t="s">
        <v>908</v>
      </c>
      <c r="C149" s="97">
        <f>DEGREES(C138/2/C87)</f>
        <v>4.2479498170899443</v>
      </c>
      <c r="D149" s="98" t="s">
        <v>752</v>
      </c>
      <c r="E149" s="99"/>
      <c r="F149" s="92"/>
      <c r="G149" s="93" t="b">
        <v>1</v>
      </c>
      <c r="H149" s="93"/>
      <c r="I149" s="90"/>
      <c r="J149" s="90"/>
      <c r="K149" s="90"/>
      <c r="L149" s="90"/>
      <c r="M149" s="90"/>
      <c r="N149" s="90"/>
      <c r="O149" s="90"/>
      <c r="P149" s="90"/>
      <c r="Q149" s="90"/>
      <c r="R149" s="90"/>
      <c r="S149" s="90"/>
      <c r="T149" s="90"/>
      <c r="U149" s="90"/>
      <c r="V149" s="90"/>
      <c r="W149" s="90"/>
      <c r="X149" s="90"/>
      <c r="Y149" s="90"/>
      <c r="Z149" s="90"/>
      <c r="AA149" s="90"/>
      <c r="AB149" s="90"/>
    </row>
    <row r="150" spans="1:28" ht="16">
      <c r="A150" s="128" t="s">
        <v>909</v>
      </c>
      <c r="B150" s="87" t="s">
        <v>910</v>
      </c>
      <c r="C150" s="94">
        <f>TAN(RADIANS(C158))*C60</f>
        <v>0.69167498560688578</v>
      </c>
      <c r="D150" s="95" t="s">
        <v>727</v>
      </c>
      <c r="E150" s="96"/>
      <c r="F150" s="88"/>
      <c r="G150" s="89" t="b">
        <v>1</v>
      </c>
      <c r="H150" s="89"/>
      <c r="I150" s="90"/>
      <c r="J150" s="90"/>
      <c r="K150" s="90"/>
      <c r="L150" s="90"/>
      <c r="M150" s="90"/>
      <c r="N150" s="90"/>
      <c r="O150" s="90"/>
      <c r="P150" s="90"/>
      <c r="Q150" s="90"/>
      <c r="R150" s="90"/>
      <c r="S150" s="90"/>
      <c r="T150" s="90"/>
      <c r="U150" s="90"/>
      <c r="V150" s="90"/>
      <c r="W150" s="90"/>
      <c r="X150" s="90"/>
      <c r="Y150" s="90"/>
      <c r="Z150" s="90"/>
      <c r="AA150" s="90"/>
      <c r="AB150" s="90"/>
    </row>
    <row r="151" spans="1:28" ht="16">
      <c r="A151" s="129"/>
      <c r="B151" s="91" t="s">
        <v>911</v>
      </c>
      <c r="C151" s="97">
        <f>C155+2*C150</f>
        <v>2.7178827650325585</v>
      </c>
      <c r="D151" s="98" t="s">
        <v>727</v>
      </c>
      <c r="E151" s="99"/>
      <c r="F151" s="92"/>
      <c r="G151" s="93" t="b">
        <v>1</v>
      </c>
      <c r="H151" s="93"/>
      <c r="I151" s="90"/>
      <c r="J151" s="90"/>
      <c r="K151" s="90"/>
      <c r="L151" s="90"/>
      <c r="M151" s="90"/>
      <c r="N151" s="90"/>
      <c r="O151" s="90"/>
      <c r="P151" s="90"/>
      <c r="Q151" s="90"/>
      <c r="R151" s="90"/>
      <c r="S151" s="90"/>
      <c r="T151" s="90"/>
      <c r="U151" s="90"/>
      <c r="V151" s="90"/>
      <c r="W151" s="90"/>
      <c r="X151" s="90"/>
      <c r="Y151" s="90"/>
      <c r="Z151" s="90"/>
      <c r="AA151" s="90"/>
      <c r="AB151" s="90"/>
    </row>
    <row r="152" spans="1:28" ht="16">
      <c r="A152" s="128" t="s">
        <v>691</v>
      </c>
      <c r="B152" s="87" t="s">
        <v>912</v>
      </c>
      <c r="C152" s="94">
        <f>C114</f>
        <v>1.3333333333333333</v>
      </c>
      <c r="D152" s="95"/>
      <c r="E152" s="96"/>
      <c r="F152" s="88"/>
      <c r="G152" s="89" t="b">
        <v>1</v>
      </c>
      <c r="H152" s="89"/>
      <c r="I152" s="90"/>
      <c r="J152" s="90"/>
      <c r="K152" s="90"/>
      <c r="L152" s="90"/>
      <c r="M152" s="90"/>
      <c r="N152" s="90"/>
      <c r="O152" s="90"/>
      <c r="P152" s="90"/>
      <c r="Q152" s="90"/>
      <c r="R152" s="90"/>
      <c r="S152" s="90"/>
      <c r="T152" s="90"/>
      <c r="U152" s="90"/>
      <c r="V152" s="90"/>
      <c r="W152" s="90"/>
      <c r="X152" s="90"/>
      <c r="Y152" s="90"/>
      <c r="Z152" s="90"/>
      <c r="AA152" s="90"/>
      <c r="AB152" s="90"/>
    </row>
    <row r="153" spans="1:28" ht="16">
      <c r="A153" s="125"/>
      <c r="B153" s="91" t="s">
        <v>913</v>
      </c>
      <c r="C153" s="97">
        <f>C121*C152</f>
        <v>1.24</v>
      </c>
      <c r="D153" s="98" t="s">
        <v>727</v>
      </c>
      <c r="E153" s="99"/>
      <c r="F153" s="92"/>
      <c r="G153" s="93" t="b">
        <v>1</v>
      </c>
      <c r="H153" s="93"/>
      <c r="I153" s="90"/>
      <c r="J153" s="90"/>
      <c r="K153" s="90"/>
      <c r="L153" s="90"/>
      <c r="M153" s="90"/>
      <c r="N153" s="90"/>
      <c r="O153" s="90"/>
      <c r="P153" s="90"/>
      <c r="Q153" s="90"/>
      <c r="R153" s="90"/>
      <c r="S153" s="90"/>
      <c r="T153" s="90"/>
      <c r="U153" s="90"/>
      <c r="V153" s="90"/>
      <c r="W153" s="90"/>
      <c r="X153" s="90"/>
      <c r="Y153" s="90"/>
      <c r="Z153" s="90"/>
      <c r="AA153" s="90"/>
      <c r="AB153" s="90"/>
    </row>
    <row r="154" spans="1:28" ht="16">
      <c r="A154" s="125"/>
      <c r="B154" s="87" t="s">
        <v>914</v>
      </c>
      <c r="C154" s="94">
        <f>C122*C152</f>
        <v>0.49333333333333329</v>
      </c>
      <c r="D154" s="95" t="s">
        <v>727</v>
      </c>
      <c r="E154" s="96"/>
      <c r="F154" s="88"/>
      <c r="G154" s="89" t="b">
        <v>1</v>
      </c>
      <c r="H154" s="89"/>
      <c r="I154" s="90"/>
      <c r="J154" s="90"/>
      <c r="K154" s="90"/>
      <c r="L154" s="90"/>
      <c r="M154" s="90"/>
      <c r="N154" s="90"/>
      <c r="O154" s="90"/>
      <c r="P154" s="90"/>
      <c r="Q154" s="90"/>
      <c r="R154" s="90"/>
      <c r="S154" s="90"/>
      <c r="T154" s="90"/>
      <c r="U154" s="90"/>
      <c r="V154" s="90"/>
      <c r="W154" s="90"/>
      <c r="X154" s="90"/>
      <c r="Y154" s="90"/>
      <c r="Z154" s="90"/>
      <c r="AA154" s="90"/>
      <c r="AB154" s="90"/>
    </row>
    <row r="155" spans="1:28" ht="16">
      <c r="A155" s="125"/>
      <c r="B155" s="91" t="s">
        <v>915</v>
      </c>
      <c r="C155" s="97">
        <f>SQRT(C154^2+C153^2)</f>
        <v>1.3345327938187872</v>
      </c>
      <c r="D155" s="98" t="s">
        <v>727</v>
      </c>
      <c r="E155" s="99"/>
      <c r="F155" s="92"/>
      <c r="G155" s="93" t="b">
        <v>1</v>
      </c>
      <c r="H155" s="93"/>
      <c r="I155" s="90"/>
      <c r="J155" s="90"/>
      <c r="K155" s="90"/>
      <c r="L155" s="90"/>
      <c r="M155" s="90"/>
      <c r="N155" s="90"/>
      <c r="O155" s="90"/>
      <c r="P155" s="90"/>
      <c r="Q155" s="90"/>
      <c r="R155" s="90"/>
      <c r="S155" s="90"/>
      <c r="T155" s="90"/>
      <c r="U155" s="90"/>
      <c r="V155" s="90"/>
      <c r="W155" s="90"/>
      <c r="X155" s="90"/>
      <c r="Y155" s="90"/>
      <c r="Z155" s="90"/>
      <c r="AA155" s="90"/>
      <c r="AB155" s="90"/>
    </row>
    <row r="156" spans="1:28" ht="16">
      <c r="A156" s="125"/>
      <c r="B156" s="87" t="s">
        <v>916</v>
      </c>
      <c r="C156" s="94">
        <f>C49*RADIANS(C149)*2</f>
        <v>1.3345327938187876</v>
      </c>
      <c r="D156" s="95" t="s">
        <v>727</v>
      </c>
      <c r="E156" s="96"/>
      <c r="F156" s="88" t="s">
        <v>917</v>
      </c>
      <c r="G156" s="89" t="b">
        <v>1</v>
      </c>
      <c r="H156" s="89"/>
      <c r="I156" s="90"/>
      <c r="J156" s="90"/>
      <c r="K156" s="90"/>
      <c r="L156" s="90"/>
      <c r="M156" s="90"/>
      <c r="N156" s="90"/>
      <c r="O156" s="90"/>
      <c r="P156" s="90"/>
      <c r="Q156" s="90"/>
      <c r="R156" s="90"/>
      <c r="S156" s="90"/>
      <c r="T156" s="90"/>
      <c r="U156" s="90"/>
      <c r="V156" s="90"/>
      <c r="W156" s="90"/>
      <c r="X156" s="90"/>
      <c r="Y156" s="90"/>
      <c r="Z156" s="90"/>
      <c r="AA156" s="90"/>
      <c r="AB156" s="90"/>
    </row>
    <row r="157" spans="1:28" ht="16">
      <c r="A157" s="125"/>
      <c r="B157" s="91" t="s">
        <v>918</v>
      </c>
      <c r="C157" s="97">
        <f>C125</f>
        <v>2.4718424222528297</v>
      </c>
      <c r="D157" s="98" t="s">
        <v>748</v>
      </c>
      <c r="E157" s="99"/>
      <c r="F157" s="92"/>
      <c r="G157" s="93" t="b">
        <v>1</v>
      </c>
      <c r="H157" s="93"/>
      <c r="I157" s="90"/>
      <c r="J157" s="90"/>
      <c r="K157" s="90"/>
      <c r="L157" s="90"/>
      <c r="M157" s="90"/>
      <c r="N157" s="90"/>
      <c r="O157" s="90"/>
      <c r="P157" s="90"/>
      <c r="Q157" s="90"/>
      <c r="R157" s="90"/>
      <c r="S157" s="90"/>
      <c r="T157" s="90"/>
      <c r="U157" s="90"/>
      <c r="V157" s="90"/>
      <c r="W157" s="90"/>
      <c r="X157" s="90"/>
      <c r="Y157" s="90"/>
      <c r="Z157" s="90"/>
      <c r="AA157" s="90"/>
      <c r="AB157" s="90"/>
    </row>
    <row r="158" spans="1:28" ht="16">
      <c r="A158" s="130"/>
      <c r="B158" s="87" t="s">
        <v>919</v>
      </c>
      <c r="C158" s="94">
        <f>DEGREES(ASIN(SQRT(C157/PI()/(PI()*(C155/2)^2))))</f>
        <v>48.590377890729144</v>
      </c>
      <c r="D158" s="95" t="s">
        <v>752</v>
      </c>
      <c r="E158" s="96"/>
      <c r="F158" s="88"/>
      <c r="G158" s="89" t="b">
        <v>1</v>
      </c>
      <c r="H158" s="89"/>
      <c r="I158" s="90"/>
      <c r="J158" s="90"/>
      <c r="K158" s="90"/>
      <c r="L158" s="90"/>
      <c r="M158" s="90"/>
      <c r="N158" s="90"/>
      <c r="O158" s="90"/>
      <c r="P158" s="90"/>
      <c r="Q158" s="90"/>
      <c r="R158" s="90"/>
      <c r="S158" s="90"/>
      <c r="T158" s="90"/>
      <c r="U158" s="90"/>
      <c r="V158" s="90"/>
      <c r="W158" s="90"/>
      <c r="X158" s="90"/>
      <c r="Y158" s="90"/>
      <c r="Z158" s="90"/>
      <c r="AA158" s="90"/>
      <c r="AB158" s="90"/>
    </row>
    <row r="159" spans="1:28" ht="16">
      <c r="A159" s="128" t="s">
        <v>920</v>
      </c>
      <c r="B159" s="91" t="s">
        <v>921</v>
      </c>
      <c r="C159" s="97">
        <f>MIN(C148,C65)</f>
        <v>13.5</v>
      </c>
      <c r="D159" s="98" t="s">
        <v>727</v>
      </c>
      <c r="E159" s="99"/>
      <c r="F159" s="92"/>
      <c r="G159" s="93" t="b">
        <v>1</v>
      </c>
      <c r="H159" s="93"/>
      <c r="I159" s="90"/>
      <c r="J159" s="90"/>
      <c r="K159" s="90"/>
      <c r="L159" s="90"/>
      <c r="M159" s="90"/>
      <c r="N159" s="90"/>
      <c r="O159" s="90"/>
      <c r="P159" s="90"/>
      <c r="Q159" s="90"/>
      <c r="R159" s="90"/>
      <c r="S159" s="90"/>
      <c r="T159" s="90"/>
      <c r="U159" s="90"/>
      <c r="V159" s="90"/>
      <c r="W159" s="90"/>
      <c r="X159" s="90"/>
      <c r="Y159" s="90"/>
      <c r="Z159" s="90"/>
      <c r="AA159" s="90"/>
      <c r="AB159" s="90"/>
    </row>
    <row r="160" spans="1:28" ht="16">
      <c r="A160" s="130"/>
      <c r="B160" s="87" t="s">
        <v>922</v>
      </c>
      <c r="C160" s="94">
        <f>MIN(C149,C68)</f>
        <v>4.2214242264770734</v>
      </c>
      <c r="D160" s="95" t="s">
        <v>752</v>
      </c>
      <c r="E160" s="96"/>
      <c r="F160" s="88"/>
      <c r="G160" s="89" t="b">
        <v>1</v>
      </c>
      <c r="H160" s="89"/>
      <c r="I160" s="90"/>
      <c r="J160" s="90"/>
      <c r="K160" s="90"/>
      <c r="L160" s="90"/>
      <c r="M160" s="90"/>
      <c r="N160" s="90"/>
      <c r="O160" s="90"/>
      <c r="P160" s="90"/>
      <c r="Q160" s="90"/>
      <c r="R160" s="90"/>
      <c r="S160" s="90"/>
      <c r="T160" s="90"/>
      <c r="U160" s="90"/>
      <c r="V160" s="90"/>
      <c r="W160" s="90"/>
      <c r="X160" s="90"/>
      <c r="Y160" s="90"/>
      <c r="Z160" s="90"/>
      <c r="AA160" s="90"/>
      <c r="AB160" s="90"/>
    </row>
    <row r="161" spans="1:28" ht="16">
      <c r="A161" s="104" t="s">
        <v>875</v>
      </c>
      <c r="B161" s="91" t="s">
        <v>923</v>
      </c>
      <c r="C161" s="97">
        <v>228</v>
      </c>
      <c r="D161" s="98" t="s">
        <v>727</v>
      </c>
      <c r="E161" s="99"/>
      <c r="F161" s="92"/>
      <c r="G161" s="93" t="b">
        <v>0</v>
      </c>
      <c r="H161" s="93"/>
      <c r="I161" s="90"/>
      <c r="J161" s="90"/>
      <c r="K161" s="90"/>
      <c r="L161" s="90"/>
      <c r="M161" s="90"/>
      <c r="N161" s="90"/>
      <c r="O161" s="90"/>
      <c r="P161" s="90"/>
      <c r="Q161" s="90"/>
      <c r="R161" s="90"/>
      <c r="S161" s="90"/>
      <c r="T161" s="90"/>
      <c r="U161" s="90"/>
      <c r="V161" s="90"/>
      <c r="W161" s="90"/>
      <c r="X161" s="90"/>
      <c r="Y161" s="90"/>
      <c r="Z161" s="90"/>
      <c r="AA161" s="90"/>
      <c r="AB161" s="90"/>
    </row>
    <row r="162" spans="1:28" ht="16">
      <c r="A162" s="128" t="s">
        <v>924</v>
      </c>
      <c r="B162" s="87" t="s">
        <v>925</v>
      </c>
      <c r="C162" s="94">
        <f>TAN(RADIANS(C160))*C161</f>
        <v>16.828990012397103</v>
      </c>
      <c r="D162" s="95" t="s">
        <v>727</v>
      </c>
      <c r="E162" s="96"/>
      <c r="F162" s="88"/>
      <c r="G162" s="89" t="b">
        <v>1</v>
      </c>
      <c r="H162" s="89"/>
      <c r="I162" s="90"/>
      <c r="J162" s="90"/>
      <c r="K162" s="90"/>
      <c r="L162" s="90"/>
      <c r="M162" s="90"/>
      <c r="N162" s="90"/>
      <c r="O162" s="90"/>
      <c r="P162" s="90"/>
      <c r="Q162" s="90"/>
      <c r="R162" s="90"/>
      <c r="S162" s="90"/>
      <c r="T162" s="90"/>
      <c r="U162" s="90"/>
      <c r="V162" s="90"/>
      <c r="W162" s="90"/>
      <c r="X162" s="90"/>
      <c r="Y162" s="90"/>
      <c r="Z162" s="90"/>
      <c r="AA162" s="90"/>
      <c r="AB162" s="90"/>
    </row>
    <row r="163" spans="1:28" ht="16">
      <c r="A163" s="129"/>
      <c r="B163" s="91" t="s">
        <v>926</v>
      </c>
      <c r="C163" s="97">
        <f>C159+C162*2</f>
        <v>47.157980024794206</v>
      </c>
      <c r="D163" s="98" t="s">
        <v>727</v>
      </c>
      <c r="E163" s="99"/>
      <c r="F163" s="92"/>
      <c r="G163" s="93" t="b">
        <v>1</v>
      </c>
      <c r="H163" s="93"/>
      <c r="I163" s="90"/>
      <c r="J163" s="90"/>
      <c r="K163" s="90"/>
      <c r="L163" s="90"/>
      <c r="M163" s="90"/>
      <c r="N163" s="90"/>
      <c r="O163" s="90"/>
      <c r="P163" s="90"/>
      <c r="Q163" s="90"/>
      <c r="R163" s="90"/>
      <c r="S163" s="90"/>
      <c r="T163" s="90"/>
      <c r="U163" s="90"/>
      <c r="V163" s="90"/>
      <c r="W163" s="90"/>
      <c r="X163" s="90"/>
      <c r="Y163" s="90"/>
      <c r="Z163" s="90"/>
      <c r="AA163" s="90"/>
      <c r="AB163" s="90"/>
    </row>
    <row r="164" spans="1:28" ht="16">
      <c r="A164" s="128" t="s">
        <v>927</v>
      </c>
      <c r="B164" s="87" t="s">
        <v>885</v>
      </c>
      <c r="C164" s="94">
        <f>TAN(RADIANS(C173))*C95</f>
        <v>4.3442899268706761</v>
      </c>
      <c r="D164" s="95" t="s">
        <v>727</v>
      </c>
      <c r="E164" s="96"/>
      <c r="F164" s="88"/>
      <c r="G164" s="89" t="b">
        <v>1</v>
      </c>
      <c r="H164" s="89"/>
      <c r="I164" s="90"/>
      <c r="J164" s="90"/>
      <c r="K164" s="90"/>
      <c r="L164" s="90"/>
      <c r="M164" s="90"/>
      <c r="N164" s="90"/>
      <c r="O164" s="90"/>
      <c r="P164" s="90"/>
      <c r="Q164" s="90"/>
      <c r="R164" s="90"/>
      <c r="S164" s="90"/>
      <c r="T164" s="90"/>
      <c r="U164" s="90"/>
      <c r="V164" s="90"/>
      <c r="W164" s="90"/>
      <c r="X164" s="90"/>
      <c r="Y164" s="90"/>
      <c r="Z164" s="90"/>
      <c r="AA164" s="90"/>
      <c r="AB164" s="90"/>
    </row>
    <row r="165" spans="1:28" ht="16">
      <c r="A165" s="129"/>
      <c r="B165" s="91" t="s">
        <v>886</v>
      </c>
      <c r="C165" s="97">
        <f>2*C164+C169</f>
        <v>34.786110043975413</v>
      </c>
      <c r="D165" s="98" t="s">
        <v>727</v>
      </c>
      <c r="E165" s="99"/>
      <c r="F165" s="92"/>
      <c r="G165" s="93" t="b">
        <v>1</v>
      </c>
      <c r="H165" s="93"/>
      <c r="I165" s="90"/>
      <c r="J165" s="90"/>
      <c r="K165" s="90"/>
      <c r="L165" s="90"/>
      <c r="M165" s="90"/>
      <c r="N165" s="90"/>
      <c r="O165" s="90"/>
      <c r="P165" s="90"/>
      <c r="Q165" s="90"/>
      <c r="R165" s="90"/>
      <c r="S165" s="90"/>
      <c r="T165" s="90"/>
      <c r="U165" s="90"/>
      <c r="V165" s="90"/>
      <c r="W165" s="90"/>
      <c r="X165" s="90"/>
      <c r="Y165" s="90"/>
      <c r="Z165" s="90"/>
      <c r="AA165" s="90"/>
      <c r="AB165" s="90"/>
    </row>
    <row r="166" spans="1:28" ht="16">
      <c r="A166" s="128" t="s">
        <v>693</v>
      </c>
      <c r="B166" s="87" t="s">
        <v>928</v>
      </c>
      <c r="C166" s="94">
        <f>C115</f>
        <v>26.074074074074076</v>
      </c>
      <c r="D166" s="95"/>
      <c r="E166" s="96"/>
      <c r="F166" s="88"/>
      <c r="G166" s="89" t="b">
        <v>1</v>
      </c>
      <c r="H166" s="89"/>
      <c r="I166" s="90"/>
      <c r="J166" s="90"/>
      <c r="K166" s="90"/>
      <c r="L166" s="90"/>
      <c r="M166" s="90"/>
      <c r="N166" s="90"/>
      <c r="O166" s="90"/>
      <c r="P166" s="90"/>
      <c r="Q166" s="90"/>
      <c r="R166" s="90"/>
      <c r="S166" s="90"/>
      <c r="T166" s="90"/>
      <c r="U166" s="90"/>
      <c r="V166" s="90"/>
      <c r="W166" s="90"/>
      <c r="X166" s="90"/>
      <c r="Y166" s="90"/>
      <c r="Z166" s="90"/>
      <c r="AA166" s="90"/>
      <c r="AB166" s="90"/>
    </row>
    <row r="167" spans="1:28" ht="16">
      <c r="A167" s="125"/>
      <c r="B167" s="91" t="s">
        <v>929</v>
      </c>
      <c r="C167" s="97">
        <f>C121*C166</f>
        <v>24.248888888888892</v>
      </c>
      <c r="D167" s="98" t="s">
        <v>727</v>
      </c>
      <c r="E167" s="99"/>
      <c r="F167" s="92"/>
      <c r="G167" s="93" t="b">
        <v>1</v>
      </c>
      <c r="H167" s="93"/>
      <c r="I167" s="90"/>
      <c r="J167" s="90"/>
      <c r="K167" s="90"/>
      <c r="L167" s="90"/>
      <c r="M167" s="90"/>
      <c r="N167" s="90"/>
      <c r="O167" s="90"/>
      <c r="P167" s="90"/>
      <c r="Q167" s="90"/>
      <c r="R167" s="90"/>
      <c r="S167" s="90"/>
      <c r="T167" s="90"/>
      <c r="U167" s="90"/>
      <c r="V167" s="90"/>
      <c r="W167" s="90"/>
      <c r="X167" s="90"/>
      <c r="Y167" s="90"/>
      <c r="Z167" s="90"/>
      <c r="AA167" s="90"/>
      <c r="AB167" s="90"/>
    </row>
    <row r="168" spans="1:28" ht="16">
      <c r="A168" s="125"/>
      <c r="B168" s="87" t="s">
        <v>930</v>
      </c>
      <c r="C168" s="94">
        <f>C122*C166</f>
        <v>9.6474074074074085</v>
      </c>
      <c r="D168" s="95" t="s">
        <v>727</v>
      </c>
      <c r="E168" s="96"/>
      <c r="F168" s="88"/>
      <c r="G168" s="89" t="b">
        <v>1</v>
      </c>
      <c r="H168" s="89"/>
      <c r="I168" s="90"/>
      <c r="J168" s="90"/>
      <c r="K168" s="90"/>
      <c r="L168" s="90"/>
      <c r="M168" s="90"/>
      <c r="N168" s="90"/>
      <c r="O168" s="90"/>
      <c r="P168" s="90"/>
      <c r="Q168" s="90"/>
      <c r="R168" s="90"/>
      <c r="S168" s="90"/>
      <c r="T168" s="90"/>
      <c r="U168" s="90"/>
      <c r="V168" s="90"/>
      <c r="W168" s="90"/>
      <c r="X168" s="90"/>
      <c r="Y168" s="90"/>
      <c r="Z168" s="90"/>
      <c r="AA168" s="90"/>
      <c r="AB168" s="90"/>
    </row>
    <row r="169" spans="1:28" ht="16">
      <c r="A169" s="125"/>
      <c r="B169" s="91" t="s">
        <v>931</v>
      </c>
      <c r="C169" s="97">
        <f>SQRT(C167^2+C168^2)</f>
        <v>26.097530190234064</v>
      </c>
      <c r="D169" s="98" t="s">
        <v>727</v>
      </c>
      <c r="E169" s="99"/>
      <c r="F169" s="92"/>
      <c r="G169" s="93" t="b">
        <v>1</v>
      </c>
      <c r="H169" s="93"/>
      <c r="I169" s="90"/>
      <c r="J169" s="90"/>
      <c r="K169" s="90"/>
      <c r="L169" s="90"/>
      <c r="M169" s="90"/>
      <c r="N169" s="90"/>
      <c r="O169" s="90"/>
      <c r="P169" s="90"/>
      <c r="Q169" s="90"/>
      <c r="R169" s="90"/>
      <c r="S169" s="90"/>
      <c r="T169" s="90"/>
      <c r="U169" s="90"/>
      <c r="V169" s="90"/>
      <c r="W169" s="90"/>
      <c r="X169" s="90"/>
      <c r="Y169" s="90"/>
      <c r="Z169" s="90"/>
      <c r="AA169" s="90"/>
      <c r="AB169" s="90"/>
    </row>
    <row r="170" spans="1:28" ht="16">
      <c r="A170" s="125"/>
      <c r="B170" s="87" t="s">
        <v>932</v>
      </c>
      <c r="C170" s="94">
        <f>C168/2</f>
        <v>4.8237037037037043</v>
      </c>
      <c r="D170" s="95" t="s">
        <v>727</v>
      </c>
      <c r="E170" s="96"/>
      <c r="F170" s="88" t="s">
        <v>933</v>
      </c>
      <c r="G170" s="89" t="b">
        <v>1</v>
      </c>
      <c r="H170" s="89"/>
      <c r="I170" s="90"/>
      <c r="J170" s="90"/>
      <c r="K170" s="90"/>
      <c r="L170" s="90"/>
      <c r="M170" s="90"/>
      <c r="N170" s="90"/>
      <c r="O170" s="90"/>
      <c r="P170" s="90"/>
      <c r="Q170" s="90"/>
      <c r="R170" s="90"/>
      <c r="S170" s="90"/>
      <c r="T170" s="90"/>
      <c r="U170" s="90"/>
      <c r="V170" s="90"/>
      <c r="W170" s="90"/>
      <c r="X170" s="90"/>
      <c r="Y170" s="90"/>
      <c r="Z170" s="90"/>
      <c r="AA170" s="90"/>
      <c r="AB170" s="90"/>
    </row>
    <row r="171" spans="1:28" ht="16">
      <c r="A171" s="125"/>
      <c r="B171" s="91" t="s">
        <v>934</v>
      </c>
      <c r="C171" s="97">
        <f>SQRT(C170^2+C167^2)</f>
        <v>24.724011198970203</v>
      </c>
      <c r="D171" s="98" t="s">
        <v>727</v>
      </c>
      <c r="E171" s="99"/>
      <c r="F171" s="92" t="s">
        <v>935</v>
      </c>
      <c r="G171" s="93" t="b">
        <v>1</v>
      </c>
      <c r="H171" s="93"/>
      <c r="I171" s="90"/>
      <c r="J171" s="90"/>
      <c r="K171" s="90"/>
      <c r="L171" s="90"/>
      <c r="M171" s="90"/>
      <c r="N171" s="90"/>
      <c r="O171" s="90"/>
      <c r="P171" s="90"/>
      <c r="Q171" s="90"/>
      <c r="R171" s="90"/>
      <c r="S171" s="90"/>
      <c r="T171" s="90"/>
      <c r="U171" s="90"/>
      <c r="V171" s="90"/>
      <c r="W171" s="90"/>
      <c r="X171" s="90"/>
      <c r="Y171" s="90"/>
      <c r="Z171" s="90"/>
      <c r="AA171" s="90"/>
      <c r="AB171" s="90"/>
    </row>
    <row r="172" spans="1:28" ht="16">
      <c r="A172" s="125"/>
      <c r="B172" s="87" t="s">
        <v>892</v>
      </c>
      <c r="C172" s="94">
        <f>C125</f>
        <v>2.4718424222528297</v>
      </c>
      <c r="D172" s="95" t="s">
        <v>748</v>
      </c>
      <c r="E172" s="96"/>
      <c r="F172" s="88"/>
      <c r="G172" s="89" t="b">
        <v>1</v>
      </c>
      <c r="H172" s="89"/>
      <c r="I172" s="90"/>
      <c r="J172" s="90"/>
      <c r="K172" s="90"/>
      <c r="L172" s="90"/>
      <c r="M172" s="90"/>
      <c r="N172" s="90"/>
      <c r="O172" s="90"/>
      <c r="P172" s="90"/>
      <c r="Q172" s="90"/>
      <c r="R172" s="90"/>
      <c r="S172" s="90"/>
      <c r="T172" s="90"/>
      <c r="U172" s="90"/>
      <c r="V172" s="90"/>
      <c r="W172" s="90"/>
      <c r="X172" s="90"/>
      <c r="Y172" s="90"/>
      <c r="Z172" s="90"/>
      <c r="AA172" s="90"/>
      <c r="AB172" s="90"/>
    </row>
    <row r="173" spans="1:28" ht="16">
      <c r="A173" s="129"/>
      <c r="B173" s="91" t="s">
        <v>893</v>
      </c>
      <c r="C173" s="97">
        <f>DEGREES(ASIN(SQRT(C172/PI()/(PI()*(C169/2)^2))))</f>
        <v>2.1979624160592866</v>
      </c>
      <c r="D173" s="98" t="s">
        <v>752</v>
      </c>
      <c r="E173" s="99"/>
      <c r="F173" s="92" t="s">
        <v>936</v>
      </c>
      <c r="G173" s="93" t="b">
        <v>1</v>
      </c>
      <c r="H173" s="93"/>
      <c r="I173" s="90"/>
      <c r="J173" s="90"/>
      <c r="K173" s="90"/>
      <c r="L173" s="90"/>
      <c r="M173" s="90"/>
      <c r="N173" s="90"/>
      <c r="O173" s="90"/>
      <c r="P173" s="90"/>
      <c r="Q173" s="90"/>
      <c r="R173" s="90"/>
      <c r="S173" s="90"/>
      <c r="T173" s="90"/>
      <c r="U173" s="90"/>
      <c r="V173" s="90"/>
      <c r="W173" s="90"/>
      <c r="X173" s="90"/>
      <c r="Y173" s="90"/>
      <c r="Z173" s="90"/>
      <c r="AA173" s="90"/>
      <c r="AB173" s="90"/>
    </row>
    <row r="174" spans="1:28" ht="16">
      <c r="A174" s="128" t="s">
        <v>937</v>
      </c>
      <c r="B174" s="87" t="s">
        <v>885</v>
      </c>
      <c r="C174" s="94">
        <f>TAN(RADIANS(C173))*C100</f>
        <v>6.5987610842554583</v>
      </c>
      <c r="D174" s="95" t="s">
        <v>727</v>
      </c>
      <c r="E174" s="96"/>
      <c r="F174" s="88" t="s">
        <v>938</v>
      </c>
      <c r="G174" s="89" t="b">
        <v>1</v>
      </c>
      <c r="H174" s="89"/>
      <c r="I174" s="90"/>
      <c r="J174" s="90"/>
      <c r="K174" s="90"/>
      <c r="L174" s="90"/>
      <c r="M174" s="90"/>
      <c r="N174" s="90"/>
      <c r="O174" s="90"/>
      <c r="P174" s="90"/>
      <c r="Q174" s="90"/>
      <c r="R174" s="90"/>
      <c r="S174" s="90"/>
      <c r="T174" s="90"/>
      <c r="U174" s="90"/>
      <c r="V174" s="90"/>
      <c r="W174" s="90"/>
      <c r="X174" s="90"/>
      <c r="Y174" s="90"/>
      <c r="Z174" s="90"/>
      <c r="AA174" s="90"/>
      <c r="AB174" s="90"/>
    </row>
    <row r="175" spans="1:28" ht="16">
      <c r="A175" s="129"/>
      <c r="B175" s="91" t="s">
        <v>886</v>
      </c>
      <c r="C175" s="97">
        <f>C169+2*C174</f>
        <v>39.295052358744982</v>
      </c>
      <c r="D175" s="98" t="s">
        <v>727</v>
      </c>
      <c r="E175" s="99"/>
      <c r="F175" s="92" t="s">
        <v>939</v>
      </c>
      <c r="G175" s="93" t="b">
        <v>1</v>
      </c>
      <c r="H175" s="93"/>
      <c r="I175" s="90"/>
      <c r="J175" s="90"/>
      <c r="K175" s="90"/>
      <c r="L175" s="90"/>
      <c r="M175" s="90"/>
      <c r="N175" s="90"/>
      <c r="O175" s="90"/>
      <c r="P175" s="90"/>
      <c r="Q175" s="90"/>
      <c r="R175" s="90"/>
      <c r="S175" s="90"/>
      <c r="T175" s="90"/>
      <c r="U175" s="90"/>
      <c r="V175" s="90"/>
      <c r="W175" s="90"/>
      <c r="X175" s="90"/>
      <c r="Y175" s="90"/>
      <c r="Z175" s="90"/>
      <c r="AA175" s="90"/>
      <c r="AB175" s="90"/>
    </row>
    <row r="176" spans="1:28" ht="16">
      <c r="A176" s="128" t="s">
        <v>940</v>
      </c>
      <c r="B176" s="87" t="s">
        <v>941</v>
      </c>
      <c r="C176" s="94">
        <f>C102*TAN(RADIANS(C182))</f>
        <v>11.588599016871461</v>
      </c>
      <c r="D176" s="95" t="s">
        <v>727</v>
      </c>
      <c r="E176" s="96"/>
      <c r="F176" s="88"/>
      <c r="G176" s="89" t="b">
        <v>1</v>
      </c>
      <c r="H176" s="89"/>
      <c r="I176" s="90"/>
      <c r="J176" s="90"/>
      <c r="K176" s="90"/>
      <c r="L176" s="90"/>
      <c r="M176" s="90"/>
      <c r="N176" s="90"/>
      <c r="O176" s="90"/>
      <c r="P176" s="90"/>
      <c r="Q176" s="90"/>
      <c r="R176" s="90"/>
      <c r="S176" s="90"/>
      <c r="T176" s="90"/>
      <c r="U176" s="90"/>
      <c r="V176" s="90"/>
      <c r="W176" s="90"/>
      <c r="X176" s="90"/>
      <c r="Y176" s="90"/>
      <c r="Z176" s="90"/>
      <c r="AA176" s="90"/>
      <c r="AB176" s="90"/>
    </row>
    <row r="177" spans="1:28" ht="16">
      <c r="A177" s="125"/>
      <c r="B177" s="91" t="s">
        <v>942</v>
      </c>
      <c r="C177" s="97">
        <f>C178+C176*2</f>
        <v>39.361857124652019</v>
      </c>
      <c r="D177" s="98" t="s">
        <v>727</v>
      </c>
      <c r="E177" s="99"/>
      <c r="F177" s="92"/>
      <c r="G177" s="93" t="b">
        <v>1</v>
      </c>
      <c r="H177" s="93"/>
      <c r="I177" s="90"/>
      <c r="J177" s="90"/>
      <c r="K177" s="90"/>
      <c r="L177" s="90"/>
      <c r="M177" s="90"/>
      <c r="N177" s="90"/>
      <c r="O177" s="90"/>
      <c r="P177" s="90"/>
      <c r="Q177" s="90"/>
      <c r="R177" s="90"/>
      <c r="S177" s="90"/>
      <c r="T177" s="90"/>
      <c r="U177" s="90"/>
      <c r="V177" s="90"/>
      <c r="W177" s="90"/>
      <c r="X177" s="90"/>
      <c r="Y177" s="90"/>
      <c r="Z177" s="90"/>
      <c r="AA177" s="90"/>
      <c r="AB177" s="90"/>
    </row>
    <row r="178" spans="1:28" ht="16">
      <c r="A178" s="130"/>
      <c r="B178" s="87" t="s">
        <v>943</v>
      </c>
      <c r="C178" s="94">
        <f>C120*C159</f>
        <v>16.184659090909093</v>
      </c>
      <c r="D178" s="95" t="s">
        <v>727</v>
      </c>
      <c r="E178" s="96"/>
      <c r="F178" s="88"/>
      <c r="G178" s="89" t="b">
        <v>1</v>
      </c>
      <c r="H178" s="89"/>
      <c r="I178" s="90"/>
      <c r="J178" s="90"/>
      <c r="K178" s="90"/>
      <c r="L178" s="90"/>
      <c r="M178" s="90"/>
      <c r="N178" s="90"/>
      <c r="O178" s="90"/>
      <c r="P178" s="90"/>
      <c r="Q178" s="90"/>
      <c r="R178" s="90"/>
      <c r="S178" s="90"/>
      <c r="T178" s="90"/>
      <c r="U178" s="90"/>
      <c r="V178" s="90"/>
      <c r="W178" s="90"/>
      <c r="X178" s="90"/>
      <c r="Y178" s="90"/>
      <c r="Z178" s="90"/>
      <c r="AA178" s="90"/>
      <c r="AB178" s="90"/>
    </row>
    <row r="179" spans="1:28" ht="16">
      <c r="A179" s="104" t="s">
        <v>875</v>
      </c>
      <c r="B179" s="91" t="s">
        <v>944</v>
      </c>
      <c r="C179" s="97">
        <v>160</v>
      </c>
      <c r="D179" s="98" t="s">
        <v>727</v>
      </c>
      <c r="E179" s="99"/>
      <c r="F179" s="92"/>
      <c r="G179" s="93" t="b">
        <v>0</v>
      </c>
      <c r="H179" s="93"/>
      <c r="I179" s="90"/>
      <c r="J179" s="90"/>
      <c r="K179" s="90"/>
      <c r="L179" s="90"/>
      <c r="M179" s="90"/>
      <c r="N179" s="90"/>
      <c r="O179" s="90"/>
      <c r="P179" s="90"/>
      <c r="Q179" s="90"/>
      <c r="R179" s="90"/>
      <c r="S179" s="90"/>
      <c r="T179" s="90"/>
      <c r="U179" s="90"/>
      <c r="V179" s="90"/>
      <c r="W179" s="90"/>
      <c r="X179" s="90"/>
      <c r="Y179" s="90"/>
      <c r="Z179" s="90"/>
      <c r="AA179" s="90"/>
      <c r="AB179" s="90"/>
    </row>
    <row r="180" spans="1:28" ht="16">
      <c r="A180" s="128" t="s">
        <v>707</v>
      </c>
      <c r="B180" s="87" t="s">
        <v>945</v>
      </c>
      <c r="C180" s="94">
        <f>TAN(RADIANS(C182))*ABS(C179-C102)</f>
        <v>1.6811673166340382</v>
      </c>
      <c r="D180" s="95" t="s">
        <v>727</v>
      </c>
      <c r="E180" s="96"/>
      <c r="F180" s="88"/>
      <c r="G180" s="89" t="b">
        <v>1</v>
      </c>
      <c r="H180" s="89"/>
      <c r="I180" s="90"/>
      <c r="J180" s="90"/>
      <c r="K180" s="90"/>
      <c r="L180" s="90"/>
      <c r="M180" s="90"/>
      <c r="N180" s="90"/>
      <c r="O180" s="90"/>
      <c r="P180" s="90"/>
      <c r="Q180" s="90"/>
      <c r="R180" s="90"/>
      <c r="S180" s="90"/>
      <c r="T180" s="90"/>
      <c r="U180" s="90"/>
      <c r="V180" s="90"/>
      <c r="W180" s="90"/>
      <c r="X180" s="90"/>
      <c r="Y180" s="90"/>
      <c r="Z180" s="90"/>
      <c r="AA180" s="90"/>
      <c r="AB180" s="90"/>
    </row>
    <row r="181" spans="1:28" ht="16">
      <c r="A181" s="125"/>
      <c r="B181" s="91" t="s">
        <v>946</v>
      </c>
      <c r="C181" s="97">
        <f>2*C180+C178</f>
        <v>19.54699372417717</v>
      </c>
      <c r="D181" s="98" t="s">
        <v>727</v>
      </c>
      <c r="E181" s="99"/>
      <c r="F181" s="92"/>
      <c r="G181" s="93" t="b">
        <v>1</v>
      </c>
      <c r="H181" s="93"/>
      <c r="I181" s="90"/>
      <c r="J181" s="90"/>
      <c r="K181" s="90"/>
      <c r="L181" s="90"/>
      <c r="M181" s="90"/>
      <c r="N181" s="90"/>
      <c r="O181" s="90"/>
      <c r="P181" s="90"/>
      <c r="Q181" s="90"/>
      <c r="R181" s="90"/>
      <c r="S181" s="90"/>
      <c r="T181" s="90"/>
      <c r="U181" s="90"/>
      <c r="V181" s="90"/>
      <c r="W181" s="90"/>
      <c r="X181" s="90"/>
      <c r="Y181" s="90"/>
      <c r="Z181" s="90"/>
      <c r="AA181" s="90"/>
      <c r="AB181" s="90"/>
    </row>
    <row r="182" spans="1:28" ht="16">
      <c r="A182" s="130"/>
      <c r="B182" s="87" t="s">
        <v>947</v>
      </c>
      <c r="C182" s="94">
        <f>DEGREES(C169/2/C99)</f>
        <v>3.5433135915063039</v>
      </c>
      <c r="D182" s="95" t="s">
        <v>752</v>
      </c>
      <c r="E182" s="96"/>
      <c r="F182" s="88"/>
      <c r="G182" s="89" t="b">
        <v>1</v>
      </c>
      <c r="H182" s="89"/>
      <c r="I182" s="90"/>
      <c r="J182" s="90"/>
      <c r="K182" s="90"/>
      <c r="L182" s="90"/>
      <c r="M182" s="90"/>
      <c r="N182" s="90"/>
      <c r="O182" s="90"/>
      <c r="P182" s="90"/>
      <c r="Q182" s="90"/>
      <c r="R182" s="90"/>
      <c r="S182" s="90"/>
      <c r="T182" s="90"/>
      <c r="U182" s="90"/>
      <c r="V182" s="90"/>
      <c r="W182" s="90"/>
      <c r="X182" s="90"/>
      <c r="Y182" s="90"/>
      <c r="Z182" s="90"/>
      <c r="AA182" s="90"/>
      <c r="AB182" s="90"/>
    </row>
    <row r="183" spans="1:28" ht="16">
      <c r="A183" s="128" t="s">
        <v>948</v>
      </c>
      <c r="B183" s="91" t="s">
        <v>949</v>
      </c>
      <c r="C183" s="97">
        <f>TAN(RADIANS(C192))*C239</f>
        <v>3.10493567028049</v>
      </c>
      <c r="D183" s="98" t="s">
        <v>727</v>
      </c>
      <c r="E183" s="99"/>
      <c r="F183" s="92"/>
      <c r="G183" s="93" t="b">
        <v>1</v>
      </c>
      <c r="H183" s="93"/>
      <c r="I183" s="90"/>
      <c r="J183" s="90"/>
      <c r="K183" s="90"/>
      <c r="L183" s="90"/>
      <c r="M183" s="90"/>
      <c r="N183" s="90"/>
      <c r="O183" s="90"/>
      <c r="P183" s="90"/>
      <c r="Q183" s="90"/>
      <c r="R183" s="90"/>
      <c r="S183" s="90"/>
      <c r="T183" s="90"/>
      <c r="U183" s="90"/>
      <c r="V183" s="90"/>
      <c r="W183" s="90"/>
      <c r="X183" s="90"/>
      <c r="Y183" s="90"/>
      <c r="Z183" s="90"/>
      <c r="AA183" s="90"/>
      <c r="AB183" s="90"/>
    </row>
    <row r="184" spans="1:28" ht="16">
      <c r="A184" s="130"/>
      <c r="B184" s="87" t="s">
        <v>950</v>
      </c>
      <c r="C184" s="94">
        <f>C188+C183*2</f>
        <v>12.734253888119497</v>
      </c>
      <c r="D184" s="95" t="s">
        <v>727</v>
      </c>
      <c r="E184" s="96"/>
      <c r="F184" s="88"/>
      <c r="G184" s="89" t="b">
        <v>1</v>
      </c>
      <c r="H184" s="89"/>
      <c r="I184" s="90"/>
      <c r="J184" s="90"/>
      <c r="K184" s="90"/>
      <c r="L184" s="90"/>
      <c r="M184" s="90"/>
      <c r="N184" s="90"/>
      <c r="O184" s="90"/>
      <c r="P184" s="90"/>
      <c r="Q184" s="90"/>
      <c r="R184" s="90"/>
      <c r="S184" s="90"/>
      <c r="T184" s="90"/>
      <c r="U184" s="90"/>
      <c r="V184" s="90"/>
      <c r="W184" s="90"/>
      <c r="X184" s="90"/>
      <c r="Y184" s="90"/>
      <c r="Z184" s="90"/>
      <c r="AA184" s="90"/>
      <c r="AB184" s="90"/>
    </row>
    <row r="185" spans="1:28" ht="16">
      <c r="A185" s="128" t="s">
        <v>695</v>
      </c>
      <c r="B185" s="91" t="s">
        <v>951</v>
      </c>
      <c r="C185" s="97">
        <f>C116</f>
        <v>6.518518518518519</v>
      </c>
      <c r="D185" s="98"/>
      <c r="E185" s="99"/>
      <c r="F185" s="92"/>
      <c r="G185" s="93" t="b">
        <v>1</v>
      </c>
      <c r="H185" s="93"/>
      <c r="I185" s="90"/>
      <c r="J185" s="90"/>
      <c r="K185" s="90"/>
      <c r="L185" s="90"/>
      <c r="M185" s="90"/>
      <c r="N185" s="90"/>
      <c r="O185" s="90"/>
      <c r="P185" s="90"/>
      <c r="Q185" s="90"/>
      <c r="R185" s="90"/>
      <c r="S185" s="90"/>
      <c r="T185" s="90"/>
      <c r="U185" s="90"/>
      <c r="V185" s="90"/>
      <c r="W185" s="90"/>
      <c r="X185" s="90"/>
      <c r="Y185" s="90"/>
      <c r="Z185" s="90"/>
      <c r="AA185" s="90"/>
      <c r="AB185" s="90"/>
    </row>
    <row r="186" spans="1:28" ht="16">
      <c r="A186" s="125"/>
      <c r="B186" s="87" t="s">
        <v>952</v>
      </c>
      <c r="C186" s="94">
        <f>C121*C185</f>
        <v>6.0622222222222231</v>
      </c>
      <c r="D186" s="95" t="s">
        <v>727</v>
      </c>
      <c r="E186" s="96"/>
      <c r="F186" s="88"/>
      <c r="G186" s="89" t="b">
        <v>1</v>
      </c>
      <c r="H186" s="89"/>
      <c r="I186" s="90"/>
      <c r="J186" s="90"/>
      <c r="K186" s="90"/>
      <c r="L186" s="90"/>
      <c r="M186" s="90"/>
      <c r="N186" s="90"/>
      <c r="O186" s="90"/>
      <c r="P186" s="90"/>
      <c r="Q186" s="90"/>
      <c r="R186" s="90"/>
      <c r="S186" s="90"/>
      <c r="T186" s="90"/>
      <c r="U186" s="90"/>
      <c r="V186" s="90"/>
      <c r="W186" s="90"/>
      <c r="X186" s="90"/>
      <c r="Y186" s="90"/>
      <c r="Z186" s="90"/>
      <c r="AA186" s="90"/>
      <c r="AB186" s="90"/>
    </row>
    <row r="187" spans="1:28" ht="16">
      <c r="A187" s="125"/>
      <c r="B187" s="91" t="s">
        <v>953</v>
      </c>
      <c r="C187" s="97">
        <f>C122*C185</f>
        <v>2.4118518518518521</v>
      </c>
      <c r="D187" s="98" t="s">
        <v>727</v>
      </c>
      <c r="E187" s="99"/>
      <c r="F187" s="92"/>
      <c r="G187" s="93" t="b">
        <v>1</v>
      </c>
      <c r="H187" s="93"/>
      <c r="I187" s="90"/>
      <c r="J187" s="90"/>
      <c r="K187" s="90"/>
      <c r="L187" s="90"/>
      <c r="M187" s="90"/>
      <c r="N187" s="90"/>
      <c r="O187" s="90"/>
      <c r="P187" s="90"/>
      <c r="Q187" s="90"/>
      <c r="R187" s="90"/>
      <c r="S187" s="90"/>
      <c r="T187" s="90"/>
      <c r="U187" s="90"/>
      <c r="V187" s="90"/>
      <c r="W187" s="90"/>
      <c r="X187" s="90"/>
      <c r="Y187" s="90"/>
      <c r="Z187" s="90"/>
      <c r="AA187" s="90"/>
      <c r="AB187" s="90"/>
    </row>
    <row r="188" spans="1:28" ht="16">
      <c r="A188" s="125"/>
      <c r="B188" s="87" t="s">
        <v>954</v>
      </c>
      <c r="C188" s="94">
        <f>SQRT(C186^2+C187^2)</f>
        <v>6.524382547558516</v>
      </c>
      <c r="D188" s="95" t="s">
        <v>727</v>
      </c>
      <c r="E188" s="96"/>
      <c r="F188" s="88"/>
      <c r="G188" s="89" t="b">
        <v>1</v>
      </c>
      <c r="H188" s="89"/>
      <c r="I188" s="90"/>
      <c r="J188" s="90"/>
      <c r="K188" s="90"/>
      <c r="L188" s="90"/>
      <c r="M188" s="90"/>
      <c r="N188" s="90"/>
      <c r="O188" s="90"/>
      <c r="P188" s="90"/>
      <c r="Q188" s="90"/>
      <c r="R188" s="90"/>
      <c r="S188" s="90"/>
      <c r="T188" s="90"/>
      <c r="U188" s="90"/>
      <c r="V188" s="90"/>
      <c r="W188" s="90"/>
      <c r="X188" s="90"/>
      <c r="Y188" s="90"/>
      <c r="Z188" s="90"/>
      <c r="AA188" s="90"/>
      <c r="AB188" s="90"/>
    </row>
    <row r="189" spans="1:28" ht="16">
      <c r="A189" s="125"/>
      <c r="B189" s="91" t="s">
        <v>955</v>
      </c>
      <c r="C189" s="97">
        <f>C187/2</f>
        <v>1.2059259259259261</v>
      </c>
      <c r="D189" s="98" t="s">
        <v>727</v>
      </c>
      <c r="E189" s="99"/>
      <c r="F189" s="92"/>
      <c r="G189" s="93" t="b">
        <v>1</v>
      </c>
      <c r="H189" s="93"/>
      <c r="I189" s="90"/>
      <c r="J189" s="90"/>
      <c r="K189" s="90"/>
      <c r="L189" s="90"/>
      <c r="M189" s="90"/>
      <c r="N189" s="90"/>
      <c r="O189" s="90"/>
      <c r="P189" s="90"/>
      <c r="Q189" s="90"/>
      <c r="R189" s="90"/>
      <c r="S189" s="90"/>
      <c r="T189" s="90"/>
      <c r="U189" s="90"/>
      <c r="V189" s="90"/>
      <c r="W189" s="90"/>
      <c r="X189" s="90"/>
      <c r="Y189" s="90"/>
      <c r="Z189" s="90"/>
      <c r="AA189" s="90"/>
      <c r="AB189" s="90"/>
    </row>
    <row r="190" spans="1:28" ht="16">
      <c r="A190" s="125"/>
      <c r="B190" s="87" t="s">
        <v>956</v>
      </c>
      <c r="C190" s="94">
        <f>SQRT(C189^2+C186^2)</f>
        <v>6.1810027997425507</v>
      </c>
      <c r="D190" s="95" t="s">
        <v>727</v>
      </c>
      <c r="E190" s="96"/>
      <c r="F190" s="88"/>
      <c r="G190" s="89" t="b">
        <v>1</v>
      </c>
      <c r="H190" s="89"/>
      <c r="I190" s="90"/>
      <c r="J190" s="90"/>
      <c r="K190" s="90"/>
      <c r="L190" s="90"/>
      <c r="M190" s="90"/>
      <c r="N190" s="90"/>
      <c r="O190" s="90"/>
      <c r="P190" s="90"/>
      <c r="Q190" s="90"/>
      <c r="R190" s="90"/>
      <c r="S190" s="90"/>
      <c r="T190" s="90"/>
      <c r="U190" s="90"/>
      <c r="V190" s="90"/>
      <c r="W190" s="90"/>
      <c r="X190" s="90"/>
      <c r="Y190" s="90"/>
      <c r="Z190" s="90"/>
      <c r="AA190" s="90"/>
      <c r="AB190" s="90"/>
    </row>
    <row r="191" spans="1:28" ht="16">
      <c r="A191" s="125"/>
      <c r="B191" s="91" t="s">
        <v>957</v>
      </c>
      <c r="C191" s="97">
        <f>C125</f>
        <v>2.4718424222528297</v>
      </c>
      <c r="D191" s="98" t="s">
        <v>748</v>
      </c>
      <c r="E191" s="99"/>
      <c r="F191" s="92"/>
      <c r="G191" s="93" t="b">
        <v>1</v>
      </c>
      <c r="H191" s="93"/>
      <c r="I191" s="90"/>
      <c r="J191" s="90"/>
      <c r="K191" s="90"/>
      <c r="L191" s="90"/>
      <c r="M191" s="90"/>
      <c r="N191" s="90"/>
      <c r="O191" s="90"/>
      <c r="P191" s="90"/>
      <c r="Q191" s="90"/>
      <c r="R191" s="90"/>
      <c r="S191" s="90"/>
      <c r="T191" s="90"/>
      <c r="U191" s="90"/>
      <c r="V191" s="90"/>
      <c r="W191" s="90"/>
      <c r="X191" s="90"/>
      <c r="Y191" s="90"/>
      <c r="Z191" s="90"/>
      <c r="AA191" s="90"/>
      <c r="AB191" s="90"/>
    </row>
    <row r="192" spans="1:28" ht="16">
      <c r="A192" s="125"/>
      <c r="B192" s="87" t="s">
        <v>958</v>
      </c>
      <c r="C192" s="94">
        <f>DEGREES(ASIN(SQRT(C191/PI()/(PI()*(C188/2)^2))))</f>
        <v>8.8245403885192246</v>
      </c>
      <c r="D192" s="95" t="s">
        <v>752</v>
      </c>
      <c r="E192" s="96"/>
      <c r="F192" s="88"/>
      <c r="G192" s="89" t="b">
        <v>1</v>
      </c>
      <c r="H192" s="89"/>
      <c r="I192" s="90"/>
      <c r="J192" s="90"/>
      <c r="K192" s="90"/>
      <c r="L192" s="90"/>
      <c r="M192" s="90"/>
      <c r="N192" s="90"/>
      <c r="O192" s="90"/>
      <c r="P192" s="90"/>
      <c r="Q192" s="90"/>
      <c r="R192" s="90"/>
      <c r="S192" s="90"/>
      <c r="T192" s="90"/>
      <c r="U192" s="90"/>
      <c r="V192" s="90"/>
      <c r="W192" s="90"/>
      <c r="X192" s="90"/>
      <c r="Y192" s="90"/>
      <c r="Z192" s="90"/>
      <c r="AA192" s="90"/>
      <c r="AB192" s="90"/>
    </row>
    <row r="193" spans="1:28" ht="16">
      <c r="A193" s="125"/>
      <c r="B193" s="91" t="s">
        <v>959</v>
      </c>
      <c r="C193" s="97">
        <f>C103/C185</f>
        <v>0.69034090909090906</v>
      </c>
      <c r="D193" s="101" t="s">
        <v>828</v>
      </c>
      <c r="E193" s="99"/>
      <c r="F193" s="92"/>
      <c r="G193" s="93" t="b">
        <v>1</v>
      </c>
      <c r="H193" s="93"/>
      <c r="I193" s="90"/>
      <c r="J193" s="90"/>
      <c r="K193" s="90"/>
      <c r="L193" s="90"/>
      <c r="M193" s="90"/>
      <c r="N193" s="90"/>
      <c r="O193" s="90"/>
      <c r="P193" s="90"/>
      <c r="Q193" s="90"/>
      <c r="R193" s="90"/>
      <c r="S193" s="90"/>
      <c r="T193" s="90"/>
      <c r="U193" s="90"/>
      <c r="V193" s="90"/>
      <c r="W193" s="90"/>
      <c r="X193" s="90"/>
      <c r="Y193" s="90"/>
      <c r="Z193" s="90"/>
      <c r="AA193" s="90"/>
      <c r="AB193" s="90"/>
    </row>
    <row r="194" spans="1:28" ht="16">
      <c r="A194" s="125"/>
      <c r="B194" s="87" t="s">
        <v>960</v>
      </c>
      <c r="C194" s="102">
        <f>CEILING(C186/C103*1000,1)</f>
        <v>1348</v>
      </c>
      <c r="D194" s="95"/>
      <c r="E194" s="96"/>
      <c r="F194" s="88"/>
      <c r="G194" s="89" t="b">
        <v>1</v>
      </c>
      <c r="H194" s="89"/>
      <c r="I194" s="90"/>
      <c r="J194" s="90"/>
      <c r="K194" s="90"/>
      <c r="L194" s="90"/>
      <c r="M194" s="90"/>
      <c r="N194" s="90"/>
      <c r="O194" s="90"/>
      <c r="P194" s="90"/>
      <c r="Q194" s="90"/>
      <c r="R194" s="90"/>
      <c r="S194" s="90"/>
      <c r="T194" s="90"/>
      <c r="U194" s="90"/>
      <c r="V194" s="90"/>
      <c r="W194" s="90"/>
      <c r="X194" s="90"/>
      <c r="Y194" s="90"/>
      <c r="Z194" s="90"/>
      <c r="AA194" s="90"/>
      <c r="AB194" s="90"/>
    </row>
    <row r="195" spans="1:28" ht="16">
      <c r="A195" s="125"/>
      <c r="B195" s="91" t="s">
        <v>961</v>
      </c>
      <c r="C195" s="103">
        <f>CEILING(C187/C103*1000,1)</f>
        <v>536</v>
      </c>
      <c r="D195" s="98"/>
      <c r="E195" s="99"/>
      <c r="F195" s="92"/>
      <c r="G195" s="93" t="b">
        <v>1</v>
      </c>
      <c r="H195" s="93"/>
      <c r="I195" s="90"/>
      <c r="J195" s="90"/>
      <c r="K195" s="90"/>
      <c r="L195" s="90"/>
      <c r="M195" s="90"/>
      <c r="N195" s="90"/>
      <c r="O195" s="90"/>
      <c r="P195" s="90"/>
      <c r="Q195" s="90"/>
      <c r="R195" s="90"/>
      <c r="S195" s="90"/>
      <c r="T195" s="90"/>
      <c r="U195" s="90"/>
      <c r="V195" s="90"/>
      <c r="W195" s="90"/>
      <c r="X195" s="90"/>
      <c r="Y195" s="90"/>
      <c r="Z195" s="90"/>
      <c r="AA195" s="90"/>
      <c r="AB195" s="90"/>
    </row>
    <row r="196" spans="1:28" ht="16">
      <c r="A196" s="130"/>
      <c r="B196" s="87" t="s">
        <v>962</v>
      </c>
      <c r="C196" s="102">
        <f>CEILING(C189/C103*1000,1)</f>
        <v>268</v>
      </c>
      <c r="D196" s="95"/>
      <c r="E196" s="96"/>
      <c r="F196" s="88"/>
      <c r="G196" s="89" t="b">
        <v>1</v>
      </c>
      <c r="H196" s="89"/>
      <c r="I196" s="90"/>
      <c r="J196" s="90"/>
      <c r="K196" s="90"/>
      <c r="L196" s="90"/>
      <c r="M196" s="90"/>
      <c r="N196" s="90"/>
      <c r="O196" s="90"/>
      <c r="P196" s="90"/>
      <c r="Q196" s="90"/>
      <c r="R196" s="90"/>
      <c r="S196" s="90"/>
      <c r="T196" s="90"/>
      <c r="U196" s="90"/>
      <c r="V196" s="90"/>
      <c r="W196" s="90"/>
      <c r="X196" s="90"/>
      <c r="Y196" s="90"/>
      <c r="Z196" s="90"/>
      <c r="AA196" s="90"/>
      <c r="AB196" s="90"/>
    </row>
    <row r="197" spans="1:28" ht="16">
      <c r="A197" s="128" t="s">
        <v>963</v>
      </c>
      <c r="B197" s="91" t="s">
        <v>964</v>
      </c>
      <c r="C197" s="97">
        <v>0</v>
      </c>
      <c r="D197" s="98" t="s">
        <v>727</v>
      </c>
      <c r="E197" s="99"/>
      <c r="F197" s="92"/>
      <c r="G197" s="93" t="b">
        <v>1</v>
      </c>
      <c r="H197" s="93"/>
      <c r="I197" s="90"/>
      <c r="J197" s="90"/>
      <c r="K197" s="90"/>
      <c r="L197" s="90"/>
      <c r="M197" s="90"/>
      <c r="N197" s="90"/>
      <c r="O197" s="90"/>
      <c r="P197" s="90"/>
      <c r="Q197" s="90"/>
      <c r="R197" s="90"/>
      <c r="S197" s="90"/>
      <c r="T197" s="90"/>
      <c r="U197" s="90"/>
      <c r="V197" s="90"/>
      <c r="W197" s="90"/>
      <c r="X197" s="90"/>
      <c r="Y197" s="90"/>
      <c r="Z197" s="90"/>
      <c r="AA197" s="90"/>
      <c r="AB197" s="90"/>
    </row>
    <row r="198" spans="1:28" ht="16">
      <c r="A198" s="125"/>
      <c r="B198" s="87" t="s">
        <v>965</v>
      </c>
      <c r="C198" s="94">
        <f>C197</f>
        <v>0</v>
      </c>
      <c r="D198" s="95" t="s">
        <v>727</v>
      </c>
      <c r="E198" s="96"/>
      <c r="F198" s="88"/>
      <c r="G198" s="89" t="b">
        <v>0</v>
      </c>
      <c r="H198" s="89"/>
      <c r="I198" s="90"/>
      <c r="J198" s="90"/>
      <c r="K198" s="90"/>
      <c r="L198" s="90"/>
      <c r="M198" s="90"/>
      <c r="N198" s="90"/>
      <c r="O198" s="90"/>
      <c r="P198" s="90"/>
      <c r="Q198" s="90"/>
      <c r="R198" s="90"/>
      <c r="S198" s="90"/>
      <c r="T198" s="90"/>
      <c r="U198" s="90"/>
      <c r="V198" s="90"/>
      <c r="W198" s="90"/>
      <c r="X198" s="90"/>
      <c r="Y198" s="90"/>
      <c r="Z198" s="90"/>
      <c r="AA198" s="90"/>
      <c r="AB198" s="90"/>
    </row>
    <row r="199" spans="1:28" ht="16">
      <c r="A199" s="125"/>
      <c r="B199" s="91" t="s">
        <v>966</v>
      </c>
      <c r="C199" s="97">
        <f>C197+C46</f>
        <v>2</v>
      </c>
      <c r="D199" s="98" t="s">
        <v>727</v>
      </c>
      <c r="E199" s="99"/>
      <c r="F199" s="92"/>
      <c r="G199" s="93" t="b">
        <v>1</v>
      </c>
      <c r="H199" s="93"/>
      <c r="I199" s="90"/>
      <c r="J199" s="90"/>
      <c r="K199" s="90"/>
      <c r="L199" s="90"/>
      <c r="M199" s="90"/>
      <c r="N199" s="90"/>
      <c r="O199" s="90"/>
      <c r="P199" s="90"/>
      <c r="Q199" s="90"/>
      <c r="R199" s="90"/>
      <c r="S199" s="90"/>
      <c r="T199" s="90"/>
      <c r="U199" s="90"/>
      <c r="V199" s="90"/>
      <c r="W199" s="90"/>
      <c r="X199" s="90"/>
      <c r="Y199" s="90"/>
      <c r="Z199" s="90"/>
      <c r="AA199" s="90"/>
      <c r="AB199" s="90"/>
    </row>
    <row r="200" spans="1:28" ht="16">
      <c r="A200" s="125"/>
      <c r="B200" s="87" t="s">
        <v>967</v>
      </c>
      <c r="C200" s="94">
        <f>C197+C48</f>
        <v>75</v>
      </c>
      <c r="D200" s="95" t="s">
        <v>727</v>
      </c>
      <c r="E200" s="96"/>
      <c r="F200" s="88"/>
      <c r="G200" s="89" t="b">
        <v>1</v>
      </c>
      <c r="H200" s="89"/>
      <c r="I200" s="90"/>
      <c r="J200" s="90"/>
      <c r="K200" s="90"/>
      <c r="L200" s="90"/>
      <c r="M200" s="90"/>
      <c r="N200" s="90"/>
      <c r="O200" s="90"/>
      <c r="P200" s="90"/>
      <c r="Q200" s="90"/>
      <c r="R200" s="90"/>
      <c r="S200" s="90"/>
      <c r="T200" s="90"/>
      <c r="U200" s="90"/>
      <c r="V200" s="90"/>
      <c r="W200" s="90"/>
      <c r="X200" s="90"/>
      <c r="Y200" s="90"/>
      <c r="Z200" s="90"/>
      <c r="AA200" s="90"/>
      <c r="AB200" s="90"/>
    </row>
    <row r="201" spans="1:28" ht="16">
      <c r="A201" s="125"/>
      <c r="B201" s="91" t="s">
        <v>968</v>
      </c>
      <c r="C201" s="97">
        <f>C200</f>
        <v>75</v>
      </c>
      <c r="D201" s="98" t="s">
        <v>727</v>
      </c>
      <c r="E201" s="99"/>
      <c r="F201" s="92"/>
      <c r="G201" s="93" t="b">
        <v>1</v>
      </c>
      <c r="H201" s="93"/>
      <c r="I201" s="90"/>
      <c r="J201" s="90"/>
      <c r="K201" s="90"/>
      <c r="L201" s="90"/>
      <c r="M201" s="90"/>
      <c r="N201" s="90"/>
      <c r="O201" s="90"/>
      <c r="P201" s="90"/>
      <c r="Q201" s="90"/>
      <c r="R201" s="90"/>
      <c r="S201" s="90"/>
      <c r="T201" s="90"/>
      <c r="U201" s="90"/>
      <c r="V201" s="90"/>
      <c r="W201" s="90"/>
      <c r="X201" s="90"/>
      <c r="Y201" s="90"/>
      <c r="Z201" s="90"/>
      <c r="AA201" s="90"/>
      <c r="AB201" s="90"/>
    </row>
    <row r="202" spans="1:28" ht="16">
      <c r="A202" s="125"/>
      <c r="B202" s="87" t="s">
        <v>969</v>
      </c>
      <c r="C202" s="94">
        <f>C201+C130</f>
        <v>303</v>
      </c>
      <c r="D202" s="95" t="s">
        <v>727</v>
      </c>
      <c r="E202" s="96"/>
      <c r="F202" s="88"/>
      <c r="G202" s="89" t="b">
        <v>1</v>
      </c>
      <c r="H202" s="89"/>
      <c r="I202" s="90"/>
      <c r="J202" s="90"/>
      <c r="K202" s="90"/>
      <c r="L202" s="90"/>
      <c r="M202" s="90"/>
      <c r="N202" s="90"/>
      <c r="O202" s="90"/>
      <c r="P202" s="90"/>
      <c r="Q202" s="90"/>
      <c r="R202" s="90"/>
      <c r="S202" s="90"/>
      <c r="T202" s="90"/>
      <c r="U202" s="90"/>
      <c r="V202" s="90"/>
      <c r="W202" s="90"/>
      <c r="X202" s="90"/>
      <c r="Y202" s="90"/>
      <c r="Z202" s="90"/>
      <c r="AA202" s="90"/>
      <c r="AB202" s="90"/>
    </row>
    <row r="203" spans="1:28" ht="16">
      <c r="A203" s="125"/>
      <c r="B203" s="91" t="s">
        <v>970</v>
      </c>
      <c r="C203" s="97">
        <f>C202+C85</f>
        <v>340.7</v>
      </c>
      <c r="D203" s="98" t="s">
        <v>727</v>
      </c>
      <c r="E203" s="99"/>
      <c r="F203" s="92"/>
      <c r="G203" s="93" t="b">
        <v>1</v>
      </c>
      <c r="H203" s="93"/>
      <c r="I203" s="90"/>
      <c r="J203" s="90"/>
      <c r="K203" s="90"/>
      <c r="L203" s="90"/>
      <c r="M203" s="90"/>
      <c r="N203" s="90"/>
      <c r="O203" s="90"/>
      <c r="P203" s="90"/>
      <c r="Q203" s="90"/>
      <c r="R203" s="90"/>
      <c r="S203" s="90"/>
      <c r="T203" s="90"/>
      <c r="U203" s="90"/>
      <c r="V203" s="90"/>
      <c r="W203" s="90"/>
      <c r="X203" s="90"/>
      <c r="Y203" s="90"/>
      <c r="Z203" s="90"/>
      <c r="AA203" s="90"/>
      <c r="AB203" s="90"/>
    </row>
    <row r="204" spans="1:28" ht="16">
      <c r="A204" s="125"/>
      <c r="B204" s="87" t="s">
        <v>971</v>
      </c>
      <c r="C204" s="94">
        <f>C203+C83</f>
        <v>492.1</v>
      </c>
      <c r="D204" s="95" t="s">
        <v>727</v>
      </c>
      <c r="E204" s="96"/>
      <c r="F204" s="88"/>
      <c r="G204" s="89" t="b">
        <v>1</v>
      </c>
      <c r="H204" s="89"/>
      <c r="I204" s="90"/>
      <c r="J204" s="90"/>
      <c r="K204" s="90"/>
      <c r="L204" s="90"/>
      <c r="M204" s="90"/>
      <c r="N204" s="90"/>
      <c r="O204" s="90"/>
      <c r="P204" s="90"/>
      <c r="Q204" s="90"/>
      <c r="R204" s="90"/>
      <c r="S204" s="90"/>
      <c r="T204" s="90"/>
      <c r="U204" s="90"/>
      <c r="V204" s="90"/>
      <c r="W204" s="90"/>
      <c r="X204" s="90"/>
      <c r="Y204" s="90"/>
      <c r="Z204" s="90"/>
      <c r="AA204" s="90"/>
      <c r="AB204" s="90"/>
    </row>
    <row r="205" spans="1:28" ht="16">
      <c r="A205" s="125"/>
      <c r="B205" s="91" t="s">
        <v>972</v>
      </c>
      <c r="C205" s="97">
        <f>C204+C88</f>
        <v>568.42600000000004</v>
      </c>
      <c r="D205" s="98" t="s">
        <v>727</v>
      </c>
      <c r="E205" s="99"/>
      <c r="F205" s="92"/>
      <c r="G205" s="93" t="b">
        <v>1</v>
      </c>
      <c r="H205" s="93"/>
      <c r="I205" s="90"/>
      <c r="J205" s="90"/>
      <c r="K205" s="90"/>
      <c r="L205" s="90"/>
      <c r="M205" s="90"/>
      <c r="N205" s="90"/>
      <c r="O205" s="90"/>
      <c r="P205" s="90"/>
      <c r="Q205" s="90"/>
      <c r="R205" s="90"/>
      <c r="S205" s="90"/>
      <c r="T205" s="90"/>
      <c r="U205" s="90"/>
      <c r="V205" s="90"/>
      <c r="W205" s="90"/>
      <c r="X205" s="90"/>
      <c r="Y205" s="90"/>
      <c r="Z205" s="90"/>
      <c r="AA205" s="90"/>
      <c r="AB205" s="90"/>
    </row>
    <row r="206" spans="1:28" ht="16">
      <c r="A206" s="125"/>
      <c r="B206" s="87" t="s">
        <v>973</v>
      </c>
      <c r="C206" s="94">
        <f>C205+C92</f>
        <v>642.39600000000007</v>
      </c>
      <c r="D206" s="95" t="s">
        <v>727</v>
      </c>
      <c r="E206" s="96"/>
      <c r="F206" s="88"/>
      <c r="G206" s="89" t="b">
        <v>1</v>
      </c>
      <c r="H206" s="89"/>
      <c r="I206" s="90"/>
      <c r="J206" s="90"/>
      <c r="K206" s="90"/>
      <c r="L206" s="90"/>
      <c r="M206" s="90"/>
      <c r="N206" s="90"/>
      <c r="O206" s="90"/>
      <c r="P206" s="90"/>
      <c r="Q206" s="90"/>
      <c r="R206" s="90"/>
      <c r="S206" s="90"/>
      <c r="T206" s="90"/>
      <c r="U206" s="90"/>
      <c r="V206" s="90"/>
      <c r="W206" s="90"/>
      <c r="X206" s="90"/>
      <c r="Y206" s="90"/>
      <c r="Z206" s="90"/>
      <c r="AA206" s="90"/>
      <c r="AB206" s="90"/>
    </row>
    <row r="207" spans="1:28" ht="16">
      <c r="A207" s="125"/>
      <c r="B207" s="91" t="s">
        <v>974</v>
      </c>
      <c r="C207" s="97">
        <f>C206+C146</f>
        <v>808.39600000000007</v>
      </c>
      <c r="D207" s="98" t="s">
        <v>727</v>
      </c>
      <c r="E207" s="99"/>
      <c r="F207" s="92"/>
      <c r="G207" s="93" t="b">
        <v>1</v>
      </c>
      <c r="H207" s="93"/>
      <c r="I207" s="90"/>
      <c r="J207" s="90"/>
      <c r="K207" s="90"/>
      <c r="L207" s="90"/>
      <c r="M207" s="90"/>
      <c r="N207" s="90"/>
      <c r="O207" s="90"/>
      <c r="P207" s="90"/>
      <c r="Q207" s="90"/>
      <c r="R207" s="90"/>
      <c r="S207" s="90"/>
      <c r="T207" s="90"/>
      <c r="U207" s="90"/>
      <c r="V207" s="90"/>
      <c r="W207" s="90"/>
      <c r="X207" s="90"/>
      <c r="Y207" s="90"/>
      <c r="Z207" s="90"/>
      <c r="AA207" s="90"/>
      <c r="AB207" s="90"/>
    </row>
    <row r="208" spans="1:28" ht="16">
      <c r="A208" s="125"/>
      <c r="B208" s="87" t="s">
        <v>975</v>
      </c>
      <c r="C208" s="94">
        <f>C207</f>
        <v>808.39600000000007</v>
      </c>
      <c r="D208" s="95" t="s">
        <v>727</v>
      </c>
      <c r="E208" s="96"/>
      <c r="F208" s="88"/>
      <c r="G208" s="89" t="b">
        <v>1</v>
      </c>
      <c r="H208" s="89"/>
      <c r="I208" s="90"/>
      <c r="J208" s="90"/>
      <c r="K208" s="90"/>
      <c r="L208" s="90"/>
      <c r="M208" s="90"/>
      <c r="N208" s="90"/>
      <c r="O208" s="90"/>
      <c r="P208" s="90"/>
      <c r="Q208" s="90"/>
      <c r="R208" s="90"/>
      <c r="S208" s="90"/>
      <c r="T208" s="90"/>
      <c r="U208" s="90"/>
      <c r="V208" s="90"/>
      <c r="W208" s="90"/>
      <c r="X208" s="90"/>
      <c r="Y208" s="90"/>
      <c r="Z208" s="90"/>
      <c r="AA208" s="90"/>
      <c r="AB208" s="90"/>
    </row>
    <row r="209" spans="1:28" ht="16">
      <c r="A209" s="125"/>
      <c r="B209" s="91" t="s">
        <v>976</v>
      </c>
      <c r="C209" s="97">
        <f>C208+C62-C60</f>
        <v>852.84600000000012</v>
      </c>
      <c r="D209" s="98" t="s">
        <v>727</v>
      </c>
      <c r="E209" s="99"/>
      <c r="F209" s="92"/>
      <c r="G209" s="93" t="b">
        <v>1</v>
      </c>
      <c r="H209" s="93"/>
      <c r="I209" s="90"/>
      <c r="J209" s="90"/>
      <c r="K209" s="90"/>
      <c r="L209" s="90"/>
      <c r="M209" s="90"/>
      <c r="N209" s="90"/>
      <c r="O209" s="90"/>
      <c r="P209" s="90"/>
      <c r="Q209" s="90"/>
      <c r="R209" s="90"/>
      <c r="S209" s="90"/>
      <c r="T209" s="90"/>
      <c r="U209" s="90"/>
      <c r="V209" s="90"/>
      <c r="W209" s="90"/>
      <c r="X209" s="90"/>
      <c r="Y209" s="90"/>
      <c r="Z209" s="90"/>
      <c r="AA209" s="90"/>
      <c r="AB209" s="90"/>
    </row>
    <row r="210" spans="1:28" ht="16">
      <c r="A210" s="125"/>
      <c r="B210" s="87" t="s">
        <v>977</v>
      </c>
      <c r="C210" s="94">
        <f>C209+C60</f>
        <v>853.45600000000013</v>
      </c>
      <c r="D210" s="95" t="s">
        <v>727</v>
      </c>
      <c r="E210" s="96"/>
      <c r="F210" s="88"/>
      <c r="G210" s="89" t="b">
        <v>1</v>
      </c>
      <c r="H210" s="89"/>
      <c r="I210" s="90"/>
      <c r="J210" s="90"/>
      <c r="K210" s="90"/>
      <c r="L210" s="90"/>
      <c r="M210" s="90"/>
      <c r="N210" s="90"/>
      <c r="O210" s="90"/>
      <c r="P210" s="90"/>
      <c r="Q210" s="90"/>
      <c r="R210" s="90"/>
      <c r="S210" s="90"/>
      <c r="T210" s="90"/>
      <c r="U210" s="90"/>
      <c r="V210" s="90"/>
      <c r="W210" s="90"/>
      <c r="X210" s="90"/>
      <c r="Y210" s="90"/>
      <c r="Z210" s="90"/>
      <c r="AA210" s="90"/>
      <c r="AB210" s="90"/>
    </row>
    <row r="211" spans="1:28" ht="16">
      <c r="A211" s="125"/>
      <c r="B211" s="91" t="s">
        <v>978</v>
      </c>
      <c r="C211" s="97"/>
      <c r="D211" s="98"/>
      <c r="E211" s="99"/>
      <c r="F211" s="92"/>
      <c r="G211" s="93" t="b">
        <v>0</v>
      </c>
      <c r="H211" s="93"/>
      <c r="I211" s="90"/>
      <c r="J211" s="90"/>
      <c r="K211" s="90"/>
      <c r="L211" s="90"/>
      <c r="M211" s="90"/>
      <c r="N211" s="90"/>
      <c r="O211" s="90"/>
      <c r="P211" s="90"/>
      <c r="Q211" s="90"/>
      <c r="R211" s="90"/>
      <c r="S211" s="90"/>
      <c r="T211" s="90"/>
      <c r="U211" s="90"/>
      <c r="V211" s="90"/>
      <c r="W211" s="90"/>
      <c r="X211" s="90"/>
      <c r="Y211" s="90"/>
      <c r="Z211" s="90"/>
      <c r="AA211" s="90"/>
      <c r="AB211" s="90"/>
    </row>
    <row r="212" spans="1:28" ht="16">
      <c r="A212" s="125"/>
      <c r="B212" s="87" t="s">
        <v>979</v>
      </c>
      <c r="C212" s="94">
        <f>C210+C60</f>
        <v>854.06600000000014</v>
      </c>
      <c r="D212" s="95" t="s">
        <v>727</v>
      </c>
      <c r="E212" s="96"/>
      <c r="F212" s="88"/>
      <c r="G212" s="89" t="b">
        <v>1</v>
      </c>
      <c r="H212" s="89"/>
      <c r="I212" s="90"/>
      <c r="J212" s="90"/>
      <c r="K212" s="90"/>
      <c r="L212" s="90"/>
      <c r="M212" s="90"/>
      <c r="N212" s="90"/>
      <c r="O212" s="90"/>
      <c r="P212" s="90"/>
      <c r="Q212" s="90"/>
      <c r="R212" s="90"/>
      <c r="S212" s="90"/>
      <c r="T212" s="90"/>
      <c r="U212" s="90"/>
      <c r="V212" s="90"/>
      <c r="W212" s="90"/>
      <c r="X212" s="90"/>
      <c r="Y212" s="90"/>
      <c r="Z212" s="90"/>
      <c r="AA212" s="90"/>
      <c r="AB212" s="90"/>
    </row>
    <row r="213" spans="1:28" ht="16">
      <c r="A213" s="125"/>
      <c r="B213" s="91" t="s">
        <v>980</v>
      </c>
      <c r="C213" s="97">
        <f>C212+C62-C60</f>
        <v>898.51600000000019</v>
      </c>
      <c r="D213" s="98" t="s">
        <v>727</v>
      </c>
      <c r="E213" s="99"/>
      <c r="F213" s="92"/>
      <c r="G213" s="93" t="b">
        <v>1</v>
      </c>
      <c r="H213" s="93"/>
      <c r="I213" s="90"/>
      <c r="J213" s="90"/>
      <c r="K213" s="90"/>
      <c r="L213" s="90"/>
      <c r="M213" s="90"/>
      <c r="N213" s="90"/>
      <c r="O213" s="90"/>
      <c r="P213" s="90"/>
      <c r="Q213" s="90"/>
      <c r="R213" s="90"/>
      <c r="S213" s="90"/>
      <c r="T213" s="90"/>
      <c r="U213" s="90"/>
      <c r="V213" s="90"/>
      <c r="W213" s="90"/>
      <c r="X213" s="90"/>
      <c r="Y213" s="90"/>
      <c r="Z213" s="90"/>
      <c r="AA213" s="90"/>
      <c r="AB213" s="90"/>
    </row>
    <row r="214" spans="1:28" ht="16">
      <c r="A214" s="125"/>
      <c r="B214" s="87" t="s">
        <v>981</v>
      </c>
      <c r="C214" s="94">
        <f>C213</f>
        <v>898.51600000000019</v>
      </c>
      <c r="D214" s="95" t="s">
        <v>727</v>
      </c>
      <c r="E214" s="96"/>
      <c r="F214" s="88"/>
      <c r="G214" s="89" t="b">
        <v>1</v>
      </c>
      <c r="H214" s="89"/>
      <c r="I214" s="90"/>
      <c r="J214" s="90"/>
      <c r="K214" s="90"/>
      <c r="L214" s="90"/>
      <c r="M214" s="90"/>
      <c r="N214" s="90"/>
      <c r="O214" s="90"/>
      <c r="P214" s="90"/>
      <c r="Q214" s="90"/>
      <c r="R214" s="90"/>
      <c r="S214" s="90"/>
      <c r="T214" s="90"/>
      <c r="U214" s="90"/>
      <c r="V214" s="90"/>
      <c r="W214" s="90"/>
      <c r="X214" s="90"/>
      <c r="Y214" s="90"/>
      <c r="Z214" s="90"/>
      <c r="AA214" s="90"/>
      <c r="AB214" s="90"/>
    </row>
    <row r="215" spans="1:28" ht="16">
      <c r="A215" s="125"/>
      <c r="B215" s="91" t="s">
        <v>982</v>
      </c>
      <c r="C215" s="97">
        <f>C214+C161</f>
        <v>1126.5160000000001</v>
      </c>
      <c r="D215" s="98" t="s">
        <v>727</v>
      </c>
      <c r="E215" s="99"/>
      <c r="F215" s="92"/>
      <c r="G215" s="93" t="b">
        <v>1</v>
      </c>
      <c r="H215" s="93"/>
      <c r="I215" s="90"/>
      <c r="J215" s="90"/>
      <c r="K215" s="90"/>
      <c r="L215" s="90"/>
      <c r="M215" s="90"/>
      <c r="N215" s="90"/>
      <c r="O215" s="90"/>
      <c r="P215" s="90"/>
      <c r="Q215" s="90"/>
      <c r="R215" s="90"/>
      <c r="S215" s="90"/>
      <c r="T215" s="90"/>
      <c r="U215" s="90"/>
      <c r="V215" s="90"/>
      <c r="W215" s="90"/>
      <c r="X215" s="90"/>
      <c r="Y215" s="90"/>
      <c r="Z215" s="90"/>
      <c r="AA215" s="90"/>
      <c r="AB215" s="90"/>
    </row>
    <row r="216" spans="1:28" ht="16">
      <c r="A216" s="125"/>
      <c r="B216" s="87" t="s">
        <v>983</v>
      </c>
      <c r="C216" s="94">
        <f>C215+C97</f>
        <v>1190.3960000000002</v>
      </c>
      <c r="D216" s="95" t="s">
        <v>727</v>
      </c>
      <c r="E216" s="96"/>
      <c r="F216" s="88"/>
      <c r="G216" s="89" t="b">
        <v>1</v>
      </c>
      <c r="H216" s="89"/>
      <c r="I216" s="90"/>
      <c r="J216" s="90"/>
      <c r="K216" s="90"/>
      <c r="L216" s="90"/>
      <c r="M216" s="90"/>
      <c r="N216" s="90"/>
      <c r="O216" s="90"/>
      <c r="P216" s="90"/>
      <c r="Q216" s="90"/>
      <c r="R216" s="90"/>
      <c r="S216" s="90"/>
      <c r="T216" s="90"/>
      <c r="U216" s="90"/>
      <c r="V216" s="90"/>
      <c r="W216" s="90"/>
      <c r="X216" s="90"/>
      <c r="Y216" s="90"/>
      <c r="Z216" s="90"/>
      <c r="AA216" s="90"/>
      <c r="AB216" s="90"/>
    </row>
    <row r="217" spans="1:28" ht="16">
      <c r="A217" s="125"/>
      <c r="B217" s="91" t="s">
        <v>984</v>
      </c>
      <c r="C217" s="97">
        <f>C216+C95</f>
        <v>1303.5860000000002</v>
      </c>
      <c r="D217" s="98" t="s">
        <v>727</v>
      </c>
      <c r="E217" s="99"/>
      <c r="F217" s="92"/>
      <c r="G217" s="93" t="b">
        <v>1</v>
      </c>
      <c r="H217" s="93"/>
      <c r="I217" s="90"/>
      <c r="J217" s="90"/>
      <c r="K217" s="90"/>
      <c r="L217" s="90"/>
      <c r="M217" s="90"/>
      <c r="N217" s="90"/>
      <c r="O217" s="90"/>
      <c r="P217" s="90"/>
      <c r="Q217" s="90"/>
      <c r="R217" s="90"/>
      <c r="S217" s="90"/>
      <c r="T217" s="90"/>
      <c r="U217" s="90"/>
      <c r="V217" s="90"/>
      <c r="W217" s="90"/>
      <c r="X217" s="90"/>
      <c r="Y217" s="90"/>
      <c r="Z217" s="90"/>
      <c r="AA217" s="90"/>
      <c r="AB217" s="90"/>
    </row>
    <row r="218" spans="1:28" ht="16">
      <c r="A218" s="125"/>
      <c r="B218" s="87" t="s">
        <v>985</v>
      </c>
      <c r="C218" s="94">
        <f t="shared" ref="C218:C219" si="0">C217+C100</f>
        <v>1475.5160000000003</v>
      </c>
      <c r="D218" s="95" t="s">
        <v>727</v>
      </c>
      <c r="E218" s="96"/>
      <c r="F218" s="88"/>
      <c r="G218" s="89" t="b">
        <v>1</v>
      </c>
      <c r="H218" s="89"/>
      <c r="I218" s="90"/>
      <c r="J218" s="90"/>
      <c r="K218" s="90"/>
      <c r="L218" s="90"/>
      <c r="M218" s="90"/>
      <c r="N218" s="90"/>
      <c r="O218" s="90"/>
      <c r="P218" s="90"/>
      <c r="Q218" s="90"/>
      <c r="R218" s="90"/>
      <c r="S218" s="90"/>
      <c r="T218" s="90"/>
      <c r="U218" s="90"/>
      <c r="V218" s="90"/>
      <c r="W218" s="90"/>
      <c r="X218" s="90"/>
      <c r="Y218" s="90"/>
      <c r="Z218" s="90"/>
      <c r="AA218" s="90"/>
      <c r="AB218" s="90"/>
    </row>
    <row r="219" spans="1:28" ht="16">
      <c r="A219" s="125"/>
      <c r="B219" s="91" t="s">
        <v>986</v>
      </c>
      <c r="C219" s="97">
        <f t="shared" si="0"/>
        <v>1553.2360000000003</v>
      </c>
      <c r="D219" s="98" t="s">
        <v>727</v>
      </c>
      <c r="E219" s="99"/>
      <c r="F219" s="92"/>
      <c r="G219" s="93" t="b">
        <v>1</v>
      </c>
      <c r="H219" s="93"/>
      <c r="I219" s="90"/>
      <c r="J219" s="90"/>
      <c r="K219" s="90"/>
      <c r="L219" s="90"/>
      <c r="M219" s="90"/>
      <c r="N219" s="90"/>
      <c r="O219" s="90"/>
      <c r="P219" s="90"/>
      <c r="Q219" s="90"/>
      <c r="R219" s="90"/>
      <c r="S219" s="90"/>
      <c r="T219" s="90"/>
      <c r="U219" s="90"/>
      <c r="V219" s="90"/>
      <c r="W219" s="90"/>
      <c r="X219" s="90"/>
      <c r="Y219" s="90"/>
      <c r="Z219" s="90"/>
      <c r="AA219" s="90"/>
      <c r="AB219" s="90"/>
    </row>
    <row r="220" spans="1:28" ht="16">
      <c r="A220" s="125"/>
      <c r="B220" s="87" t="s">
        <v>987</v>
      </c>
      <c r="C220" s="94">
        <f>C219+C179</f>
        <v>1713.2360000000003</v>
      </c>
      <c r="D220" s="95" t="s">
        <v>727</v>
      </c>
      <c r="E220" s="96"/>
      <c r="F220" s="88"/>
      <c r="G220" s="89" t="b">
        <v>1</v>
      </c>
      <c r="H220" s="89"/>
      <c r="I220" s="90"/>
      <c r="J220" s="90"/>
      <c r="K220" s="90"/>
      <c r="L220" s="90"/>
      <c r="M220" s="90"/>
      <c r="N220" s="90"/>
      <c r="O220" s="90"/>
      <c r="P220" s="90"/>
      <c r="Q220" s="90"/>
      <c r="R220" s="90"/>
      <c r="S220" s="90"/>
      <c r="T220" s="90"/>
      <c r="U220" s="90"/>
      <c r="V220" s="90"/>
      <c r="W220" s="90"/>
      <c r="X220" s="90"/>
      <c r="Y220" s="90"/>
      <c r="Z220" s="90"/>
      <c r="AA220" s="90"/>
      <c r="AB220" s="90"/>
    </row>
    <row r="221" spans="1:28" ht="16">
      <c r="A221" s="125"/>
      <c r="B221" s="91" t="s">
        <v>988</v>
      </c>
      <c r="C221" s="97">
        <f>C220</f>
        <v>1713.2360000000003</v>
      </c>
      <c r="D221" s="98" t="s">
        <v>727</v>
      </c>
      <c r="E221" s="99"/>
      <c r="F221" s="92"/>
      <c r="G221" s="93" t="b">
        <v>1</v>
      </c>
      <c r="H221" s="93"/>
      <c r="I221" s="90"/>
      <c r="J221" s="90"/>
      <c r="K221" s="90"/>
      <c r="L221" s="90"/>
      <c r="M221" s="90"/>
      <c r="N221" s="90"/>
      <c r="O221" s="90"/>
      <c r="P221" s="90"/>
      <c r="Q221" s="90"/>
      <c r="R221" s="90"/>
      <c r="S221" s="90"/>
      <c r="T221" s="90"/>
      <c r="U221" s="90"/>
      <c r="V221" s="90"/>
      <c r="W221" s="90"/>
      <c r="X221" s="90"/>
      <c r="Y221" s="90"/>
      <c r="Z221" s="90"/>
      <c r="AA221" s="90"/>
      <c r="AB221" s="90"/>
    </row>
    <row r="222" spans="1:28" ht="16">
      <c r="A222" s="125"/>
      <c r="B222" s="87" t="s">
        <v>989</v>
      </c>
      <c r="C222" s="94">
        <f>C221+C75-C73</f>
        <v>1753.2960000000003</v>
      </c>
      <c r="D222" s="95" t="s">
        <v>727</v>
      </c>
      <c r="E222" s="96"/>
      <c r="F222" s="88"/>
      <c r="G222" s="89" t="b">
        <v>1</v>
      </c>
      <c r="H222" s="89"/>
      <c r="I222" s="90"/>
      <c r="J222" s="90"/>
      <c r="K222" s="90"/>
      <c r="L222" s="90"/>
      <c r="M222" s="90"/>
      <c r="N222" s="90"/>
      <c r="O222" s="90"/>
      <c r="P222" s="90"/>
      <c r="Q222" s="90"/>
      <c r="R222" s="90"/>
      <c r="S222" s="90"/>
      <c r="T222" s="90"/>
      <c r="U222" s="90"/>
      <c r="V222" s="90"/>
      <c r="W222" s="90"/>
      <c r="X222" s="90"/>
      <c r="Y222" s="90"/>
      <c r="Z222" s="90"/>
      <c r="AA222" s="90"/>
      <c r="AB222" s="90"/>
    </row>
    <row r="223" spans="1:28" ht="16">
      <c r="A223" s="129"/>
      <c r="B223" s="91" t="s">
        <v>990</v>
      </c>
      <c r="C223" s="97">
        <f>C222+C73</f>
        <v>1773.2960000000003</v>
      </c>
      <c r="D223" s="98" t="s">
        <v>727</v>
      </c>
      <c r="E223" s="99"/>
      <c r="F223" s="92"/>
      <c r="G223" s="93" t="b">
        <v>1</v>
      </c>
      <c r="H223" s="93"/>
      <c r="I223" s="90"/>
      <c r="J223" s="90"/>
      <c r="K223" s="90"/>
      <c r="L223" s="90"/>
      <c r="M223" s="90"/>
      <c r="N223" s="90"/>
      <c r="O223" s="90"/>
      <c r="P223" s="90"/>
      <c r="Q223" s="90"/>
      <c r="R223" s="90"/>
      <c r="S223" s="90"/>
      <c r="T223" s="90"/>
      <c r="U223" s="90"/>
      <c r="V223" s="90"/>
      <c r="W223" s="90"/>
      <c r="X223" s="90"/>
      <c r="Y223" s="90"/>
      <c r="Z223" s="90"/>
      <c r="AA223" s="90"/>
      <c r="AB223" s="90"/>
    </row>
    <row r="224" spans="1:28" ht="16">
      <c r="A224" s="128" t="s">
        <v>991</v>
      </c>
      <c r="B224" s="87" t="s">
        <v>992</v>
      </c>
      <c r="C224" s="94">
        <f>C199-C197</f>
        <v>2</v>
      </c>
      <c r="D224" s="95" t="s">
        <v>727</v>
      </c>
      <c r="E224" s="96"/>
      <c r="F224" s="88" t="str">
        <f t="shared" ref="F224:F233" si="1">SUBSTITUTE(SUBSTITUTE(SUBSTITUTE(SUBSTITUTE(B224,"{",""),".","_"),"}",""),",","_")</f>
        <v>dz_SAM_OL1_I</v>
      </c>
      <c r="G224" s="89" t="b">
        <v>1</v>
      </c>
      <c r="H224" s="89" t="s">
        <v>993</v>
      </c>
      <c r="I224" s="90" t="str">
        <f t="shared" ref="I224:I233" si="2">C224&amp;" "&amp;D224</f>
        <v>2 mm</v>
      </c>
      <c r="J224" s="90"/>
      <c r="K224" s="90"/>
      <c r="L224" s="90"/>
      <c r="M224" s="90"/>
      <c r="N224" s="90"/>
      <c r="O224" s="90"/>
      <c r="P224" s="90"/>
      <c r="Q224" s="90"/>
      <c r="R224" s="90"/>
      <c r="S224" s="90"/>
      <c r="T224" s="90"/>
      <c r="U224" s="90"/>
      <c r="V224" s="90"/>
      <c r="W224" s="90"/>
      <c r="X224" s="90"/>
      <c r="Y224" s="90"/>
      <c r="Z224" s="90"/>
      <c r="AA224" s="90"/>
      <c r="AB224" s="90"/>
    </row>
    <row r="225" spans="1:28" ht="16">
      <c r="A225" s="125"/>
      <c r="B225" s="91" t="s">
        <v>994</v>
      </c>
      <c r="C225" s="97">
        <f>C202-C200</f>
        <v>228</v>
      </c>
      <c r="D225" s="98" t="s">
        <v>727</v>
      </c>
      <c r="E225" s="99"/>
      <c r="F225" s="92" t="str">
        <f t="shared" si="1"/>
        <v>dz_OL1_P_L1_P</v>
      </c>
      <c r="G225" s="93" t="b">
        <v>1</v>
      </c>
      <c r="H225" s="93" t="s">
        <v>995</v>
      </c>
      <c r="I225" s="90" t="str">
        <f t="shared" si="2"/>
        <v>228 mm</v>
      </c>
      <c r="J225" s="90"/>
      <c r="K225" s="90"/>
      <c r="L225" s="90"/>
      <c r="M225" s="90"/>
      <c r="N225" s="90"/>
      <c r="O225" s="90"/>
      <c r="P225" s="90"/>
      <c r="Q225" s="90"/>
      <c r="R225" s="90"/>
      <c r="S225" s="90"/>
      <c r="T225" s="90"/>
      <c r="U225" s="90"/>
      <c r="V225" s="90"/>
      <c r="W225" s="90"/>
      <c r="X225" s="90"/>
      <c r="Y225" s="90"/>
      <c r="Z225" s="90"/>
      <c r="AA225" s="90"/>
      <c r="AB225" s="90"/>
    </row>
    <row r="226" spans="1:28" ht="16">
      <c r="A226" s="125"/>
      <c r="B226" s="87" t="s">
        <v>996</v>
      </c>
      <c r="C226" s="94">
        <f>C205-C203</f>
        <v>227.72600000000006</v>
      </c>
      <c r="D226" s="95" t="s">
        <v>727</v>
      </c>
      <c r="E226" s="96"/>
      <c r="F226" s="88" t="str">
        <f t="shared" si="1"/>
        <v>dz_L1_I_L2_I</v>
      </c>
      <c r="G226" s="89" t="b">
        <v>1</v>
      </c>
      <c r="H226" s="89" t="s">
        <v>997</v>
      </c>
      <c r="I226" s="90" t="str">
        <f t="shared" si="2"/>
        <v>227.726 mm</v>
      </c>
      <c r="J226" s="90"/>
      <c r="K226" s="90"/>
      <c r="L226" s="90"/>
      <c r="M226" s="90"/>
      <c r="N226" s="90"/>
      <c r="O226" s="90"/>
      <c r="P226" s="90"/>
      <c r="Q226" s="90"/>
      <c r="R226" s="90"/>
      <c r="S226" s="90"/>
      <c r="T226" s="90"/>
      <c r="U226" s="90"/>
      <c r="V226" s="90"/>
      <c r="W226" s="90"/>
      <c r="X226" s="90"/>
      <c r="Y226" s="90"/>
      <c r="Z226" s="90"/>
      <c r="AA226" s="90"/>
      <c r="AB226" s="90"/>
    </row>
    <row r="227" spans="1:28" ht="16">
      <c r="A227" s="125"/>
      <c r="B227" s="91" t="s">
        <v>998</v>
      </c>
      <c r="C227" s="97">
        <f>C208-C206</f>
        <v>166</v>
      </c>
      <c r="D227" s="98" t="s">
        <v>727</v>
      </c>
      <c r="E227" s="99"/>
      <c r="F227" s="92" t="str">
        <f t="shared" si="1"/>
        <v>dz_L2_P_OL2_P</v>
      </c>
      <c r="G227" s="93" t="b">
        <v>1</v>
      </c>
      <c r="H227" s="93" t="s">
        <v>999</v>
      </c>
      <c r="I227" s="90" t="str">
        <f t="shared" si="2"/>
        <v>166 mm</v>
      </c>
      <c r="J227" s="90"/>
      <c r="K227" s="90"/>
      <c r="L227" s="90"/>
      <c r="M227" s="90"/>
      <c r="N227" s="90"/>
      <c r="O227" s="90"/>
      <c r="P227" s="90"/>
      <c r="Q227" s="90"/>
      <c r="R227" s="90"/>
      <c r="S227" s="90"/>
      <c r="T227" s="90"/>
      <c r="U227" s="90"/>
      <c r="V227" s="90"/>
      <c r="W227" s="90"/>
      <c r="X227" s="90"/>
      <c r="Y227" s="90"/>
      <c r="Z227" s="90"/>
      <c r="AA227" s="90"/>
      <c r="AB227" s="90"/>
    </row>
    <row r="228" spans="1:28" ht="16">
      <c r="A228" s="125"/>
      <c r="B228" s="87" t="s">
        <v>1000</v>
      </c>
      <c r="C228" s="94">
        <f>C210-C209</f>
        <v>0.61000000000001364</v>
      </c>
      <c r="D228" s="95" t="s">
        <v>727</v>
      </c>
      <c r="E228" s="96"/>
      <c r="F228" s="88" t="str">
        <f t="shared" si="1"/>
        <v>dz_OL2_I_PZM</v>
      </c>
      <c r="G228" s="89" t="b">
        <v>1</v>
      </c>
      <c r="H228" s="89" t="s">
        <v>1001</v>
      </c>
      <c r="I228" s="90" t="str">
        <f t="shared" si="2"/>
        <v>0.610000000000014 mm</v>
      </c>
      <c r="J228" s="90"/>
      <c r="K228" s="90"/>
      <c r="L228" s="90"/>
      <c r="M228" s="90"/>
      <c r="N228" s="90"/>
      <c r="O228" s="90"/>
      <c r="P228" s="90"/>
      <c r="Q228" s="90"/>
      <c r="R228" s="90"/>
      <c r="S228" s="90"/>
      <c r="T228" s="90"/>
      <c r="U228" s="90"/>
      <c r="V228" s="90"/>
      <c r="W228" s="90"/>
      <c r="X228" s="90"/>
      <c r="Y228" s="90"/>
      <c r="Z228" s="90"/>
      <c r="AA228" s="90"/>
      <c r="AB228" s="90"/>
    </row>
    <row r="229" spans="1:28" ht="16">
      <c r="A229" s="125"/>
      <c r="B229" s="91" t="s">
        <v>1002</v>
      </c>
      <c r="C229" s="97">
        <f>C215-C213</f>
        <v>227.99999999999989</v>
      </c>
      <c r="D229" s="98" t="s">
        <v>727</v>
      </c>
      <c r="E229" s="99"/>
      <c r="F229" s="92" t="str">
        <f t="shared" si="1"/>
        <v>dz_OL2_P_L3_P</v>
      </c>
      <c r="G229" s="93" t="b">
        <v>1</v>
      </c>
      <c r="H229" s="93" t="s">
        <v>1003</v>
      </c>
      <c r="I229" s="90" t="str">
        <f t="shared" si="2"/>
        <v>228 mm</v>
      </c>
      <c r="J229" s="90"/>
      <c r="K229" s="90"/>
      <c r="L229" s="90"/>
      <c r="M229" s="90"/>
      <c r="N229" s="90"/>
      <c r="O229" s="90"/>
      <c r="P229" s="90"/>
      <c r="Q229" s="90"/>
      <c r="R229" s="90"/>
      <c r="S229" s="90"/>
      <c r="T229" s="90"/>
      <c r="U229" s="90"/>
      <c r="V229" s="90"/>
      <c r="W229" s="90"/>
      <c r="X229" s="90"/>
      <c r="Y229" s="90"/>
      <c r="Z229" s="90"/>
      <c r="AA229" s="90"/>
      <c r="AB229" s="90"/>
    </row>
    <row r="230" spans="1:28" ht="16">
      <c r="A230" s="125"/>
      <c r="B230" s="87" t="s">
        <v>1004</v>
      </c>
      <c r="C230" s="94">
        <f t="shared" ref="C230:C231" si="3">C217-C216</f>
        <v>113.19000000000005</v>
      </c>
      <c r="D230" s="95" t="s">
        <v>727</v>
      </c>
      <c r="E230" s="96"/>
      <c r="F230" s="88" t="str">
        <f t="shared" si="1"/>
        <v>dz_L3_I_KEM</v>
      </c>
      <c r="G230" s="89" t="b">
        <v>1</v>
      </c>
      <c r="H230" s="89" t="s">
        <v>1005</v>
      </c>
      <c r="I230" s="90" t="str">
        <f t="shared" si="2"/>
        <v>113.19 mm</v>
      </c>
      <c r="J230" s="90"/>
      <c r="K230" s="90"/>
      <c r="L230" s="90"/>
      <c r="M230" s="90"/>
      <c r="N230" s="90"/>
      <c r="O230" s="90"/>
      <c r="P230" s="90"/>
      <c r="Q230" s="90"/>
      <c r="R230" s="90"/>
      <c r="S230" s="90"/>
      <c r="T230" s="90"/>
      <c r="U230" s="90"/>
      <c r="V230" s="90"/>
      <c r="W230" s="90"/>
      <c r="X230" s="90"/>
      <c r="Y230" s="90"/>
      <c r="Z230" s="90"/>
      <c r="AA230" s="90"/>
      <c r="AB230" s="90"/>
    </row>
    <row r="231" spans="1:28" ht="16">
      <c r="A231" s="125"/>
      <c r="B231" s="91" t="s">
        <v>1006</v>
      </c>
      <c r="C231" s="97">
        <f t="shared" si="3"/>
        <v>171.93000000000006</v>
      </c>
      <c r="D231" s="98" t="s">
        <v>727</v>
      </c>
      <c r="E231" s="99"/>
      <c r="F231" s="92" t="str">
        <f t="shared" si="1"/>
        <v>dz_KEM_L4_I</v>
      </c>
      <c r="G231" s="93" t="b">
        <v>1</v>
      </c>
      <c r="H231" s="93" t="s">
        <v>1007</v>
      </c>
      <c r="I231" s="90" t="str">
        <f t="shared" si="2"/>
        <v>171.93 mm</v>
      </c>
      <c r="J231" s="90"/>
      <c r="K231" s="90"/>
      <c r="L231" s="90"/>
      <c r="M231" s="90"/>
      <c r="N231" s="90"/>
      <c r="O231" s="90"/>
      <c r="P231" s="90"/>
      <c r="Q231" s="90"/>
      <c r="R231" s="90"/>
      <c r="S231" s="90"/>
      <c r="T231" s="90"/>
      <c r="U231" s="90"/>
      <c r="V231" s="90"/>
      <c r="W231" s="90"/>
      <c r="X231" s="90"/>
      <c r="Y231" s="90"/>
      <c r="Z231" s="90"/>
      <c r="AA231" s="90"/>
      <c r="AB231" s="90"/>
    </row>
    <row r="232" spans="1:28" ht="16">
      <c r="A232" s="125"/>
      <c r="B232" s="87" t="s">
        <v>1008</v>
      </c>
      <c r="C232" s="94">
        <f>C221-C219</f>
        <v>160</v>
      </c>
      <c r="D232" s="95" t="s">
        <v>727</v>
      </c>
      <c r="E232" s="96"/>
      <c r="F232" s="88" t="str">
        <f t="shared" si="1"/>
        <v>dz_L4_P_OL3_P</v>
      </c>
      <c r="G232" s="89" t="b">
        <v>1</v>
      </c>
      <c r="H232" s="89" t="s">
        <v>1009</v>
      </c>
      <c r="I232" s="90" t="str">
        <f t="shared" si="2"/>
        <v>160 mm</v>
      </c>
      <c r="J232" s="90"/>
      <c r="K232" s="90"/>
      <c r="L232" s="90"/>
      <c r="M232" s="90"/>
      <c r="N232" s="90"/>
      <c r="O232" s="90"/>
      <c r="P232" s="90"/>
      <c r="Q232" s="90"/>
      <c r="R232" s="90"/>
      <c r="S232" s="90"/>
      <c r="T232" s="90"/>
      <c r="U232" s="90"/>
      <c r="V232" s="90"/>
      <c r="W232" s="90"/>
      <c r="X232" s="90"/>
      <c r="Y232" s="90"/>
      <c r="Z232" s="90"/>
      <c r="AA232" s="90"/>
      <c r="AB232" s="90"/>
    </row>
    <row r="233" spans="1:28" ht="16">
      <c r="A233" s="129"/>
      <c r="B233" s="91" t="s">
        <v>1010</v>
      </c>
      <c r="C233" s="97">
        <f>C223-C222</f>
        <v>20</v>
      </c>
      <c r="D233" s="98" t="s">
        <v>727</v>
      </c>
      <c r="E233" s="99"/>
      <c r="F233" s="92" t="str">
        <f t="shared" si="1"/>
        <v>dz_OL3_I_CAM</v>
      </c>
      <c r="G233" s="93" t="b">
        <v>1</v>
      </c>
      <c r="H233" s="93" t="s">
        <v>1011</v>
      </c>
      <c r="I233" s="90" t="str">
        <f t="shared" si="2"/>
        <v>20 mm</v>
      </c>
      <c r="J233" s="90"/>
      <c r="K233" s="90"/>
      <c r="L233" s="90"/>
      <c r="M233" s="90"/>
      <c r="N233" s="90"/>
      <c r="O233" s="90"/>
      <c r="P233" s="90"/>
      <c r="Q233" s="90"/>
      <c r="R233" s="90"/>
      <c r="S233" s="90"/>
      <c r="T233" s="90"/>
      <c r="U233" s="90"/>
      <c r="V233" s="90"/>
      <c r="W233" s="90"/>
      <c r="X233" s="90"/>
      <c r="Y233" s="90"/>
      <c r="Z233" s="90"/>
      <c r="AA233" s="90"/>
      <c r="AB233" s="90"/>
    </row>
    <row r="234" spans="1:28" ht="16">
      <c r="A234" s="106"/>
      <c r="B234" s="107"/>
      <c r="C234" s="108"/>
      <c r="D234" s="109"/>
      <c r="E234" s="110"/>
      <c r="F234" s="111"/>
      <c r="G234" s="112" t="b">
        <v>0</v>
      </c>
      <c r="H234" s="122"/>
      <c r="I234" s="90"/>
      <c r="J234" s="90"/>
      <c r="K234" s="90"/>
      <c r="L234" s="90"/>
      <c r="M234" s="90"/>
      <c r="N234" s="90"/>
      <c r="O234" s="90"/>
      <c r="P234" s="90"/>
      <c r="Q234" s="90"/>
      <c r="R234" s="90"/>
      <c r="S234" s="90"/>
      <c r="T234" s="90"/>
      <c r="U234" s="90"/>
      <c r="V234" s="90"/>
      <c r="W234" s="90"/>
      <c r="X234" s="90"/>
      <c r="Y234" s="90"/>
      <c r="Z234" s="90"/>
      <c r="AA234" s="90"/>
      <c r="AB234" s="90"/>
    </row>
    <row r="235" spans="1:28" ht="16">
      <c r="A235" s="128" t="s">
        <v>663</v>
      </c>
      <c r="B235" s="91" t="s">
        <v>1012</v>
      </c>
      <c r="C235" s="97">
        <v>4</v>
      </c>
      <c r="D235" s="98"/>
      <c r="E235" s="99"/>
      <c r="F235" s="92"/>
      <c r="G235" s="93" t="b">
        <v>0</v>
      </c>
      <c r="H235" s="93"/>
      <c r="I235" s="90"/>
      <c r="J235" s="90"/>
      <c r="K235" s="90"/>
      <c r="L235" s="90"/>
      <c r="M235" s="90"/>
      <c r="N235" s="90"/>
      <c r="O235" s="90"/>
      <c r="P235" s="90"/>
      <c r="Q235" s="90"/>
      <c r="R235" s="90"/>
      <c r="S235" s="90"/>
      <c r="T235" s="90"/>
      <c r="U235" s="90"/>
      <c r="V235" s="90"/>
      <c r="W235" s="90"/>
      <c r="X235" s="90"/>
      <c r="Y235" s="90"/>
      <c r="Z235" s="90"/>
      <c r="AA235" s="90"/>
      <c r="AB235" s="90"/>
    </row>
    <row r="236" spans="1:28" ht="16">
      <c r="A236" s="125"/>
      <c r="B236" s="87" t="s">
        <v>1013</v>
      </c>
      <c r="C236" s="94">
        <v>0.2</v>
      </c>
      <c r="D236" s="95"/>
      <c r="E236" s="96"/>
      <c r="F236" s="88"/>
      <c r="G236" s="89" t="b">
        <v>0</v>
      </c>
      <c r="H236" s="89"/>
      <c r="I236" s="90"/>
      <c r="J236" s="90"/>
      <c r="K236" s="90"/>
      <c r="L236" s="90"/>
      <c r="M236" s="90"/>
      <c r="N236" s="90"/>
      <c r="O236" s="90"/>
      <c r="P236" s="90"/>
      <c r="Q236" s="90"/>
      <c r="R236" s="90"/>
      <c r="S236" s="90"/>
      <c r="T236" s="90"/>
      <c r="U236" s="90"/>
      <c r="V236" s="90"/>
      <c r="W236" s="90"/>
      <c r="X236" s="90"/>
      <c r="Y236" s="90"/>
      <c r="Z236" s="90"/>
      <c r="AA236" s="90"/>
      <c r="AB236" s="90"/>
    </row>
    <row r="237" spans="1:28" ht="16">
      <c r="A237" s="125"/>
      <c r="B237" s="91" t="s">
        <v>1014</v>
      </c>
      <c r="C237" s="97">
        <v>1</v>
      </c>
      <c r="D237" s="98"/>
      <c r="E237" s="99"/>
      <c r="F237" s="92"/>
      <c r="G237" s="93" t="b">
        <v>0</v>
      </c>
      <c r="H237" s="93"/>
      <c r="I237" s="90"/>
      <c r="J237" s="90"/>
      <c r="K237" s="90"/>
      <c r="L237" s="90"/>
      <c r="M237" s="90"/>
      <c r="N237" s="90"/>
      <c r="O237" s="90"/>
      <c r="P237" s="90"/>
      <c r="Q237" s="90"/>
      <c r="R237" s="90"/>
      <c r="S237" s="90"/>
      <c r="T237" s="90"/>
      <c r="U237" s="90"/>
      <c r="V237" s="90"/>
      <c r="W237" s="90"/>
      <c r="X237" s="90"/>
      <c r="Y237" s="90"/>
      <c r="Z237" s="90"/>
      <c r="AA237" s="90"/>
      <c r="AB237" s="90"/>
    </row>
    <row r="238" spans="1:28" ht="16">
      <c r="A238" s="125"/>
      <c r="B238" s="87" t="s">
        <v>1015</v>
      </c>
      <c r="C238" s="94">
        <v>200</v>
      </c>
      <c r="D238" s="95" t="s">
        <v>727</v>
      </c>
      <c r="E238" s="96"/>
      <c r="F238" s="88"/>
      <c r="G238" s="89" t="b">
        <v>0</v>
      </c>
      <c r="H238" s="89"/>
      <c r="I238" s="90"/>
      <c r="L238" s="90"/>
      <c r="M238" s="90"/>
      <c r="N238" s="90"/>
      <c r="O238" s="90"/>
      <c r="P238" s="90"/>
      <c r="Q238" s="90"/>
      <c r="R238" s="90"/>
      <c r="S238" s="90"/>
      <c r="T238" s="90"/>
      <c r="U238" s="90"/>
      <c r="V238" s="90"/>
      <c r="W238" s="90"/>
      <c r="X238" s="90"/>
      <c r="Y238" s="90"/>
      <c r="Z238" s="90"/>
      <c r="AA238" s="90"/>
      <c r="AB238" s="90"/>
    </row>
    <row r="239" spans="1:28" ht="16">
      <c r="A239" s="125"/>
      <c r="B239" s="91" t="s">
        <v>1016</v>
      </c>
      <c r="C239" s="97">
        <v>20</v>
      </c>
      <c r="D239" s="98" t="s">
        <v>727</v>
      </c>
      <c r="E239" s="99"/>
      <c r="F239" s="92"/>
      <c r="G239" s="93" t="b">
        <v>0</v>
      </c>
      <c r="H239" s="93"/>
      <c r="I239" s="90"/>
      <c r="L239" s="90"/>
      <c r="M239" s="90"/>
      <c r="N239" s="90"/>
      <c r="O239" s="90"/>
      <c r="P239" s="90"/>
      <c r="Q239" s="90"/>
      <c r="R239" s="90"/>
      <c r="S239" s="90"/>
      <c r="T239" s="90"/>
      <c r="U239" s="90"/>
      <c r="V239" s="90"/>
      <c r="W239" s="90"/>
      <c r="X239" s="90"/>
      <c r="Y239" s="90"/>
      <c r="Z239" s="90"/>
      <c r="AA239" s="90"/>
      <c r="AB239" s="90"/>
    </row>
    <row r="240" spans="1:28" ht="16">
      <c r="A240" s="125"/>
      <c r="B240" s="87" t="s">
        <v>1017</v>
      </c>
      <c r="C240" s="94">
        <v>25</v>
      </c>
      <c r="D240" s="95" t="s">
        <v>727</v>
      </c>
      <c r="E240" s="96"/>
      <c r="F240" s="88"/>
      <c r="G240" s="89" t="b">
        <v>0</v>
      </c>
      <c r="H240" s="89"/>
      <c r="I240" s="90"/>
      <c r="J240" s="90"/>
      <c r="K240" s="90"/>
      <c r="L240" s="90"/>
      <c r="M240" s="90"/>
      <c r="N240" s="90"/>
      <c r="O240" s="90"/>
      <c r="P240" s="90"/>
      <c r="Q240" s="90"/>
      <c r="R240" s="90"/>
      <c r="S240" s="90"/>
      <c r="T240" s="90"/>
      <c r="U240" s="90"/>
      <c r="V240" s="90"/>
      <c r="W240" s="90"/>
      <c r="X240" s="90"/>
      <c r="Y240" s="90"/>
      <c r="Z240" s="90"/>
      <c r="AA240" s="90"/>
      <c r="AB240" s="90"/>
    </row>
    <row r="241" spans="1:28" ht="16">
      <c r="A241" s="125"/>
      <c r="B241" s="91" t="s">
        <v>1018</v>
      </c>
      <c r="C241" s="97">
        <v>60.06</v>
      </c>
      <c r="D241" s="98" t="s">
        <v>727</v>
      </c>
      <c r="E241" s="99"/>
      <c r="F241" s="92"/>
      <c r="G241" s="93" t="b">
        <v>0</v>
      </c>
      <c r="H241" s="93"/>
      <c r="I241" s="90"/>
      <c r="J241" s="90"/>
      <c r="K241" s="90"/>
      <c r="L241" s="90"/>
      <c r="M241" s="90"/>
      <c r="N241" s="90"/>
      <c r="O241" s="90"/>
      <c r="P241" s="90"/>
      <c r="Q241" s="90"/>
      <c r="R241" s="90"/>
      <c r="S241" s="90"/>
      <c r="T241" s="90"/>
      <c r="U241" s="90"/>
      <c r="V241" s="90"/>
      <c r="W241" s="90"/>
      <c r="X241" s="90"/>
      <c r="Y241" s="90"/>
      <c r="Z241" s="90"/>
      <c r="AA241" s="90"/>
      <c r="AB241" s="90"/>
    </row>
    <row r="242" spans="1:28" ht="16">
      <c r="A242" s="125"/>
      <c r="B242" s="87" t="s">
        <v>1019</v>
      </c>
      <c r="C242" s="94">
        <f>C240/C235</f>
        <v>6.25</v>
      </c>
      <c r="D242" s="95" t="s">
        <v>727</v>
      </c>
      <c r="E242" s="96"/>
      <c r="F242" s="88" t="s">
        <v>1020</v>
      </c>
      <c r="G242" s="89" t="b">
        <v>1</v>
      </c>
      <c r="H242" s="89"/>
      <c r="I242" s="90"/>
      <c r="J242" s="90"/>
      <c r="K242" s="90"/>
      <c r="L242" s="90"/>
      <c r="M242" s="90"/>
      <c r="N242" s="90"/>
      <c r="O242" s="90"/>
      <c r="P242" s="90"/>
      <c r="Q242" s="90"/>
      <c r="R242" s="90"/>
      <c r="S242" s="90"/>
      <c r="T242" s="90"/>
      <c r="U242" s="90"/>
      <c r="V242" s="90"/>
      <c r="W242" s="90"/>
      <c r="X242" s="90"/>
      <c r="Y242" s="90"/>
      <c r="Z242" s="90"/>
      <c r="AA242" s="90"/>
      <c r="AB242" s="90"/>
    </row>
    <row r="243" spans="1:28" ht="16">
      <c r="A243" s="125"/>
      <c r="B243" s="91" t="s">
        <v>1021</v>
      </c>
      <c r="C243" s="97">
        <f>C238/C235</f>
        <v>50</v>
      </c>
      <c r="D243" s="98" t="s">
        <v>727</v>
      </c>
      <c r="E243" s="99"/>
      <c r="F243" s="92" t="s">
        <v>1022</v>
      </c>
      <c r="G243" s="93" t="b">
        <v>1</v>
      </c>
      <c r="H243" s="93"/>
      <c r="I243" s="90"/>
      <c r="J243" s="90"/>
      <c r="K243" s="90"/>
      <c r="L243" s="90"/>
      <c r="M243" s="90"/>
      <c r="N243" s="90"/>
      <c r="O243" s="90"/>
      <c r="P243" s="90"/>
      <c r="Q243" s="90"/>
      <c r="R243" s="90"/>
      <c r="S243" s="90"/>
      <c r="T243" s="90"/>
      <c r="U243" s="90"/>
      <c r="V243" s="90"/>
      <c r="W243" s="90"/>
      <c r="X243" s="90"/>
      <c r="Y243" s="90"/>
      <c r="Z243" s="90"/>
      <c r="AA243" s="90"/>
      <c r="AB243" s="90"/>
    </row>
    <row r="244" spans="1:28" ht="16">
      <c r="A244" s="125"/>
      <c r="B244" s="87" t="s">
        <v>1023</v>
      </c>
      <c r="C244" s="94">
        <f>C243*C237</f>
        <v>50</v>
      </c>
      <c r="D244" s="95" t="s">
        <v>727</v>
      </c>
      <c r="E244" s="96"/>
      <c r="F244" s="88" t="s">
        <v>1024</v>
      </c>
      <c r="G244" s="89" t="b">
        <v>1</v>
      </c>
      <c r="H244" s="89"/>
      <c r="I244" s="90"/>
      <c r="J244" s="90"/>
      <c r="K244" s="90"/>
      <c r="L244" s="90"/>
      <c r="M244" s="90"/>
      <c r="N244" s="90"/>
      <c r="O244" s="90"/>
      <c r="P244" s="90"/>
      <c r="Q244" s="90"/>
      <c r="R244" s="90"/>
      <c r="S244" s="90"/>
      <c r="T244" s="90"/>
      <c r="U244" s="90"/>
      <c r="V244" s="90"/>
      <c r="W244" s="90"/>
      <c r="X244" s="90"/>
      <c r="Y244" s="90"/>
      <c r="Z244" s="90"/>
      <c r="AA244" s="90"/>
      <c r="AB244" s="90"/>
    </row>
    <row r="245" spans="1:28" ht="16">
      <c r="A245" s="125"/>
      <c r="B245" s="91" t="s">
        <v>1025</v>
      </c>
      <c r="C245" s="97">
        <f>2*C236*C243</f>
        <v>20</v>
      </c>
      <c r="D245" s="98" t="s">
        <v>727</v>
      </c>
      <c r="E245" s="99"/>
      <c r="F245" s="92" t="s">
        <v>1026</v>
      </c>
      <c r="G245" s="93" t="b">
        <v>1</v>
      </c>
      <c r="H245" s="93"/>
      <c r="I245" s="90"/>
      <c r="J245" s="90"/>
      <c r="K245" s="90"/>
      <c r="L245" s="90"/>
      <c r="M245" s="90"/>
      <c r="N245" s="90"/>
      <c r="O245" s="90"/>
      <c r="P245" s="90"/>
      <c r="Q245" s="90"/>
      <c r="R245" s="90"/>
      <c r="S245" s="90"/>
      <c r="T245" s="90"/>
      <c r="U245" s="90"/>
      <c r="V245" s="90"/>
      <c r="W245" s="90"/>
      <c r="X245" s="90"/>
      <c r="Y245" s="90"/>
      <c r="Z245" s="90"/>
      <c r="AA245" s="90"/>
      <c r="AB245" s="90"/>
    </row>
    <row r="246" spans="1:28" ht="16">
      <c r="A246" s="125"/>
      <c r="B246" s="87" t="s">
        <v>1027</v>
      </c>
      <c r="C246" s="94">
        <f>(PI()*C236*C240/2/C235)^2</f>
        <v>3.8553142191755305</v>
      </c>
      <c r="D246" s="95" t="s">
        <v>748</v>
      </c>
      <c r="E246" s="96"/>
      <c r="F246" s="88" t="s">
        <v>1028</v>
      </c>
      <c r="G246" s="89" t="b">
        <v>1</v>
      </c>
      <c r="H246" s="89"/>
      <c r="I246" s="90"/>
      <c r="J246" s="90"/>
      <c r="K246" s="90"/>
      <c r="L246" s="90"/>
      <c r="M246" s="90"/>
      <c r="N246" s="90"/>
      <c r="O246" s="90"/>
      <c r="P246" s="90"/>
      <c r="Q246" s="90"/>
      <c r="R246" s="90"/>
      <c r="S246" s="90"/>
      <c r="T246" s="90"/>
      <c r="U246" s="90"/>
      <c r="V246" s="90"/>
      <c r="W246" s="90"/>
      <c r="X246" s="90"/>
      <c r="Y246" s="90"/>
      <c r="Z246" s="90"/>
      <c r="AA246" s="90"/>
      <c r="AB246" s="90"/>
    </row>
    <row r="247" spans="1:28" ht="16">
      <c r="A247" s="129"/>
      <c r="B247" s="91" t="s">
        <v>1029</v>
      </c>
      <c r="C247" s="97">
        <f>DEGREES(ASIN(C240/2/C238))</f>
        <v>3.5833216984719738</v>
      </c>
      <c r="D247" s="98" t="s">
        <v>752</v>
      </c>
      <c r="E247" s="99"/>
      <c r="F247" s="92" t="s">
        <v>1030</v>
      </c>
      <c r="G247" s="93" t="b">
        <v>1</v>
      </c>
      <c r="H247" s="93"/>
      <c r="I247" s="90"/>
      <c r="J247" s="90"/>
      <c r="K247" s="90"/>
      <c r="L247" s="90"/>
      <c r="M247" s="90"/>
      <c r="N247" s="90"/>
      <c r="O247" s="90"/>
      <c r="P247" s="90"/>
      <c r="Q247" s="90"/>
      <c r="R247" s="90"/>
      <c r="S247" s="90"/>
      <c r="T247" s="90"/>
      <c r="U247" s="90"/>
      <c r="V247" s="90"/>
      <c r="W247" s="90"/>
      <c r="X247" s="90"/>
      <c r="Y247" s="90"/>
      <c r="Z247" s="90"/>
      <c r="AA247" s="90"/>
      <c r="AB247" s="90"/>
    </row>
    <row r="248" spans="1:28" ht="16">
      <c r="A248" s="100"/>
      <c r="B248" s="87" t="s">
        <v>1031</v>
      </c>
      <c r="C248" s="94">
        <f>DEGREES(ASIN(C236))</f>
        <v>11.53695903281549</v>
      </c>
      <c r="D248" s="95" t="s">
        <v>752</v>
      </c>
      <c r="E248" s="96"/>
      <c r="F248" s="88"/>
      <c r="G248" s="89" t="b">
        <v>0</v>
      </c>
      <c r="H248" s="89"/>
      <c r="I248" s="90"/>
      <c r="J248" s="90"/>
      <c r="K248" s="90"/>
      <c r="L248" s="90"/>
      <c r="M248" s="90"/>
      <c r="N248" s="90"/>
      <c r="O248" s="90"/>
      <c r="P248" s="90"/>
      <c r="Q248" s="90"/>
      <c r="R248" s="90"/>
      <c r="S248" s="90"/>
      <c r="T248" s="90"/>
      <c r="U248" s="90"/>
      <c r="V248" s="90"/>
      <c r="W248" s="90"/>
      <c r="X248" s="90"/>
      <c r="Y248" s="90"/>
      <c r="Z248" s="90"/>
      <c r="AA248" s="90"/>
      <c r="AB248" s="90"/>
    </row>
    <row r="249" spans="1:28" ht="16">
      <c r="A249" s="100"/>
      <c r="B249" s="91" t="s">
        <v>1032</v>
      </c>
      <c r="C249" s="97">
        <f>TAN(RADIANS(C248))*C239</f>
        <v>4.0824829046386313</v>
      </c>
      <c r="D249" s="98"/>
      <c r="E249" s="99"/>
      <c r="F249" s="92"/>
      <c r="G249" s="93" t="b">
        <v>0</v>
      </c>
      <c r="H249" s="93"/>
      <c r="I249" s="90"/>
      <c r="J249" s="90"/>
      <c r="K249" s="90"/>
      <c r="L249" s="90"/>
      <c r="M249" s="90"/>
      <c r="N249" s="90"/>
      <c r="O249" s="90"/>
      <c r="P249" s="90"/>
      <c r="Q249" s="90"/>
      <c r="R249" s="90"/>
      <c r="S249" s="90"/>
      <c r="T249" s="90"/>
      <c r="U249" s="90"/>
      <c r="V249" s="90"/>
      <c r="W249" s="90"/>
      <c r="X249" s="90"/>
      <c r="Y249" s="90"/>
      <c r="Z249" s="90"/>
      <c r="AA249" s="90"/>
      <c r="AB249" s="90"/>
    </row>
    <row r="250" spans="1:28" ht="16">
      <c r="A250" s="100"/>
      <c r="B250" s="87" t="s">
        <v>1033</v>
      </c>
      <c r="C250" s="94">
        <f>2*C249+C242</f>
        <v>14.414965809277263</v>
      </c>
      <c r="D250" s="95"/>
      <c r="E250" s="96"/>
      <c r="F250" s="88"/>
      <c r="G250" s="89" t="b">
        <v>0</v>
      </c>
      <c r="H250" s="89"/>
      <c r="I250" s="90"/>
      <c r="J250" s="90"/>
      <c r="K250" s="90"/>
      <c r="L250" s="90"/>
      <c r="M250" s="90"/>
      <c r="N250" s="90"/>
      <c r="O250" s="90"/>
      <c r="P250" s="90"/>
      <c r="Q250" s="90"/>
      <c r="R250" s="90"/>
      <c r="S250" s="90"/>
      <c r="T250" s="90"/>
      <c r="U250" s="90"/>
      <c r="V250" s="90"/>
      <c r="W250" s="90"/>
      <c r="X250" s="90"/>
      <c r="Y250" s="90"/>
      <c r="Z250" s="90"/>
      <c r="AA250" s="90"/>
      <c r="AB250" s="90"/>
    </row>
    <row r="251" spans="1:28" ht="16">
      <c r="A251" s="128" t="s">
        <v>665</v>
      </c>
      <c r="B251" s="91" t="s">
        <v>1034</v>
      </c>
      <c r="C251" s="97">
        <v>200</v>
      </c>
      <c r="D251" s="98" t="s">
        <v>727</v>
      </c>
      <c r="E251" s="99"/>
      <c r="F251" s="92"/>
      <c r="G251" s="93" t="b">
        <v>0</v>
      </c>
      <c r="H251" s="93"/>
      <c r="I251" s="90"/>
      <c r="J251" s="90"/>
      <c r="K251" s="90"/>
      <c r="L251" s="90"/>
      <c r="M251" s="90"/>
      <c r="N251" s="90"/>
      <c r="O251" s="90"/>
      <c r="P251" s="90"/>
      <c r="Q251" s="90"/>
      <c r="R251" s="90"/>
      <c r="S251" s="90"/>
      <c r="T251" s="90"/>
      <c r="U251" s="90"/>
      <c r="V251" s="90"/>
      <c r="W251" s="90"/>
      <c r="X251" s="90"/>
      <c r="Y251" s="90"/>
      <c r="Z251" s="90"/>
      <c r="AA251" s="90"/>
      <c r="AB251" s="90"/>
    </row>
    <row r="252" spans="1:28" ht="16">
      <c r="A252" s="125"/>
      <c r="B252" s="115" t="s">
        <v>1035</v>
      </c>
      <c r="C252" s="94">
        <v>148</v>
      </c>
      <c r="D252" s="95" t="s">
        <v>727</v>
      </c>
      <c r="E252" s="96"/>
      <c r="F252" s="88"/>
      <c r="G252" s="89" t="b">
        <v>0</v>
      </c>
      <c r="H252" s="89"/>
      <c r="I252" s="90"/>
      <c r="J252" s="90"/>
      <c r="K252" s="90"/>
      <c r="L252" s="90"/>
      <c r="M252" s="90"/>
      <c r="N252" s="90"/>
      <c r="O252" s="90"/>
      <c r="P252" s="90"/>
      <c r="Q252" s="90"/>
      <c r="R252" s="90"/>
      <c r="S252" s="90"/>
      <c r="T252" s="90"/>
      <c r="U252" s="90"/>
      <c r="V252" s="90"/>
      <c r="W252" s="90"/>
      <c r="X252" s="90"/>
      <c r="Y252" s="90"/>
      <c r="Z252" s="90"/>
      <c r="AA252" s="90"/>
      <c r="AB252" s="90"/>
    </row>
    <row r="253" spans="1:28" ht="16">
      <c r="A253" s="125"/>
      <c r="B253" s="114" t="s">
        <v>1036</v>
      </c>
      <c r="C253" s="97">
        <v>30.023</v>
      </c>
      <c r="D253" s="98" t="s">
        <v>727</v>
      </c>
      <c r="E253" s="99"/>
      <c r="F253" s="92"/>
      <c r="G253" s="93" t="b">
        <v>0</v>
      </c>
      <c r="H253" s="93"/>
      <c r="I253" s="90"/>
      <c r="J253" s="90"/>
      <c r="K253" s="90"/>
      <c r="L253" s="90"/>
      <c r="M253" s="90"/>
      <c r="N253" s="90"/>
      <c r="O253" s="90"/>
      <c r="P253" s="90"/>
      <c r="Q253" s="90"/>
      <c r="R253" s="90"/>
      <c r="S253" s="90"/>
      <c r="T253" s="90"/>
      <c r="U253" s="90"/>
      <c r="V253" s="90"/>
      <c r="W253" s="90"/>
      <c r="X253" s="90"/>
      <c r="Y253" s="90"/>
      <c r="Z253" s="90"/>
      <c r="AA253" s="90"/>
      <c r="AB253" s="90"/>
    </row>
    <row r="254" spans="1:28" ht="16">
      <c r="A254" s="125"/>
      <c r="B254" s="115" t="s">
        <v>1037</v>
      </c>
      <c r="C254" s="94">
        <v>23.927</v>
      </c>
      <c r="D254" s="95" t="s">
        <v>727</v>
      </c>
      <c r="E254" s="96"/>
      <c r="F254" s="88"/>
      <c r="G254" s="89" t="b">
        <v>0</v>
      </c>
      <c r="H254" s="89"/>
      <c r="I254" s="90"/>
      <c r="J254" s="90"/>
      <c r="K254" s="90"/>
      <c r="L254" s="90"/>
      <c r="M254" s="90"/>
      <c r="N254" s="90"/>
      <c r="O254" s="90"/>
      <c r="P254" s="90"/>
      <c r="Q254" s="90"/>
      <c r="R254" s="90"/>
      <c r="S254" s="90"/>
      <c r="T254" s="90"/>
      <c r="U254" s="90"/>
      <c r="V254" s="90"/>
      <c r="W254" s="90"/>
      <c r="X254" s="90"/>
      <c r="Y254" s="90"/>
      <c r="Z254" s="90"/>
      <c r="AA254" s="90"/>
      <c r="AB254" s="90"/>
    </row>
    <row r="255" spans="1:28" ht="16">
      <c r="A255" s="129"/>
      <c r="B255" s="114" t="s">
        <v>1038</v>
      </c>
      <c r="C255" s="97">
        <v>28</v>
      </c>
      <c r="D255" s="98" t="s">
        <v>727</v>
      </c>
      <c r="E255" s="99"/>
      <c r="F255" s="92"/>
      <c r="G255" s="93" t="b">
        <v>0</v>
      </c>
      <c r="H255" s="93"/>
      <c r="I255" s="90"/>
      <c r="J255" s="90"/>
      <c r="K255" s="90"/>
      <c r="L255" s="90"/>
      <c r="M255" s="90"/>
      <c r="N255" s="90"/>
      <c r="O255" s="90"/>
      <c r="P255" s="90"/>
      <c r="Q255" s="90"/>
      <c r="R255" s="90"/>
      <c r="S255" s="90"/>
      <c r="T255" s="90"/>
      <c r="U255" s="90"/>
      <c r="V255" s="90"/>
      <c r="W255" s="90"/>
      <c r="X255" s="90"/>
      <c r="Y255" s="90"/>
      <c r="Z255" s="90"/>
      <c r="AA255" s="90"/>
      <c r="AB255" s="90"/>
    </row>
    <row r="256" spans="1:28" ht="16">
      <c r="A256" s="128" t="s">
        <v>669</v>
      </c>
      <c r="B256" s="87" t="s">
        <v>1039</v>
      </c>
      <c r="C256" s="94">
        <v>70</v>
      </c>
      <c r="D256" s="95" t="s">
        <v>727</v>
      </c>
      <c r="E256" s="96"/>
      <c r="F256" s="88"/>
      <c r="G256" s="89" t="b">
        <v>0</v>
      </c>
      <c r="H256" s="89"/>
      <c r="I256" s="90"/>
      <c r="J256" s="90"/>
      <c r="K256" s="90"/>
      <c r="L256" s="90"/>
      <c r="M256" s="90"/>
      <c r="N256" s="90"/>
      <c r="O256" s="90"/>
      <c r="P256" s="90"/>
      <c r="Q256" s="90"/>
      <c r="R256" s="90"/>
      <c r="S256" s="90"/>
      <c r="T256" s="90"/>
      <c r="U256" s="90"/>
      <c r="V256" s="90"/>
      <c r="W256" s="90"/>
      <c r="X256" s="90"/>
      <c r="Y256" s="90"/>
      <c r="Z256" s="90"/>
      <c r="AA256" s="90"/>
      <c r="AB256" s="90"/>
    </row>
    <row r="257" spans="1:28" ht="16">
      <c r="A257" s="125"/>
      <c r="B257" s="91" t="s">
        <v>1035</v>
      </c>
      <c r="C257" s="97">
        <f>54+6</f>
        <v>60</v>
      </c>
      <c r="D257" s="98" t="s">
        <v>727</v>
      </c>
      <c r="E257" s="99"/>
      <c r="F257" s="92"/>
      <c r="G257" s="93" t="b">
        <v>0</v>
      </c>
      <c r="H257" s="93"/>
      <c r="I257" s="90"/>
      <c r="J257" s="90"/>
      <c r="K257" s="90"/>
      <c r="L257" s="90"/>
      <c r="M257" s="90"/>
      <c r="N257" s="90"/>
      <c r="O257" s="90"/>
      <c r="P257" s="90"/>
      <c r="Q257" s="90"/>
      <c r="R257" s="90"/>
      <c r="S257" s="90"/>
      <c r="T257" s="90"/>
      <c r="U257" s="90"/>
      <c r="V257" s="90"/>
      <c r="W257" s="90"/>
      <c r="X257" s="90"/>
      <c r="Y257" s="90"/>
      <c r="Z257" s="90"/>
      <c r="AA257" s="90"/>
      <c r="AB257" s="90"/>
    </row>
    <row r="258" spans="1:28" ht="16">
      <c r="A258" s="125"/>
      <c r="B258" s="87" t="s">
        <v>1040</v>
      </c>
      <c r="C258" s="94">
        <v>58</v>
      </c>
      <c r="D258" s="95" t="s">
        <v>727</v>
      </c>
      <c r="E258" s="96"/>
      <c r="F258" s="88"/>
      <c r="G258" s="89" t="b">
        <v>0</v>
      </c>
      <c r="H258" s="89"/>
      <c r="I258" s="90"/>
      <c r="J258" s="90"/>
      <c r="K258" s="90"/>
      <c r="L258" s="90"/>
      <c r="M258" s="90"/>
      <c r="N258" s="90"/>
      <c r="O258" s="90"/>
      <c r="P258" s="90"/>
      <c r="Q258" s="90"/>
      <c r="R258" s="90"/>
      <c r="S258" s="90"/>
      <c r="T258" s="90"/>
      <c r="U258" s="90"/>
      <c r="V258" s="90"/>
      <c r="W258" s="90"/>
      <c r="X258" s="90"/>
      <c r="Y258" s="90"/>
      <c r="Z258" s="90"/>
      <c r="AA258" s="90"/>
      <c r="AB258" s="90"/>
    </row>
    <row r="259" spans="1:28" ht="16">
      <c r="A259" s="125"/>
      <c r="B259" s="91" t="s">
        <v>1041</v>
      </c>
      <c r="C259" s="97">
        <f>C258+6</f>
        <v>64</v>
      </c>
      <c r="D259" s="98" t="s">
        <v>727</v>
      </c>
      <c r="E259" s="99"/>
      <c r="F259" s="92"/>
      <c r="G259" s="93" t="b">
        <v>0</v>
      </c>
      <c r="H259" s="93"/>
      <c r="I259" s="90"/>
      <c r="J259" s="90"/>
      <c r="K259" s="90"/>
      <c r="L259" s="90"/>
      <c r="M259" s="90"/>
      <c r="N259" s="90"/>
      <c r="O259" s="90"/>
      <c r="P259" s="90"/>
      <c r="Q259" s="90"/>
      <c r="R259" s="90"/>
      <c r="S259" s="90"/>
      <c r="T259" s="90"/>
      <c r="U259" s="90"/>
      <c r="V259" s="90"/>
      <c r="W259" s="90"/>
      <c r="X259" s="90"/>
      <c r="Y259" s="90"/>
      <c r="Z259" s="90"/>
      <c r="AA259" s="90"/>
      <c r="AB259" s="90"/>
    </row>
    <row r="260" spans="1:28" ht="16">
      <c r="A260" s="125"/>
      <c r="B260" s="87" t="s">
        <v>1042</v>
      </c>
      <c r="C260" s="94">
        <f>C258-6</f>
        <v>52</v>
      </c>
      <c r="D260" s="95" t="s">
        <v>727</v>
      </c>
      <c r="E260" s="96"/>
      <c r="F260" s="88"/>
      <c r="G260" s="89" t="b">
        <v>0</v>
      </c>
      <c r="H260" s="89"/>
      <c r="I260" s="90"/>
      <c r="J260" s="90"/>
      <c r="K260" s="90"/>
      <c r="L260" s="90"/>
      <c r="M260" s="90"/>
      <c r="N260" s="90"/>
      <c r="O260" s="90"/>
      <c r="P260" s="90"/>
      <c r="Q260" s="90"/>
      <c r="R260" s="90"/>
      <c r="S260" s="90"/>
      <c r="T260" s="90"/>
      <c r="U260" s="90"/>
      <c r="V260" s="90"/>
      <c r="W260" s="90"/>
      <c r="X260" s="90"/>
      <c r="Y260" s="90"/>
      <c r="Z260" s="90"/>
      <c r="AA260" s="90"/>
      <c r="AB260" s="90"/>
    </row>
    <row r="261" spans="1:28" ht="16">
      <c r="A261" s="125"/>
      <c r="B261" s="91" t="s">
        <v>1036</v>
      </c>
      <c r="C261" s="97">
        <v>30</v>
      </c>
      <c r="D261" s="98" t="s">
        <v>727</v>
      </c>
      <c r="E261" s="99"/>
      <c r="F261" s="92"/>
      <c r="G261" s="93" t="b">
        <v>0</v>
      </c>
      <c r="H261" s="93"/>
      <c r="I261" s="90"/>
      <c r="J261" s="90"/>
      <c r="K261" s="90"/>
      <c r="L261" s="90"/>
      <c r="M261" s="90"/>
      <c r="N261" s="90"/>
      <c r="O261" s="90"/>
      <c r="P261" s="90"/>
      <c r="Q261" s="90"/>
      <c r="R261" s="90"/>
      <c r="S261" s="90"/>
      <c r="T261" s="90"/>
      <c r="U261" s="90"/>
      <c r="V261" s="90"/>
      <c r="W261" s="90"/>
      <c r="X261" s="90"/>
      <c r="Y261" s="90"/>
      <c r="Z261" s="90"/>
      <c r="AA261" s="90"/>
      <c r="AB261" s="90"/>
    </row>
    <row r="262" spans="1:28" ht="16">
      <c r="A262" s="125"/>
      <c r="B262" s="87" t="s">
        <v>1037</v>
      </c>
      <c r="C262" s="94">
        <v>36</v>
      </c>
      <c r="D262" s="95" t="s">
        <v>727</v>
      </c>
      <c r="E262" s="96"/>
      <c r="F262" s="88"/>
      <c r="G262" s="89" t="b">
        <v>0</v>
      </c>
      <c r="H262" s="89"/>
      <c r="I262" s="90"/>
      <c r="J262" s="90"/>
      <c r="K262" s="90"/>
      <c r="L262" s="90"/>
      <c r="M262" s="90"/>
      <c r="N262" s="90"/>
      <c r="O262" s="90"/>
      <c r="P262" s="90"/>
      <c r="Q262" s="90"/>
      <c r="R262" s="90"/>
      <c r="S262" s="90"/>
      <c r="T262" s="90"/>
      <c r="U262" s="90"/>
      <c r="V262" s="90"/>
      <c r="W262" s="90"/>
      <c r="X262" s="90"/>
      <c r="Y262" s="90"/>
      <c r="Z262" s="90"/>
      <c r="AA262" s="90"/>
      <c r="AB262" s="90"/>
    </row>
    <row r="263" spans="1:28" ht="16">
      <c r="A263" s="125"/>
      <c r="B263" s="91" t="s">
        <v>1043</v>
      </c>
      <c r="C263" s="97">
        <v>4</v>
      </c>
      <c r="D263" s="98" t="s">
        <v>727</v>
      </c>
      <c r="E263" s="99"/>
      <c r="F263" s="92"/>
      <c r="G263" s="93" t="b">
        <v>0</v>
      </c>
      <c r="H263" s="93"/>
      <c r="I263" s="90"/>
      <c r="J263" s="90"/>
      <c r="K263" s="90"/>
      <c r="L263" s="90"/>
      <c r="M263" s="90"/>
      <c r="N263" s="90"/>
      <c r="O263" s="90"/>
      <c r="P263" s="90"/>
      <c r="Q263" s="90"/>
      <c r="R263" s="90"/>
      <c r="S263" s="90"/>
      <c r="T263" s="90"/>
      <c r="U263" s="90"/>
      <c r="V263" s="90"/>
      <c r="W263" s="90"/>
      <c r="X263" s="90"/>
      <c r="Y263" s="90"/>
      <c r="Z263" s="90"/>
      <c r="AA263" s="90"/>
      <c r="AB263" s="90"/>
    </row>
    <row r="264" spans="1:28" ht="16">
      <c r="A264" s="130"/>
      <c r="B264" s="87" t="s">
        <v>1038</v>
      </c>
      <c r="C264" s="94">
        <f>61.5-6</f>
        <v>55.5</v>
      </c>
      <c r="D264" s="95" t="s">
        <v>727</v>
      </c>
      <c r="E264" s="96"/>
      <c r="F264" s="88"/>
      <c r="G264" s="89" t="b">
        <v>0</v>
      </c>
      <c r="H264" s="89"/>
      <c r="I264" s="90"/>
      <c r="J264" s="90"/>
      <c r="K264" s="90"/>
      <c r="L264" s="90"/>
      <c r="M264" s="90"/>
      <c r="N264" s="90"/>
      <c r="O264" s="90"/>
      <c r="P264" s="90"/>
      <c r="Q264" s="90"/>
      <c r="R264" s="90"/>
      <c r="S264" s="90"/>
      <c r="T264" s="90"/>
      <c r="U264" s="90"/>
      <c r="V264" s="90"/>
      <c r="W264" s="90"/>
      <c r="X264" s="90"/>
      <c r="Y264" s="90"/>
      <c r="Z264" s="90"/>
      <c r="AA264" s="90"/>
      <c r="AB264" s="90"/>
    </row>
    <row r="265" spans="1:28" ht="16">
      <c r="A265" s="128" t="s">
        <v>673</v>
      </c>
      <c r="B265" s="91" t="s">
        <v>1044</v>
      </c>
      <c r="C265" s="97">
        <v>75</v>
      </c>
      <c r="D265" s="98" t="s">
        <v>727</v>
      </c>
      <c r="E265" s="99"/>
      <c r="F265" s="92"/>
      <c r="G265" s="93" t="b">
        <v>0</v>
      </c>
      <c r="H265" s="93"/>
      <c r="I265" s="90"/>
      <c r="J265" s="90"/>
      <c r="K265" s="90"/>
      <c r="L265" s="90"/>
      <c r="M265" s="90"/>
      <c r="N265" s="90"/>
      <c r="O265" s="90"/>
      <c r="P265" s="90"/>
      <c r="Q265" s="90"/>
      <c r="R265" s="90"/>
      <c r="S265" s="90"/>
      <c r="T265" s="90"/>
      <c r="U265" s="90"/>
      <c r="V265" s="90"/>
      <c r="W265" s="90"/>
      <c r="X265" s="90"/>
      <c r="Y265" s="90"/>
      <c r="Z265" s="90"/>
      <c r="AA265" s="90"/>
      <c r="AB265" s="90"/>
    </row>
    <row r="266" spans="1:28" ht="16">
      <c r="A266" s="125"/>
      <c r="B266" s="87" t="s">
        <v>1045</v>
      </c>
      <c r="C266" s="94">
        <v>97.2</v>
      </c>
      <c r="D266" s="95" t="s">
        <v>727</v>
      </c>
      <c r="E266" s="96"/>
      <c r="F266" s="88"/>
      <c r="G266" s="89" t="b">
        <v>0</v>
      </c>
      <c r="H266" s="89"/>
      <c r="I266" s="90"/>
      <c r="J266" s="90"/>
      <c r="K266" s="90"/>
      <c r="L266" s="90"/>
      <c r="M266" s="90"/>
      <c r="N266" s="90"/>
      <c r="O266" s="90"/>
      <c r="P266" s="90"/>
      <c r="Q266" s="90"/>
      <c r="R266" s="90"/>
      <c r="S266" s="90"/>
      <c r="T266" s="90"/>
      <c r="U266" s="90"/>
      <c r="V266" s="90"/>
      <c r="W266" s="90"/>
      <c r="X266" s="90"/>
      <c r="Y266" s="90"/>
      <c r="Z266" s="90"/>
      <c r="AA266" s="90"/>
      <c r="AB266" s="90"/>
    </row>
    <row r="267" spans="1:28" ht="16">
      <c r="A267" s="125"/>
      <c r="B267" s="91" t="s">
        <v>1046</v>
      </c>
      <c r="C267" s="97">
        <v>22.86</v>
      </c>
      <c r="D267" s="98" t="s">
        <v>727</v>
      </c>
      <c r="E267" s="99"/>
      <c r="F267" s="92"/>
      <c r="G267" s="93" t="b">
        <v>0</v>
      </c>
      <c r="H267" s="93"/>
      <c r="I267" s="90"/>
      <c r="J267" s="90"/>
      <c r="K267" s="90"/>
      <c r="L267" s="90"/>
      <c r="M267" s="90"/>
      <c r="N267" s="90"/>
      <c r="O267" s="90"/>
      <c r="P267" s="90"/>
      <c r="Q267" s="90"/>
      <c r="R267" s="90"/>
      <c r="S267" s="90"/>
      <c r="T267" s="90"/>
      <c r="U267" s="90"/>
      <c r="V267" s="90"/>
      <c r="W267" s="90"/>
      <c r="X267" s="90"/>
      <c r="Y267" s="90"/>
      <c r="Z267" s="90"/>
      <c r="AA267" s="90"/>
      <c r="AB267" s="90"/>
    </row>
    <row r="268" spans="1:28" ht="16">
      <c r="A268" s="130"/>
      <c r="B268" s="87" t="s">
        <v>1038</v>
      </c>
      <c r="C268" s="94">
        <v>6.5</v>
      </c>
      <c r="D268" s="95" t="s">
        <v>727</v>
      </c>
      <c r="E268" s="96"/>
      <c r="F268" s="88"/>
      <c r="G268" s="89" t="b">
        <v>0</v>
      </c>
      <c r="H268" s="89"/>
      <c r="I268" s="90"/>
      <c r="J268" s="90"/>
      <c r="K268" s="90"/>
      <c r="L268" s="90"/>
      <c r="M268" s="90"/>
      <c r="N268" s="90"/>
      <c r="O268" s="90"/>
      <c r="P268" s="90"/>
      <c r="Q268" s="90"/>
      <c r="R268" s="90"/>
      <c r="S268" s="90"/>
      <c r="T268" s="90"/>
      <c r="U268" s="90"/>
      <c r="V268" s="90"/>
      <c r="W268" s="90"/>
      <c r="X268" s="90"/>
      <c r="Y268" s="90"/>
      <c r="Z268" s="90"/>
      <c r="AA268" s="90"/>
      <c r="AB268" s="90"/>
    </row>
    <row r="269" spans="1:28" ht="16">
      <c r="A269" s="128" t="s">
        <v>675</v>
      </c>
      <c r="B269" s="91" t="s">
        <v>1047</v>
      </c>
      <c r="C269" s="97">
        <v>50</v>
      </c>
      <c r="D269" s="98" t="s">
        <v>727</v>
      </c>
      <c r="E269" s="99"/>
      <c r="F269" s="92"/>
      <c r="G269" s="93" t="b">
        <v>0</v>
      </c>
      <c r="H269" s="93"/>
      <c r="I269" s="90"/>
      <c r="J269" s="90"/>
      <c r="K269" s="90"/>
      <c r="L269" s="90"/>
      <c r="M269" s="90"/>
      <c r="N269" s="90"/>
      <c r="O269" s="90"/>
      <c r="P269" s="90"/>
      <c r="Q269" s="90"/>
      <c r="R269" s="90"/>
      <c r="S269" s="90"/>
      <c r="T269" s="90"/>
      <c r="U269" s="90"/>
      <c r="V269" s="90"/>
      <c r="W269" s="90"/>
      <c r="X269" s="90"/>
      <c r="Y269" s="90"/>
      <c r="Z269" s="90"/>
      <c r="AA269" s="90"/>
      <c r="AB269" s="90"/>
    </row>
    <row r="270" spans="1:28" ht="16">
      <c r="A270" s="125"/>
      <c r="B270" s="87" t="s">
        <v>1045</v>
      </c>
      <c r="C270" s="94">
        <v>72.900000000000006</v>
      </c>
      <c r="D270" s="95" t="s">
        <v>727</v>
      </c>
      <c r="E270" s="96"/>
      <c r="F270" s="88"/>
      <c r="G270" s="89" t="b">
        <v>0</v>
      </c>
      <c r="H270" s="89"/>
      <c r="I270" s="90"/>
      <c r="J270" s="90"/>
      <c r="K270" s="90"/>
      <c r="L270" s="90"/>
      <c r="M270" s="90"/>
      <c r="N270" s="90"/>
      <c r="O270" s="90"/>
      <c r="P270" s="90"/>
      <c r="Q270" s="90"/>
      <c r="R270" s="90"/>
      <c r="S270" s="90"/>
      <c r="T270" s="90"/>
      <c r="U270" s="90"/>
      <c r="V270" s="90"/>
      <c r="W270" s="90"/>
      <c r="X270" s="90"/>
      <c r="Y270" s="90"/>
      <c r="Z270" s="90"/>
      <c r="AA270" s="90"/>
      <c r="AB270" s="90"/>
    </row>
    <row r="271" spans="1:28" ht="16">
      <c r="A271" s="125"/>
      <c r="B271" s="91" t="s">
        <v>1046</v>
      </c>
      <c r="C271" s="97">
        <v>11.43</v>
      </c>
      <c r="D271" s="98" t="s">
        <v>727</v>
      </c>
      <c r="E271" s="99"/>
      <c r="F271" s="92"/>
      <c r="G271" s="93" t="b">
        <v>0</v>
      </c>
      <c r="H271" s="93"/>
      <c r="I271" s="90"/>
      <c r="J271" s="90"/>
      <c r="K271" s="90"/>
      <c r="L271" s="90"/>
      <c r="M271" s="90"/>
      <c r="N271" s="90"/>
      <c r="O271" s="90"/>
      <c r="P271" s="90"/>
      <c r="Q271" s="90"/>
      <c r="R271" s="90"/>
      <c r="S271" s="90"/>
      <c r="T271" s="90"/>
      <c r="U271" s="90"/>
      <c r="V271" s="90"/>
      <c r="W271" s="90"/>
      <c r="X271" s="90"/>
      <c r="Y271" s="90"/>
      <c r="Z271" s="90"/>
      <c r="AA271" s="90"/>
      <c r="AB271" s="90"/>
    </row>
    <row r="272" spans="1:28" ht="16">
      <c r="A272" s="130"/>
      <c r="B272" s="87" t="s">
        <v>1038</v>
      </c>
      <c r="C272" s="94">
        <v>4</v>
      </c>
      <c r="D272" s="95" t="s">
        <v>727</v>
      </c>
      <c r="E272" s="96"/>
      <c r="F272" s="88"/>
      <c r="G272" s="89" t="b">
        <v>0</v>
      </c>
      <c r="H272" s="89"/>
      <c r="I272" s="90"/>
      <c r="J272" s="90"/>
      <c r="K272" s="90"/>
      <c r="L272" s="90"/>
      <c r="M272" s="90"/>
      <c r="N272" s="90"/>
      <c r="O272" s="90"/>
      <c r="P272" s="90"/>
      <c r="Q272" s="90"/>
      <c r="R272" s="90"/>
      <c r="S272" s="90"/>
      <c r="T272" s="90"/>
      <c r="U272" s="90"/>
      <c r="V272" s="90"/>
      <c r="W272" s="90"/>
      <c r="X272" s="90"/>
      <c r="Y272" s="90"/>
      <c r="Z272" s="90"/>
      <c r="AA272" s="90"/>
      <c r="AB272" s="90"/>
    </row>
    <row r="273" spans="1:28" ht="16">
      <c r="A273" s="128" t="s">
        <v>677</v>
      </c>
      <c r="B273" s="91" t="s">
        <v>1048</v>
      </c>
      <c r="C273" s="97">
        <f>5/2</f>
        <v>2.5</v>
      </c>
      <c r="D273" s="98" t="s">
        <v>752</v>
      </c>
      <c r="E273" s="99"/>
      <c r="F273" s="92" t="s">
        <v>1049</v>
      </c>
      <c r="G273" s="93" t="b">
        <v>0</v>
      </c>
      <c r="H273" s="93"/>
      <c r="I273" s="90"/>
      <c r="J273" s="90"/>
      <c r="K273" s="90"/>
      <c r="L273" s="90"/>
      <c r="M273" s="90"/>
      <c r="N273" s="90"/>
      <c r="O273" s="90"/>
      <c r="P273" s="90"/>
      <c r="Q273" s="90"/>
      <c r="R273" s="90"/>
      <c r="S273" s="90"/>
      <c r="T273" s="90"/>
      <c r="U273" s="90"/>
      <c r="V273" s="90"/>
      <c r="W273" s="90"/>
      <c r="X273" s="90"/>
      <c r="Y273" s="90"/>
      <c r="Z273" s="90"/>
      <c r="AA273" s="90"/>
      <c r="AB273" s="90"/>
    </row>
    <row r="274" spans="1:28" ht="16">
      <c r="A274" s="125"/>
      <c r="B274" s="87" t="s">
        <v>1050</v>
      </c>
      <c r="C274" s="94">
        <v>7.6203820000000002</v>
      </c>
      <c r="D274" s="95" t="s">
        <v>727</v>
      </c>
      <c r="E274" s="96"/>
      <c r="F274" s="88"/>
      <c r="G274" s="89" t="b">
        <v>0</v>
      </c>
      <c r="H274" s="89"/>
      <c r="I274" s="90"/>
      <c r="J274" s="90"/>
      <c r="K274" s="90"/>
      <c r="L274" s="90"/>
      <c r="M274" s="90"/>
      <c r="N274" s="90"/>
      <c r="O274" s="90"/>
      <c r="P274" s="90"/>
      <c r="Q274" s="90"/>
      <c r="R274" s="90"/>
      <c r="S274" s="90"/>
      <c r="T274" s="90"/>
      <c r="U274" s="90"/>
      <c r="V274" s="90"/>
      <c r="W274" s="90"/>
      <c r="X274" s="90"/>
      <c r="Y274" s="90"/>
      <c r="Z274" s="90"/>
      <c r="AA274" s="90"/>
      <c r="AB274" s="90"/>
    </row>
    <row r="275" spans="1:28" ht="16">
      <c r="A275" s="125"/>
      <c r="B275" s="91" t="s">
        <v>1051</v>
      </c>
      <c r="C275" s="97">
        <v>8.89</v>
      </c>
      <c r="D275" s="98" t="s">
        <v>727</v>
      </c>
      <c r="E275" s="99"/>
      <c r="F275" s="92"/>
      <c r="G275" s="93" t="b">
        <v>0</v>
      </c>
      <c r="H275" s="93"/>
      <c r="I275" s="90"/>
      <c r="J275" s="90"/>
      <c r="K275" s="90"/>
      <c r="L275" s="90"/>
      <c r="M275" s="90"/>
      <c r="N275" s="90"/>
      <c r="O275" s="90"/>
      <c r="P275" s="90"/>
      <c r="Q275" s="90"/>
      <c r="R275" s="90"/>
      <c r="S275" s="90"/>
      <c r="T275" s="90"/>
      <c r="U275" s="90"/>
      <c r="V275" s="90"/>
      <c r="W275" s="90"/>
      <c r="X275" s="90"/>
      <c r="Y275" s="90"/>
      <c r="Z275" s="90"/>
      <c r="AA275" s="90"/>
      <c r="AB275" s="90"/>
    </row>
    <row r="276" spans="1:28" ht="16">
      <c r="A276" s="130"/>
      <c r="B276" s="87" t="s">
        <v>1052</v>
      </c>
      <c r="C276" s="94">
        <v>0.84</v>
      </c>
      <c r="D276" s="95" t="s">
        <v>727</v>
      </c>
      <c r="E276" s="96"/>
      <c r="F276" s="88" t="s">
        <v>1053</v>
      </c>
      <c r="G276" s="89" t="b">
        <v>0</v>
      </c>
      <c r="H276" s="89"/>
      <c r="I276" s="90"/>
      <c r="J276" s="90"/>
      <c r="K276" s="90"/>
      <c r="L276" s="90"/>
      <c r="M276" s="90"/>
      <c r="N276" s="90"/>
      <c r="O276" s="90"/>
      <c r="P276" s="90"/>
      <c r="Q276" s="90"/>
      <c r="R276" s="90"/>
      <c r="S276" s="90"/>
      <c r="T276" s="90"/>
      <c r="U276" s="90"/>
      <c r="V276" s="90"/>
      <c r="W276" s="90"/>
      <c r="X276" s="90"/>
      <c r="Y276" s="90"/>
      <c r="Z276" s="90"/>
      <c r="AA276" s="90"/>
      <c r="AB276" s="90"/>
    </row>
    <row r="277" spans="1:28" ht="16">
      <c r="A277" s="128" t="s">
        <v>679</v>
      </c>
      <c r="B277" s="91" t="s">
        <v>1054</v>
      </c>
      <c r="C277" s="97">
        <v>7.5</v>
      </c>
      <c r="D277" s="98" t="s">
        <v>727</v>
      </c>
      <c r="E277" s="99"/>
      <c r="F277" s="92" t="s">
        <v>1055</v>
      </c>
      <c r="G277" s="93" t="b">
        <v>0</v>
      </c>
      <c r="H277" s="93"/>
      <c r="I277" s="90"/>
      <c r="J277" s="90"/>
      <c r="K277" s="90"/>
      <c r="L277" s="90"/>
      <c r="M277" s="90"/>
      <c r="N277" s="90"/>
      <c r="O277" s="90"/>
      <c r="P277" s="90"/>
      <c r="Q277" s="90"/>
      <c r="R277" s="90"/>
      <c r="S277" s="90"/>
      <c r="T277" s="90"/>
      <c r="U277" s="90"/>
      <c r="V277" s="90"/>
      <c r="W277" s="90"/>
      <c r="X277" s="90"/>
      <c r="Y277" s="90"/>
      <c r="Z277" s="90"/>
      <c r="AA277" s="90"/>
      <c r="AB277" s="90"/>
    </row>
    <row r="278" spans="1:28" ht="16">
      <c r="A278" s="125"/>
      <c r="B278" s="87" t="s">
        <v>1056</v>
      </c>
      <c r="C278" s="94">
        <v>4.5</v>
      </c>
      <c r="D278" s="95" t="s">
        <v>727</v>
      </c>
      <c r="E278" s="96"/>
      <c r="F278" s="88"/>
      <c r="G278" s="89" t="b">
        <v>0</v>
      </c>
      <c r="H278" s="89"/>
      <c r="I278" s="90"/>
      <c r="J278" s="90"/>
      <c r="K278" s="90"/>
      <c r="L278" s="90"/>
      <c r="M278" s="90"/>
      <c r="N278" s="90"/>
      <c r="O278" s="90"/>
      <c r="P278" s="90"/>
      <c r="Q278" s="90"/>
      <c r="R278" s="90"/>
      <c r="S278" s="90"/>
      <c r="T278" s="90"/>
      <c r="U278" s="90"/>
      <c r="V278" s="90"/>
      <c r="W278" s="90"/>
      <c r="X278" s="90"/>
      <c r="Y278" s="90"/>
      <c r="Z278" s="90"/>
      <c r="AA278" s="90"/>
      <c r="AB278" s="90"/>
    </row>
    <row r="279" spans="1:28" ht="16">
      <c r="A279" s="129"/>
      <c r="B279" s="91" t="s">
        <v>1057</v>
      </c>
      <c r="C279" s="97">
        <v>0.46700000000000003</v>
      </c>
      <c r="D279" s="101" t="s">
        <v>1058</v>
      </c>
      <c r="E279" s="99"/>
      <c r="F279" s="92" t="s">
        <v>1059</v>
      </c>
      <c r="G279" s="93" t="b">
        <v>0</v>
      </c>
      <c r="H279" s="93"/>
      <c r="I279" s="90"/>
      <c r="J279" s="90"/>
      <c r="K279" s="90"/>
      <c r="L279" s="90"/>
      <c r="M279" s="90"/>
      <c r="N279" s="90"/>
      <c r="O279" s="90"/>
      <c r="P279" s="90"/>
      <c r="Q279" s="90"/>
      <c r="R279" s="90"/>
      <c r="S279" s="90"/>
      <c r="T279" s="90"/>
      <c r="U279" s="90"/>
      <c r="V279" s="90"/>
      <c r="W279" s="90"/>
      <c r="X279" s="90"/>
      <c r="Y279" s="90"/>
      <c r="Z279" s="90"/>
      <c r="AA279" s="90"/>
      <c r="AB279" s="90"/>
    </row>
    <row r="280" spans="1:28" ht="16">
      <c r="A280" s="128" t="s">
        <v>683</v>
      </c>
      <c r="B280" s="87" t="s">
        <v>1060</v>
      </c>
      <c r="C280" s="94">
        <v>3.1</v>
      </c>
      <c r="D280" s="95" t="s">
        <v>727</v>
      </c>
      <c r="E280" s="96"/>
      <c r="F280" s="88" t="s">
        <v>1061</v>
      </c>
      <c r="G280" s="89" t="b">
        <v>0</v>
      </c>
      <c r="H280" s="89"/>
      <c r="I280" s="90"/>
      <c r="J280" s="90"/>
      <c r="K280" s="90"/>
      <c r="L280" s="90"/>
      <c r="M280" s="90"/>
      <c r="N280" s="90"/>
      <c r="O280" s="90"/>
      <c r="P280" s="90"/>
      <c r="Q280" s="90"/>
      <c r="R280" s="90"/>
      <c r="S280" s="90"/>
      <c r="T280" s="90"/>
      <c r="U280" s="90"/>
      <c r="V280" s="90"/>
      <c r="W280" s="90"/>
      <c r="X280" s="90"/>
      <c r="Y280" s="90"/>
      <c r="Z280" s="90"/>
      <c r="AA280" s="90"/>
      <c r="AB280" s="90"/>
    </row>
    <row r="281" spans="1:28" ht="16">
      <c r="A281" s="125"/>
      <c r="B281" s="91" t="s">
        <v>1062</v>
      </c>
      <c r="C281" s="97">
        <v>3.84</v>
      </c>
      <c r="D281" s="98" t="s">
        <v>727</v>
      </c>
      <c r="E281" s="99"/>
      <c r="F281" s="92"/>
      <c r="G281" s="93" t="b">
        <v>0</v>
      </c>
      <c r="H281" s="93"/>
      <c r="I281" s="90"/>
      <c r="J281" s="90"/>
      <c r="K281" s="90"/>
      <c r="L281" s="90"/>
      <c r="M281" s="90"/>
      <c r="N281" s="90"/>
      <c r="O281" s="90"/>
      <c r="P281" s="90"/>
      <c r="Q281" s="90"/>
      <c r="R281" s="90"/>
      <c r="S281" s="90"/>
      <c r="T281" s="90"/>
      <c r="U281" s="90"/>
      <c r="V281" s="90"/>
      <c r="W281" s="90"/>
      <c r="X281" s="90"/>
      <c r="Y281" s="90"/>
      <c r="Z281" s="90"/>
      <c r="AA281" s="90"/>
      <c r="AB281" s="90"/>
    </row>
    <row r="282" spans="1:28" ht="16">
      <c r="A282" s="125"/>
      <c r="B282" s="87" t="s">
        <v>1063</v>
      </c>
      <c r="C282" s="94">
        <v>5</v>
      </c>
      <c r="D282" s="95" t="s">
        <v>727</v>
      </c>
      <c r="E282" s="96"/>
      <c r="F282" s="88"/>
      <c r="G282" s="89" t="b">
        <v>0</v>
      </c>
      <c r="H282" s="89"/>
      <c r="I282" s="90"/>
      <c r="J282" s="90"/>
      <c r="K282" s="90"/>
      <c r="L282" s="90"/>
      <c r="M282" s="90"/>
      <c r="N282" s="90"/>
      <c r="O282" s="90"/>
      <c r="P282" s="90"/>
      <c r="Q282" s="90"/>
      <c r="R282" s="90"/>
      <c r="S282" s="90"/>
      <c r="T282" s="90"/>
      <c r="U282" s="90"/>
      <c r="V282" s="90"/>
      <c r="W282" s="90"/>
      <c r="X282" s="90"/>
      <c r="Y282" s="90"/>
      <c r="Z282" s="90"/>
      <c r="AA282" s="90"/>
      <c r="AB282" s="90"/>
    </row>
    <row r="283" spans="1:28" ht="16">
      <c r="A283" s="125"/>
      <c r="B283" s="91" t="s">
        <v>1064</v>
      </c>
      <c r="C283" s="97">
        <v>1.8</v>
      </c>
      <c r="D283" s="98" t="s">
        <v>727</v>
      </c>
      <c r="E283" s="99"/>
      <c r="F283" s="92"/>
      <c r="G283" s="93" t="b">
        <v>0</v>
      </c>
      <c r="H283" s="93"/>
      <c r="I283" s="90"/>
      <c r="J283" s="90"/>
      <c r="K283" s="90"/>
      <c r="L283" s="90"/>
      <c r="M283" s="90"/>
      <c r="N283" s="90"/>
      <c r="O283" s="90"/>
      <c r="P283" s="90"/>
      <c r="Q283" s="90"/>
      <c r="R283" s="90"/>
      <c r="S283" s="90"/>
      <c r="T283" s="90"/>
      <c r="U283" s="90"/>
      <c r="V283" s="90"/>
      <c r="W283" s="90"/>
      <c r="X283" s="90"/>
      <c r="Y283" s="90"/>
      <c r="Z283" s="90"/>
      <c r="AA283" s="90"/>
      <c r="AB283" s="90"/>
    </row>
    <row r="284" spans="1:28" ht="16">
      <c r="A284" s="125"/>
      <c r="B284" s="87" t="s">
        <v>1065</v>
      </c>
      <c r="C284" s="94">
        <v>5.3</v>
      </c>
      <c r="D284" s="95" t="s">
        <v>727</v>
      </c>
      <c r="E284" s="96"/>
      <c r="F284" s="88"/>
      <c r="G284" s="89" t="b">
        <v>0</v>
      </c>
      <c r="H284" s="89"/>
      <c r="I284" s="90"/>
      <c r="J284" s="90"/>
      <c r="K284" s="90"/>
      <c r="L284" s="90"/>
      <c r="M284" s="90"/>
      <c r="N284" s="90"/>
      <c r="O284" s="90"/>
      <c r="P284" s="90"/>
      <c r="Q284" s="90"/>
      <c r="R284" s="90"/>
      <c r="S284" s="90"/>
      <c r="T284" s="90"/>
      <c r="U284" s="90"/>
      <c r="V284" s="90"/>
      <c r="W284" s="90"/>
      <c r="X284" s="90"/>
      <c r="Y284" s="90"/>
      <c r="Z284" s="90"/>
      <c r="AA284" s="90"/>
      <c r="AB284" s="90"/>
    </row>
    <row r="285" spans="1:28" ht="16">
      <c r="A285" s="125"/>
      <c r="B285" s="91" t="s">
        <v>1066</v>
      </c>
      <c r="C285" s="97">
        <f>PI()*C289*(C294/1000)/4/(C287/1000000)</f>
        <v>2.9890881558427154</v>
      </c>
      <c r="D285" s="98" t="s">
        <v>727</v>
      </c>
      <c r="E285" s="99" t="s">
        <v>1067</v>
      </c>
      <c r="F285" s="92" t="s">
        <v>1068</v>
      </c>
      <c r="G285" s="93" t="b">
        <v>1</v>
      </c>
      <c r="H285" s="93"/>
      <c r="I285" s="90"/>
      <c r="J285" s="90"/>
      <c r="K285" s="90"/>
      <c r="L285" s="90"/>
      <c r="M285" s="90"/>
      <c r="N285" s="90"/>
      <c r="O285" s="90"/>
      <c r="P285" s="90"/>
      <c r="Q285" s="90"/>
      <c r="R285" s="90"/>
      <c r="S285" s="90"/>
      <c r="T285" s="90"/>
      <c r="U285" s="90"/>
      <c r="V285" s="90"/>
      <c r="W285" s="90"/>
      <c r="X285" s="90"/>
      <c r="Y285" s="90"/>
      <c r="Z285" s="90"/>
      <c r="AA285" s="90"/>
      <c r="AB285" s="90"/>
    </row>
    <row r="286" spans="1:28" ht="16">
      <c r="A286" s="130"/>
      <c r="B286" s="87" t="s">
        <v>1069</v>
      </c>
      <c r="C286" s="94">
        <f>PI()*C289*(C295/1000)/4/(C287/1000000)</f>
        <v>4.3768790853411188</v>
      </c>
      <c r="D286" s="95" t="s">
        <v>727</v>
      </c>
      <c r="E286" s="96" t="s">
        <v>1070</v>
      </c>
      <c r="F286" s="88" t="s">
        <v>1071</v>
      </c>
      <c r="G286" s="89" t="b">
        <v>1</v>
      </c>
      <c r="H286" s="89"/>
      <c r="I286" s="90"/>
      <c r="J286" s="90"/>
      <c r="K286" s="90"/>
      <c r="L286" s="90"/>
      <c r="M286" s="90"/>
      <c r="N286" s="90"/>
      <c r="O286" s="90"/>
      <c r="P286" s="90"/>
      <c r="Q286" s="90"/>
      <c r="R286" s="90"/>
      <c r="S286" s="90"/>
      <c r="T286" s="90"/>
      <c r="U286" s="90"/>
      <c r="V286" s="90"/>
      <c r="W286" s="90"/>
      <c r="X286" s="90"/>
      <c r="Y286" s="90"/>
      <c r="Z286" s="90"/>
      <c r="AA286" s="90"/>
      <c r="AB286" s="90"/>
    </row>
    <row r="287" spans="1:28" ht="16">
      <c r="A287" s="128" t="s">
        <v>685</v>
      </c>
      <c r="B287" s="91" t="s">
        <v>1072</v>
      </c>
      <c r="C287" s="97">
        <v>515</v>
      </c>
      <c r="D287" s="101" t="s">
        <v>1073</v>
      </c>
      <c r="E287" s="117"/>
      <c r="F287" s="92" t="s">
        <v>1074</v>
      </c>
      <c r="G287" s="93" t="b">
        <v>0</v>
      </c>
      <c r="H287" s="93"/>
      <c r="I287" s="90"/>
      <c r="J287" s="90"/>
      <c r="K287" s="90"/>
      <c r="L287" s="90"/>
      <c r="M287" s="90"/>
      <c r="N287" s="90"/>
      <c r="O287" s="90"/>
      <c r="P287" s="90"/>
      <c r="Q287" s="90"/>
      <c r="R287" s="90"/>
      <c r="S287" s="90"/>
      <c r="T287" s="90"/>
      <c r="U287" s="90"/>
      <c r="V287" s="90"/>
      <c r="W287" s="90"/>
      <c r="X287" s="90"/>
      <c r="Y287" s="90"/>
      <c r="Z287" s="90"/>
      <c r="AA287" s="90"/>
      <c r="AB287" s="90"/>
    </row>
    <row r="288" spans="1:28" ht="16">
      <c r="A288" s="125"/>
      <c r="B288" s="87" t="s">
        <v>1075</v>
      </c>
      <c r="C288" s="94">
        <f>C287/PI()</f>
        <v>163.92959138465221</v>
      </c>
      <c r="D288" s="105" t="s">
        <v>1073</v>
      </c>
      <c r="E288" s="96"/>
      <c r="F288" s="88"/>
      <c r="G288" s="89" t="b">
        <v>1</v>
      </c>
      <c r="H288" s="89"/>
      <c r="I288" s="90"/>
      <c r="J288" s="90"/>
      <c r="K288" s="90"/>
      <c r="L288" s="90"/>
      <c r="M288" s="90"/>
      <c r="N288" s="90"/>
      <c r="O288" s="90"/>
      <c r="P288" s="90"/>
      <c r="Q288" s="90"/>
      <c r="R288" s="90"/>
      <c r="S288" s="90"/>
      <c r="T288" s="90"/>
      <c r="U288" s="90"/>
      <c r="V288" s="90"/>
      <c r="W288" s="90"/>
      <c r="X288" s="90"/>
      <c r="Y288" s="90"/>
      <c r="Z288" s="90"/>
      <c r="AA288" s="90"/>
      <c r="AB288" s="90"/>
    </row>
    <row r="289" spans="1:28" ht="16">
      <c r="A289" s="125"/>
      <c r="B289" s="91" t="s">
        <v>1076</v>
      </c>
      <c r="C289" s="97">
        <v>0.7</v>
      </c>
      <c r="D289" s="98" t="s">
        <v>727</v>
      </c>
      <c r="E289" s="117"/>
      <c r="F289" s="92" t="s">
        <v>1077</v>
      </c>
      <c r="G289" s="93" t="b">
        <v>0</v>
      </c>
      <c r="H289" s="93"/>
      <c r="I289" s="90"/>
      <c r="J289" s="90"/>
      <c r="K289" s="90"/>
      <c r="L289" s="90"/>
      <c r="M289" s="90"/>
      <c r="N289" s="90"/>
      <c r="O289" s="90"/>
      <c r="P289" s="90"/>
      <c r="Q289" s="90"/>
      <c r="R289" s="90"/>
      <c r="S289" s="90"/>
      <c r="T289" s="90"/>
      <c r="U289" s="90"/>
      <c r="V289" s="90"/>
      <c r="W289" s="90"/>
      <c r="X289" s="90"/>
      <c r="Y289" s="90"/>
      <c r="Z289" s="90"/>
      <c r="AA289" s="90"/>
      <c r="AB289" s="90"/>
    </row>
    <row r="290" spans="1:28" ht="16">
      <c r="A290" s="125"/>
      <c r="B290" s="87" t="s">
        <v>1078</v>
      </c>
      <c r="C290" s="94">
        <f>1.3/2</f>
        <v>0.65</v>
      </c>
      <c r="D290" s="105" t="s">
        <v>1058</v>
      </c>
      <c r="E290" s="96"/>
      <c r="F290" s="88" t="s">
        <v>1079</v>
      </c>
      <c r="G290" s="89" t="b">
        <v>0</v>
      </c>
      <c r="H290" s="89"/>
      <c r="I290" s="90"/>
      <c r="J290" s="90"/>
      <c r="K290" s="90"/>
      <c r="L290" s="90"/>
      <c r="M290" s="90"/>
      <c r="N290" s="90"/>
      <c r="O290" s="90"/>
      <c r="P290" s="90"/>
      <c r="Q290" s="90"/>
      <c r="R290" s="90"/>
      <c r="S290" s="90"/>
      <c r="T290" s="90"/>
      <c r="U290" s="90"/>
      <c r="V290" s="90"/>
      <c r="W290" s="90"/>
      <c r="X290" s="90"/>
      <c r="Y290" s="90"/>
      <c r="Z290" s="90"/>
      <c r="AA290" s="90"/>
      <c r="AB290" s="90"/>
    </row>
    <row r="291" spans="1:28" ht="16">
      <c r="A291" s="125"/>
      <c r="B291" s="91" t="s">
        <v>1080</v>
      </c>
      <c r="C291" s="97">
        <f>PI()*(PI()*(C289*1000/2)^2)*SIN(C290/1000)^2</f>
        <v>0.51081364084428726</v>
      </c>
      <c r="D291" s="101" t="s">
        <v>1081</v>
      </c>
      <c r="E291" s="99"/>
      <c r="F291" s="92" t="s">
        <v>1082</v>
      </c>
      <c r="G291" s="93" t="b">
        <v>1</v>
      </c>
      <c r="H291" s="93"/>
      <c r="I291" s="90"/>
      <c r="J291" s="90"/>
      <c r="K291" s="90"/>
      <c r="L291" s="90"/>
      <c r="M291" s="90"/>
      <c r="N291" s="90"/>
      <c r="O291" s="90"/>
      <c r="P291" s="90"/>
      <c r="Q291" s="90"/>
      <c r="R291" s="90"/>
      <c r="S291" s="90"/>
      <c r="T291" s="90"/>
      <c r="U291" s="90"/>
      <c r="V291" s="90"/>
      <c r="W291" s="90"/>
      <c r="X291" s="90"/>
      <c r="Y291" s="90"/>
      <c r="Z291" s="90"/>
      <c r="AA291" s="90"/>
      <c r="AB291" s="90"/>
    </row>
    <row r="292" spans="1:28" ht="16">
      <c r="A292" s="125"/>
      <c r="B292" s="87" t="s">
        <v>1083</v>
      </c>
      <c r="C292" s="94">
        <f>C290/1000*(C289/2)*1000*1000</f>
        <v>227.49999999999997</v>
      </c>
      <c r="D292" s="105" t="s">
        <v>1073</v>
      </c>
      <c r="E292" s="96"/>
      <c r="F292" s="88" t="s">
        <v>1084</v>
      </c>
      <c r="G292" s="89" t="b">
        <v>1</v>
      </c>
      <c r="H292" s="89"/>
      <c r="I292" s="90"/>
      <c r="J292" s="90"/>
      <c r="K292" s="90"/>
      <c r="L292" s="90"/>
      <c r="M292" s="90"/>
      <c r="N292" s="90"/>
      <c r="O292" s="90"/>
      <c r="P292" s="90"/>
      <c r="Q292" s="90"/>
      <c r="R292" s="90"/>
      <c r="S292" s="90"/>
      <c r="T292" s="90"/>
      <c r="U292" s="90"/>
      <c r="V292" s="90"/>
      <c r="W292" s="90"/>
      <c r="X292" s="90"/>
      <c r="Y292" s="90"/>
      <c r="Z292" s="90"/>
      <c r="AA292" s="90"/>
      <c r="AB292" s="90"/>
    </row>
    <row r="293" spans="1:28" ht="16">
      <c r="A293" s="129"/>
      <c r="B293" s="91" t="s">
        <v>1085</v>
      </c>
      <c r="C293" s="97">
        <f>C292/C288</f>
        <v>1.3877909294984034</v>
      </c>
      <c r="D293" s="98"/>
      <c r="E293" s="99"/>
      <c r="F293" s="92"/>
      <c r="G293" s="93" t="b">
        <v>1</v>
      </c>
      <c r="H293" s="93"/>
      <c r="I293" s="90"/>
      <c r="J293" s="90"/>
      <c r="K293" s="90"/>
      <c r="L293" s="90"/>
      <c r="M293" s="90"/>
      <c r="N293" s="90"/>
      <c r="O293" s="90"/>
      <c r="P293" s="90"/>
      <c r="Q293" s="90"/>
      <c r="R293" s="90"/>
      <c r="S293" s="90"/>
      <c r="T293" s="90"/>
      <c r="U293" s="90"/>
      <c r="V293" s="90"/>
      <c r="W293" s="90"/>
      <c r="X293" s="90"/>
      <c r="Y293" s="90"/>
      <c r="Z293" s="90"/>
      <c r="AA293" s="90"/>
      <c r="AB293" s="90"/>
    </row>
    <row r="294" spans="1:28" ht="16">
      <c r="A294" s="128" t="s">
        <v>681</v>
      </c>
      <c r="B294" s="87" t="s">
        <v>1086</v>
      </c>
      <c r="C294" s="94">
        <v>2.8</v>
      </c>
      <c r="D294" s="105" t="s">
        <v>1087</v>
      </c>
      <c r="E294" s="96"/>
      <c r="F294" s="88"/>
      <c r="G294" s="89" t="b">
        <v>0</v>
      </c>
      <c r="H294" s="89"/>
      <c r="I294" s="90"/>
      <c r="J294" s="90"/>
      <c r="K294" s="90"/>
      <c r="L294" s="90"/>
      <c r="M294" s="90"/>
      <c r="N294" s="90"/>
      <c r="O294" s="90"/>
      <c r="P294" s="90"/>
      <c r="Q294" s="90"/>
      <c r="R294" s="90"/>
      <c r="S294" s="90"/>
      <c r="T294" s="90"/>
      <c r="U294" s="90"/>
      <c r="V294" s="90"/>
      <c r="W294" s="90"/>
      <c r="X294" s="90"/>
      <c r="Y294" s="90"/>
      <c r="Z294" s="90"/>
      <c r="AA294" s="90"/>
      <c r="AB294" s="90"/>
    </row>
    <row r="295" spans="1:28" ht="16">
      <c r="A295" s="125"/>
      <c r="B295" s="91" t="s">
        <v>1088</v>
      </c>
      <c r="C295" s="97">
        <v>4.0999999999999996</v>
      </c>
      <c r="D295" s="101" t="s">
        <v>1087</v>
      </c>
      <c r="E295" s="99"/>
      <c r="F295" s="92"/>
      <c r="G295" s="93" t="b">
        <v>0</v>
      </c>
      <c r="H295" s="93"/>
      <c r="I295" s="90"/>
      <c r="J295" s="90"/>
      <c r="K295" s="90"/>
      <c r="L295" s="90"/>
      <c r="M295" s="90"/>
      <c r="N295" s="90"/>
      <c r="O295" s="90"/>
      <c r="P295" s="90"/>
      <c r="Q295" s="90"/>
      <c r="R295" s="90"/>
      <c r="S295" s="90"/>
      <c r="T295" s="90"/>
      <c r="U295" s="90"/>
      <c r="V295" s="90"/>
      <c r="W295" s="90"/>
      <c r="X295" s="90"/>
      <c r="Y295" s="90"/>
      <c r="Z295" s="90"/>
      <c r="AA295" s="90"/>
      <c r="AB295" s="90"/>
    </row>
    <row r="296" spans="1:28" ht="16">
      <c r="A296" s="130"/>
      <c r="B296" s="87" t="s">
        <v>1089</v>
      </c>
      <c r="C296" s="94">
        <f>DEGREES((C287/1000000)/PI()/((MEDIAN(C294:C295)/1000)/2))</f>
        <v>5.4449123035621527</v>
      </c>
      <c r="D296" s="95" t="s">
        <v>752</v>
      </c>
      <c r="E296" s="96"/>
      <c r="F296" s="88" t="s">
        <v>1090</v>
      </c>
      <c r="G296" s="89" t="b">
        <v>1</v>
      </c>
      <c r="H296" s="89"/>
      <c r="I296" s="90"/>
      <c r="J296" s="90"/>
      <c r="K296" s="90"/>
      <c r="L296" s="90"/>
      <c r="M296" s="90"/>
      <c r="N296" s="90"/>
      <c r="O296" s="90"/>
      <c r="P296" s="90"/>
      <c r="Q296" s="90"/>
      <c r="R296" s="90"/>
      <c r="S296" s="90"/>
      <c r="T296" s="90"/>
      <c r="U296" s="90"/>
      <c r="V296" s="90"/>
      <c r="W296" s="90"/>
      <c r="X296" s="90"/>
      <c r="Y296" s="90"/>
      <c r="Z296" s="90"/>
      <c r="AA296" s="90"/>
      <c r="AB296" s="90"/>
    </row>
    <row r="297" spans="1:28" ht="16">
      <c r="A297" s="128" t="s">
        <v>1091</v>
      </c>
      <c r="B297" s="91" t="s">
        <v>1092</v>
      </c>
      <c r="C297" s="97">
        <f>C251/C243</f>
        <v>4</v>
      </c>
      <c r="D297" s="98"/>
      <c r="E297" s="99"/>
      <c r="F297" s="92"/>
      <c r="G297" s="93" t="b">
        <v>0</v>
      </c>
      <c r="H297" s="93"/>
      <c r="I297" s="90"/>
      <c r="J297" s="90"/>
      <c r="K297" s="90"/>
      <c r="L297" s="90"/>
      <c r="M297" s="90"/>
      <c r="N297" s="90"/>
      <c r="O297" s="90"/>
      <c r="P297" s="90"/>
      <c r="Q297" s="90"/>
      <c r="R297" s="90"/>
      <c r="S297" s="90"/>
      <c r="T297" s="90"/>
      <c r="U297" s="90"/>
      <c r="V297" s="90"/>
      <c r="W297" s="90"/>
      <c r="X297" s="90"/>
      <c r="Y297" s="90"/>
      <c r="Z297" s="90"/>
      <c r="AA297" s="90"/>
      <c r="AB297" s="90"/>
    </row>
    <row r="298" spans="1:28" ht="16">
      <c r="A298" s="125"/>
      <c r="B298" s="87" t="s">
        <v>1093</v>
      </c>
      <c r="C298" s="94">
        <f>C265/C256</f>
        <v>1.0714285714285714</v>
      </c>
      <c r="D298" s="95"/>
      <c r="E298" s="96"/>
      <c r="F298" s="88"/>
      <c r="G298" s="89" t="b">
        <v>0</v>
      </c>
      <c r="H298" s="89"/>
      <c r="I298" s="90"/>
      <c r="J298" s="90"/>
      <c r="K298" s="90"/>
      <c r="L298" s="90"/>
      <c r="M298" s="90"/>
      <c r="N298" s="90"/>
      <c r="O298" s="90"/>
      <c r="P298" s="90"/>
      <c r="Q298" s="90"/>
      <c r="R298" s="90"/>
      <c r="S298" s="90"/>
      <c r="T298" s="90"/>
      <c r="U298" s="90"/>
      <c r="V298" s="90"/>
      <c r="W298" s="90"/>
      <c r="X298" s="90"/>
      <c r="Y298" s="90"/>
      <c r="Z298" s="90"/>
      <c r="AA298" s="90"/>
      <c r="AB298" s="90"/>
    </row>
    <row r="299" spans="1:28" ht="16">
      <c r="A299" s="125"/>
      <c r="B299" s="91" t="s">
        <v>1094</v>
      </c>
      <c r="C299" s="97">
        <f>C256/C251</f>
        <v>0.35</v>
      </c>
      <c r="D299" s="98"/>
      <c r="E299" s="99"/>
      <c r="F299" s="92"/>
      <c r="G299" s="93" t="b">
        <v>0</v>
      </c>
      <c r="H299" s="93"/>
      <c r="I299" s="90"/>
      <c r="J299" s="90"/>
      <c r="K299" s="90"/>
      <c r="L299" s="90"/>
      <c r="M299" s="90"/>
      <c r="N299" s="90"/>
      <c r="O299" s="90"/>
      <c r="P299" s="90"/>
      <c r="Q299" s="90"/>
      <c r="R299" s="90"/>
      <c r="S299" s="90"/>
      <c r="T299" s="90"/>
      <c r="U299" s="90"/>
      <c r="V299" s="90"/>
      <c r="W299" s="90"/>
      <c r="X299" s="90"/>
      <c r="Y299" s="90"/>
      <c r="Z299" s="90"/>
      <c r="AA299" s="90"/>
      <c r="AB299" s="90"/>
    </row>
    <row r="300" spans="1:28" ht="16">
      <c r="A300" s="130"/>
      <c r="B300" s="87" t="s">
        <v>1095</v>
      </c>
      <c r="C300" s="94">
        <f>C269/C265</f>
        <v>0.66666666666666663</v>
      </c>
      <c r="D300" s="95"/>
      <c r="E300" s="96"/>
      <c r="F300" s="88"/>
      <c r="G300" s="89" t="b">
        <v>0</v>
      </c>
      <c r="H300" s="89"/>
      <c r="I300" s="90"/>
      <c r="J300" s="90"/>
      <c r="K300" s="90"/>
      <c r="L300" s="90"/>
      <c r="M300" s="90"/>
      <c r="N300" s="90"/>
      <c r="O300" s="90"/>
      <c r="P300" s="90"/>
      <c r="Q300" s="90"/>
      <c r="R300" s="90"/>
      <c r="S300" s="90"/>
      <c r="T300" s="90"/>
      <c r="U300" s="90"/>
      <c r="V300" s="90"/>
      <c r="W300" s="90"/>
      <c r="X300" s="90"/>
      <c r="Y300" s="90"/>
      <c r="Z300" s="90"/>
      <c r="AA300" s="90"/>
      <c r="AB300" s="90"/>
    </row>
    <row r="301" spans="1:28" ht="16">
      <c r="A301" s="104" t="s">
        <v>875</v>
      </c>
      <c r="B301" s="91" t="s">
        <v>1096</v>
      </c>
      <c r="C301" s="97">
        <f>119.75+93.9+158</f>
        <v>371.65</v>
      </c>
      <c r="D301" s="98" t="s">
        <v>727</v>
      </c>
      <c r="E301" s="99"/>
      <c r="F301" s="92"/>
      <c r="G301" s="93" t="b">
        <v>0</v>
      </c>
      <c r="H301" s="93"/>
      <c r="I301" s="90"/>
      <c r="J301" s="90"/>
      <c r="K301" s="90"/>
      <c r="L301" s="90"/>
      <c r="M301" s="90"/>
      <c r="N301" s="90"/>
      <c r="O301" s="90"/>
      <c r="P301" s="90"/>
      <c r="Q301" s="90"/>
      <c r="R301" s="90"/>
      <c r="S301" s="90"/>
      <c r="T301" s="90"/>
      <c r="U301" s="90"/>
      <c r="V301" s="90"/>
      <c r="W301" s="90"/>
      <c r="X301" s="90"/>
      <c r="Y301" s="90"/>
      <c r="Z301" s="90"/>
      <c r="AA301" s="90"/>
      <c r="AB301" s="90"/>
    </row>
    <row r="302" spans="1:28" ht="16">
      <c r="A302" s="128" t="s">
        <v>352</v>
      </c>
      <c r="B302" s="87" t="s">
        <v>1097</v>
      </c>
      <c r="C302" s="94">
        <f>C290</f>
        <v>0.65</v>
      </c>
      <c r="D302" s="105" t="s">
        <v>1058</v>
      </c>
      <c r="E302" s="96"/>
      <c r="F302" s="88"/>
      <c r="G302" s="89" t="b">
        <v>1</v>
      </c>
      <c r="H302" s="89"/>
      <c r="I302" s="90"/>
      <c r="J302" s="90"/>
      <c r="K302" s="90"/>
      <c r="L302" s="90"/>
      <c r="M302" s="90"/>
      <c r="N302" s="90"/>
      <c r="O302" s="90"/>
      <c r="P302" s="90"/>
      <c r="Q302" s="90"/>
      <c r="R302" s="90"/>
      <c r="S302" s="90"/>
      <c r="T302" s="90"/>
      <c r="U302" s="90"/>
      <c r="V302" s="90"/>
      <c r="W302" s="90"/>
      <c r="X302" s="90"/>
      <c r="Y302" s="90"/>
      <c r="Z302" s="90"/>
      <c r="AA302" s="90"/>
      <c r="AB302" s="90"/>
    </row>
    <row r="303" spans="1:28" ht="16">
      <c r="A303" s="125"/>
      <c r="B303" s="91" t="s">
        <v>1098</v>
      </c>
      <c r="C303" s="97">
        <f>TAN(C302/1000)*C301</f>
        <v>0.24157253402146617</v>
      </c>
      <c r="D303" s="98" t="s">
        <v>727</v>
      </c>
      <c r="E303" s="99"/>
      <c r="F303" s="92"/>
      <c r="G303" s="93" t="b">
        <v>1</v>
      </c>
      <c r="H303" s="93"/>
      <c r="I303" s="90"/>
      <c r="J303" s="90"/>
      <c r="K303" s="90"/>
      <c r="L303" s="90"/>
      <c r="M303" s="90"/>
      <c r="N303" s="90"/>
      <c r="O303" s="90"/>
      <c r="P303" s="90"/>
      <c r="Q303" s="90"/>
      <c r="R303" s="90"/>
      <c r="S303" s="90"/>
      <c r="T303" s="90"/>
      <c r="U303" s="90"/>
      <c r="V303" s="90"/>
      <c r="W303" s="90"/>
      <c r="X303" s="90"/>
      <c r="Y303" s="90"/>
      <c r="Z303" s="90"/>
      <c r="AA303" s="90"/>
      <c r="AB303" s="90"/>
    </row>
    <row r="304" spans="1:28" ht="16">
      <c r="A304" s="130"/>
      <c r="B304" s="87" t="s">
        <v>1099</v>
      </c>
      <c r="C304" s="94">
        <f>C289+C303*2</f>
        <v>1.1831450680429323</v>
      </c>
      <c r="D304" s="95" t="s">
        <v>727</v>
      </c>
      <c r="E304" s="96"/>
      <c r="F304" s="88"/>
      <c r="G304" s="89" t="b">
        <v>1</v>
      </c>
      <c r="H304" s="89"/>
      <c r="I304" s="90"/>
      <c r="J304" s="90"/>
      <c r="K304" s="90"/>
      <c r="L304" s="90"/>
      <c r="M304" s="90"/>
      <c r="N304" s="90"/>
      <c r="O304" s="90"/>
      <c r="P304" s="90"/>
      <c r="Q304" s="90"/>
      <c r="R304" s="90"/>
      <c r="S304" s="90"/>
      <c r="T304" s="90"/>
      <c r="U304" s="90"/>
      <c r="V304" s="90"/>
      <c r="W304" s="90"/>
      <c r="X304" s="90"/>
      <c r="Y304" s="90"/>
      <c r="Z304" s="90"/>
      <c r="AA304" s="90"/>
      <c r="AB304" s="90"/>
    </row>
    <row r="305" spans="1:28" ht="16">
      <c r="A305" s="128" t="s">
        <v>717</v>
      </c>
      <c r="B305" s="91" t="s">
        <v>1100</v>
      </c>
      <c r="C305" s="97">
        <f>(4*(C287/1000000)*C280/PI()/C289)*1000</f>
        <v>2.9038956188138396</v>
      </c>
      <c r="D305" s="101" t="s">
        <v>1087</v>
      </c>
      <c r="E305" s="99"/>
      <c r="F305" s="92" t="s">
        <v>1101</v>
      </c>
      <c r="G305" s="93" t="b">
        <v>1</v>
      </c>
      <c r="H305" s="93"/>
      <c r="I305" s="90"/>
      <c r="J305" s="90"/>
      <c r="K305" s="90"/>
      <c r="L305" s="90"/>
      <c r="M305" s="90"/>
      <c r="N305" s="90"/>
      <c r="O305" s="90"/>
      <c r="P305" s="90"/>
      <c r="Q305" s="90"/>
      <c r="R305" s="90"/>
      <c r="S305" s="90"/>
      <c r="T305" s="90"/>
      <c r="U305" s="90"/>
      <c r="V305" s="90"/>
      <c r="W305" s="90"/>
      <c r="X305" s="90"/>
      <c r="Y305" s="90"/>
      <c r="Z305" s="90"/>
      <c r="AA305" s="90"/>
      <c r="AB305" s="90"/>
    </row>
    <row r="306" spans="1:28" ht="16">
      <c r="A306" s="125"/>
      <c r="B306" s="87" t="s">
        <v>1102</v>
      </c>
      <c r="C306" s="94">
        <f>DEGREES(ASIN(SQRT(C308/PI()/(PI()*(C305/2)^2))))</f>
        <v>9.014595408661993</v>
      </c>
      <c r="D306" s="95" t="s">
        <v>752</v>
      </c>
      <c r="E306" s="96"/>
      <c r="F306" s="88" t="s">
        <v>1103</v>
      </c>
      <c r="G306" s="89" t="b">
        <v>1</v>
      </c>
      <c r="H306" s="89"/>
      <c r="I306" s="90"/>
      <c r="J306" s="90"/>
      <c r="K306" s="90"/>
      <c r="L306" s="90"/>
      <c r="M306" s="90"/>
      <c r="N306" s="90"/>
      <c r="O306" s="90"/>
      <c r="P306" s="90"/>
      <c r="Q306" s="90"/>
      <c r="R306" s="90"/>
      <c r="S306" s="90"/>
      <c r="T306" s="90"/>
      <c r="U306" s="90"/>
      <c r="V306" s="90"/>
      <c r="W306" s="90"/>
      <c r="X306" s="90"/>
      <c r="Y306" s="90"/>
      <c r="Z306" s="90"/>
      <c r="AA306" s="90"/>
      <c r="AB306" s="90"/>
    </row>
    <row r="307" spans="1:28" ht="16">
      <c r="A307" s="125"/>
      <c r="B307" s="91" t="s">
        <v>1104</v>
      </c>
      <c r="C307" s="97">
        <f>SIN(RADIANS(C306))</f>
        <v>0.15668606165199292</v>
      </c>
      <c r="D307" s="98"/>
      <c r="E307" s="99"/>
      <c r="F307" s="92" t="s">
        <v>1105</v>
      </c>
      <c r="G307" s="93" t="b">
        <v>1</v>
      </c>
      <c r="H307" s="93"/>
      <c r="I307" s="90"/>
      <c r="J307" s="90"/>
      <c r="K307" s="90"/>
      <c r="L307" s="90"/>
      <c r="M307" s="90"/>
      <c r="N307" s="90"/>
      <c r="O307" s="90"/>
      <c r="P307" s="90"/>
      <c r="Q307" s="90"/>
      <c r="R307" s="90"/>
      <c r="S307" s="90"/>
      <c r="T307" s="90"/>
      <c r="U307" s="90"/>
      <c r="V307" s="90"/>
      <c r="W307" s="90"/>
      <c r="X307" s="90"/>
      <c r="Y307" s="90"/>
      <c r="Z307" s="90"/>
      <c r="AA307" s="90"/>
      <c r="AB307" s="90"/>
    </row>
    <row r="308" spans="1:28" ht="16">
      <c r="A308" s="130"/>
      <c r="B308" s="87" t="s">
        <v>1106</v>
      </c>
      <c r="C308" s="94">
        <f>C291</f>
        <v>0.51081364084428726</v>
      </c>
      <c r="D308" s="105" t="s">
        <v>1081</v>
      </c>
      <c r="E308" s="96"/>
      <c r="F308" s="88" t="s">
        <v>1107</v>
      </c>
      <c r="G308" s="89" t="b">
        <v>1</v>
      </c>
      <c r="H308" s="89"/>
      <c r="I308" s="90"/>
      <c r="J308" s="90"/>
      <c r="K308" s="90"/>
      <c r="L308" s="90"/>
      <c r="M308" s="90"/>
      <c r="N308" s="90"/>
      <c r="O308" s="90"/>
      <c r="P308" s="90"/>
      <c r="Q308" s="90"/>
      <c r="R308" s="90"/>
      <c r="S308" s="90"/>
      <c r="T308" s="90"/>
      <c r="U308" s="90"/>
      <c r="V308" s="90"/>
      <c r="W308" s="90"/>
      <c r="X308" s="90"/>
      <c r="Y308" s="90"/>
      <c r="Z308" s="90"/>
      <c r="AA308" s="90"/>
      <c r="AB308" s="90"/>
    </row>
    <row r="309" spans="1:28" ht="16">
      <c r="A309" s="128" t="s">
        <v>715</v>
      </c>
      <c r="B309" s="91" t="s">
        <v>1108</v>
      </c>
      <c r="C309" s="97">
        <f>C296</f>
        <v>5.4449123035621527</v>
      </c>
      <c r="D309" s="98" t="s">
        <v>752</v>
      </c>
      <c r="E309" s="117"/>
      <c r="F309" s="92" t="s">
        <v>1109</v>
      </c>
      <c r="G309" s="93" t="b">
        <v>1</v>
      </c>
      <c r="H309" s="93"/>
      <c r="I309" s="90"/>
      <c r="J309" s="90"/>
      <c r="K309" s="90"/>
      <c r="L309" s="90"/>
      <c r="M309" s="90"/>
      <c r="N309" s="90"/>
      <c r="O309" s="90"/>
      <c r="P309" s="90"/>
      <c r="Q309" s="90"/>
      <c r="R309" s="90"/>
      <c r="S309" s="90"/>
      <c r="T309" s="90"/>
      <c r="U309" s="90"/>
      <c r="V309" s="90"/>
      <c r="W309" s="90"/>
      <c r="X309" s="90"/>
      <c r="Y309" s="90"/>
      <c r="Z309" s="90"/>
      <c r="AA309" s="90"/>
      <c r="AB309" s="90"/>
    </row>
    <row r="310" spans="1:28" ht="16">
      <c r="A310" s="130"/>
      <c r="B310" s="87" t="s">
        <v>1110</v>
      </c>
      <c r="C310" s="94">
        <f>MEDIAN(C294:C295)</f>
        <v>3.4499999999999997</v>
      </c>
      <c r="D310" s="105" t="s">
        <v>1087</v>
      </c>
      <c r="E310" s="116"/>
      <c r="F310" s="88" t="s">
        <v>1111</v>
      </c>
      <c r="G310" s="89" t="b">
        <v>1</v>
      </c>
      <c r="H310" s="89"/>
      <c r="I310" s="90"/>
      <c r="J310" s="90"/>
      <c r="K310" s="90"/>
      <c r="L310" s="90"/>
      <c r="M310" s="90"/>
      <c r="N310" s="90"/>
      <c r="O310" s="90"/>
      <c r="P310" s="90"/>
      <c r="Q310" s="90"/>
      <c r="R310" s="90"/>
      <c r="S310" s="90"/>
      <c r="T310" s="90"/>
      <c r="U310" s="90"/>
      <c r="V310" s="90"/>
      <c r="W310" s="90"/>
      <c r="X310" s="90"/>
      <c r="Y310" s="90"/>
      <c r="Z310" s="90"/>
      <c r="AA310" s="90"/>
      <c r="AB310" s="90"/>
    </row>
    <row r="311" spans="1:28" ht="16">
      <c r="A311" s="128" t="s">
        <v>713</v>
      </c>
      <c r="B311" s="91" t="s">
        <v>1112</v>
      </c>
      <c r="C311" s="97">
        <v>1.5</v>
      </c>
      <c r="D311" s="98" t="s">
        <v>727</v>
      </c>
      <c r="E311" s="117"/>
      <c r="F311" s="92" t="s">
        <v>1113</v>
      </c>
      <c r="G311" s="93" t="b">
        <v>0</v>
      </c>
      <c r="H311" s="93"/>
      <c r="I311" s="90"/>
      <c r="J311" s="90"/>
      <c r="K311" s="90"/>
      <c r="L311" s="90"/>
      <c r="M311" s="90"/>
      <c r="N311" s="90"/>
      <c r="O311" s="90"/>
      <c r="P311" s="90"/>
      <c r="Q311" s="90"/>
      <c r="R311" s="90"/>
      <c r="S311" s="90"/>
      <c r="T311" s="90"/>
      <c r="U311" s="90"/>
      <c r="V311" s="90"/>
      <c r="W311" s="90"/>
      <c r="X311" s="90"/>
      <c r="Y311" s="90"/>
      <c r="Z311" s="90"/>
      <c r="AA311" s="90"/>
      <c r="AB311" s="90"/>
    </row>
    <row r="312" spans="1:28" ht="16">
      <c r="A312" s="125"/>
      <c r="B312" s="87" t="s">
        <v>1114</v>
      </c>
      <c r="C312" s="94">
        <f>4*(C287/1000000)*C277/PI()/(C310/1000)</f>
        <v>1.4254747076926282</v>
      </c>
      <c r="D312" s="95" t="s">
        <v>727</v>
      </c>
      <c r="E312" s="96"/>
      <c r="F312" s="88" t="s">
        <v>1115</v>
      </c>
      <c r="G312" s="89" t="b">
        <v>1</v>
      </c>
      <c r="H312" s="89"/>
      <c r="I312" s="90"/>
      <c r="J312" s="90"/>
      <c r="K312" s="90"/>
      <c r="L312" s="90"/>
      <c r="M312" s="90"/>
      <c r="N312" s="90"/>
      <c r="O312" s="90"/>
      <c r="P312" s="90"/>
      <c r="Q312" s="90"/>
      <c r="R312" s="90"/>
      <c r="S312" s="90"/>
      <c r="T312" s="90"/>
      <c r="U312" s="90"/>
      <c r="V312" s="90"/>
      <c r="W312" s="90"/>
      <c r="X312" s="90"/>
      <c r="Y312" s="90"/>
      <c r="Z312" s="90"/>
      <c r="AA312" s="90"/>
      <c r="AB312" s="90"/>
    </row>
    <row r="313" spans="1:28" ht="16">
      <c r="A313" s="125"/>
      <c r="B313" s="91" t="s">
        <v>1116</v>
      </c>
      <c r="C313" s="97">
        <f>C279</f>
        <v>0.46700000000000003</v>
      </c>
      <c r="D313" s="101" t="s">
        <v>1058</v>
      </c>
      <c r="E313" s="99"/>
      <c r="F313" s="92"/>
      <c r="G313" s="93" t="b">
        <v>1</v>
      </c>
      <c r="H313" s="93"/>
      <c r="I313" s="90"/>
      <c r="J313" s="90"/>
      <c r="K313" s="90"/>
      <c r="L313" s="90"/>
      <c r="M313" s="90"/>
      <c r="N313" s="90"/>
      <c r="O313" s="90"/>
      <c r="P313" s="90"/>
      <c r="Q313" s="90"/>
      <c r="R313" s="90"/>
      <c r="S313" s="90"/>
      <c r="T313" s="90"/>
      <c r="U313" s="90"/>
      <c r="V313" s="90"/>
      <c r="W313" s="90"/>
      <c r="X313" s="90"/>
      <c r="Y313" s="90"/>
      <c r="Z313" s="90"/>
      <c r="AA313" s="90"/>
      <c r="AB313" s="90"/>
    </row>
    <row r="314" spans="1:28" ht="16">
      <c r="A314" s="125"/>
      <c r="B314" s="87" t="s">
        <v>1117</v>
      </c>
      <c r="C314" s="94">
        <f>PI()*(PI()*(C312*1000/2)^2)*SIN(C313/1000)^2</f>
        <v>1.093433852931025</v>
      </c>
      <c r="D314" s="105" t="s">
        <v>1081</v>
      </c>
      <c r="E314" s="96"/>
      <c r="F314" s="88"/>
      <c r="G314" s="89" t="b">
        <v>1</v>
      </c>
      <c r="H314" s="89"/>
      <c r="I314" s="90"/>
      <c r="J314" s="90"/>
      <c r="K314" s="90"/>
      <c r="L314" s="90"/>
      <c r="M314" s="90"/>
      <c r="N314" s="90"/>
      <c r="O314" s="90"/>
      <c r="P314" s="90"/>
      <c r="Q314" s="90"/>
      <c r="R314" s="90"/>
      <c r="S314" s="90"/>
      <c r="T314" s="90"/>
      <c r="U314" s="90"/>
      <c r="V314" s="90"/>
      <c r="W314" s="90"/>
      <c r="X314" s="90"/>
      <c r="Y314" s="90"/>
      <c r="Z314" s="90"/>
      <c r="AA314" s="90"/>
      <c r="AB314" s="90"/>
    </row>
    <row r="315" spans="1:28" ht="16">
      <c r="A315" s="125"/>
      <c r="B315" s="91" t="s">
        <v>1118</v>
      </c>
      <c r="C315" s="97">
        <f>C279/1000*(C312*1000000/2)</f>
        <v>332.84834424622869</v>
      </c>
      <c r="D315" s="101" t="s">
        <v>1073</v>
      </c>
      <c r="E315" s="99"/>
      <c r="F315" s="92"/>
      <c r="G315" s="93" t="b">
        <v>1</v>
      </c>
      <c r="H315" s="93"/>
      <c r="I315" s="90"/>
      <c r="J315" s="90"/>
      <c r="K315" s="90"/>
      <c r="L315" s="90"/>
      <c r="M315" s="90"/>
      <c r="N315" s="90"/>
      <c r="O315" s="90"/>
      <c r="P315" s="90"/>
      <c r="Q315" s="90"/>
      <c r="R315" s="90"/>
      <c r="S315" s="90"/>
      <c r="T315" s="90"/>
      <c r="U315" s="90"/>
      <c r="V315" s="90"/>
      <c r="W315" s="90"/>
      <c r="X315" s="90"/>
      <c r="Y315" s="90"/>
      <c r="Z315" s="90"/>
      <c r="AA315" s="90"/>
      <c r="AB315" s="90"/>
    </row>
    <row r="316" spans="1:28" ht="16">
      <c r="A316" s="130"/>
      <c r="B316" s="87" t="s">
        <v>1119</v>
      </c>
      <c r="C316" s="94">
        <f>C315/$C$288</f>
        <v>2.0304347826086961</v>
      </c>
      <c r="D316" s="95"/>
      <c r="E316" s="96"/>
      <c r="F316" s="88"/>
      <c r="G316" s="89" t="b">
        <v>1</v>
      </c>
      <c r="H316" s="89"/>
      <c r="I316" s="90"/>
      <c r="J316" s="90"/>
      <c r="K316" s="90"/>
      <c r="L316" s="90"/>
      <c r="M316" s="90"/>
      <c r="N316" s="90"/>
      <c r="O316" s="90"/>
      <c r="P316" s="90"/>
      <c r="Q316" s="90"/>
      <c r="R316" s="90"/>
      <c r="S316" s="90"/>
      <c r="T316" s="90"/>
      <c r="U316" s="90"/>
      <c r="V316" s="90"/>
      <c r="W316" s="90"/>
      <c r="X316" s="90"/>
      <c r="Y316" s="90"/>
      <c r="Z316" s="90"/>
      <c r="AA316" s="90"/>
      <c r="AB316" s="90"/>
    </row>
    <row r="317" spans="1:28" ht="16">
      <c r="A317" s="104" t="s">
        <v>875</v>
      </c>
      <c r="B317" s="91" t="s">
        <v>1120</v>
      </c>
      <c r="C317" s="97">
        <v>50</v>
      </c>
      <c r="D317" s="98" t="s">
        <v>727</v>
      </c>
      <c r="E317" s="99"/>
      <c r="F317" s="92"/>
      <c r="G317" s="93" t="b">
        <v>0</v>
      </c>
      <c r="H317" s="93"/>
      <c r="I317" s="90"/>
      <c r="J317" s="90"/>
      <c r="K317" s="90"/>
      <c r="L317" s="90"/>
      <c r="M317" s="90"/>
      <c r="N317" s="90"/>
      <c r="O317" s="90"/>
      <c r="P317" s="90"/>
      <c r="Q317" s="90"/>
      <c r="R317" s="90"/>
      <c r="S317" s="90"/>
      <c r="T317" s="90"/>
      <c r="U317" s="90"/>
      <c r="V317" s="90"/>
      <c r="W317" s="90"/>
      <c r="X317" s="90"/>
      <c r="Y317" s="90"/>
      <c r="Z317" s="90"/>
      <c r="AA317" s="90"/>
      <c r="AB317" s="90"/>
    </row>
    <row r="318" spans="1:28" ht="16">
      <c r="A318" s="128" t="s">
        <v>1121</v>
      </c>
      <c r="B318" s="87" t="s">
        <v>1122</v>
      </c>
      <c r="C318" s="94">
        <f>TAN(C313/1000)*C317</f>
        <v>2.3350001697459533E-2</v>
      </c>
      <c r="D318" s="95" t="s">
        <v>727</v>
      </c>
      <c r="E318" s="96"/>
      <c r="F318" s="88"/>
      <c r="G318" s="89" t="b">
        <v>1</v>
      </c>
      <c r="H318" s="89"/>
      <c r="I318" s="90"/>
      <c r="J318" s="90"/>
      <c r="K318" s="90"/>
      <c r="L318" s="90"/>
      <c r="M318" s="90"/>
      <c r="N318" s="90"/>
      <c r="O318" s="90"/>
      <c r="P318" s="90"/>
      <c r="Q318" s="90"/>
      <c r="R318" s="90"/>
      <c r="S318" s="90"/>
      <c r="T318" s="90"/>
      <c r="U318" s="90"/>
      <c r="V318" s="90"/>
      <c r="W318" s="90"/>
      <c r="X318" s="90"/>
      <c r="Y318" s="90"/>
      <c r="Z318" s="90"/>
      <c r="AA318" s="90"/>
      <c r="AB318" s="90"/>
    </row>
    <row r="319" spans="1:28" ht="16">
      <c r="A319" s="129"/>
      <c r="B319" s="91" t="s">
        <v>1123</v>
      </c>
      <c r="C319" s="97">
        <f>C318*2+C312</f>
        <v>1.4721747110875472</v>
      </c>
      <c r="D319" s="98" t="s">
        <v>727</v>
      </c>
      <c r="E319" s="99"/>
      <c r="F319" s="92"/>
      <c r="G319" s="93" t="b">
        <v>1</v>
      </c>
      <c r="H319" s="93"/>
      <c r="I319" s="90"/>
      <c r="J319" s="90"/>
      <c r="K319" s="90"/>
      <c r="L319" s="90"/>
      <c r="M319" s="90"/>
      <c r="N319" s="90"/>
      <c r="O319" s="90"/>
      <c r="P319" s="90"/>
      <c r="Q319" s="90"/>
      <c r="R319" s="90"/>
      <c r="S319" s="90"/>
      <c r="T319" s="90"/>
      <c r="U319" s="90"/>
      <c r="V319" s="90"/>
      <c r="W319" s="90"/>
      <c r="X319" s="90"/>
      <c r="Y319" s="90"/>
      <c r="Z319" s="90"/>
      <c r="AA319" s="90"/>
      <c r="AB319" s="90"/>
    </row>
    <row r="320" spans="1:28" ht="16">
      <c r="A320" s="128" t="s">
        <v>357</v>
      </c>
      <c r="B320" s="87" t="s">
        <v>1124</v>
      </c>
      <c r="C320" s="94">
        <f>C276</f>
        <v>0.84</v>
      </c>
      <c r="D320" s="95" t="s">
        <v>727</v>
      </c>
      <c r="E320" s="96"/>
      <c r="F320" s="88"/>
      <c r="G320" s="89" t="b">
        <v>1</v>
      </c>
      <c r="H320" s="89"/>
      <c r="I320" s="90"/>
      <c r="J320" s="90"/>
      <c r="K320" s="90"/>
      <c r="L320" s="90"/>
      <c r="M320" s="90"/>
      <c r="N320" s="90"/>
      <c r="O320" s="90"/>
      <c r="P320" s="90"/>
      <c r="Q320" s="90"/>
      <c r="R320" s="90"/>
      <c r="S320" s="90"/>
      <c r="T320" s="90"/>
      <c r="U320" s="90"/>
      <c r="V320" s="90"/>
      <c r="W320" s="90"/>
      <c r="X320" s="90"/>
      <c r="Y320" s="90"/>
      <c r="Z320" s="90"/>
      <c r="AA320" s="90"/>
      <c r="AB320" s="90"/>
    </row>
    <row r="321" spans="1:28" ht="16">
      <c r="A321" s="125"/>
      <c r="B321" s="91" t="s">
        <v>1125</v>
      </c>
      <c r="C321" s="97">
        <f>C319</f>
        <v>1.4721747110875472</v>
      </c>
      <c r="D321" s="98" t="s">
        <v>727</v>
      </c>
      <c r="E321" s="99"/>
      <c r="F321" s="92"/>
      <c r="G321" s="93" t="b">
        <v>1</v>
      </c>
      <c r="H321" s="93"/>
      <c r="I321" s="90"/>
      <c r="J321" s="90"/>
      <c r="K321" s="90"/>
      <c r="L321" s="90"/>
      <c r="M321" s="90"/>
      <c r="N321" s="90"/>
      <c r="O321" s="90"/>
      <c r="P321" s="90"/>
      <c r="Q321" s="90"/>
      <c r="R321" s="90"/>
      <c r="S321" s="90"/>
      <c r="T321" s="90"/>
      <c r="U321" s="90"/>
      <c r="V321" s="90"/>
      <c r="W321" s="90"/>
      <c r="X321" s="90"/>
      <c r="Y321" s="90"/>
      <c r="Z321" s="90"/>
      <c r="AA321" s="90"/>
      <c r="AB321" s="90"/>
    </row>
    <row r="322" spans="1:28" ht="16">
      <c r="A322" s="125"/>
      <c r="B322" s="87" t="s">
        <v>1126</v>
      </c>
      <c r="C322" s="94">
        <f>C273</f>
        <v>2.5</v>
      </c>
      <c r="D322" s="95" t="s">
        <v>752</v>
      </c>
      <c r="E322" s="96"/>
      <c r="F322" s="88"/>
      <c r="G322" s="89" t="b">
        <v>1</v>
      </c>
      <c r="H322" s="89"/>
      <c r="I322" s="90"/>
      <c r="J322" s="90"/>
      <c r="K322" s="90"/>
      <c r="L322" s="90"/>
      <c r="M322" s="90"/>
      <c r="N322" s="90"/>
      <c r="O322" s="90"/>
      <c r="P322" s="90"/>
      <c r="Q322" s="90"/>
      <c r="R322" s="90"/>
      <c r="S322" s="90"/>
      <c r="T322" s="90"/>
      <c r="U322" s="90"/>
      <c r="V322" s="90"/>
      <c r="W322" s="90"/>
      <c r="X322" s="90"/>
      <c r="Y322" s="90"/>
      <c r="Z322" s="90"/>
      <c r="AA322" s="90"/>
      <c r="AB322" s="90"/>
    </row>
    <row r="323" spans="1:28" ht="16">
      <c r="A323" s="125"/>
      <c r="B323" s="91" t="s">
        <v>1127</v>
      </c>
      <c r="C323" s="97">
        <f>C313</f>
        <v>0.46700000000000003</v>
      </c>
      <c r="D323" s="101" t="s">
        <v>1058</v>
      </c>
      <c r="E323" s="99"/>
      <c r="F323" s="92"/>
      <c r="G323" s="93" t="b">
        <v>1</v>
      </c>
      <c r="H323" s="93"/>
      <c r="I323" s="90"/>
      <c r="J323" s="90"/>
      <c r="K323" s="90"/>
      <c r="L323" s="90"/>
      <c r="M323" s="90"/>
      <c r="N323" s="90"/>
      <c r="O323" s="90"/>
      <c r="P323" s="90"/>
      <c r="Q323" s="90"/>
      <c r="R323" s="90"/>
      <c r="S323" s="90"/>
      <c r="T323" s="90"/>
      <c r="U323" s="90"/>
      <c r="V323" s="90"/>
      <c r="W323" s="90"/>
      <c r="X323" s="90"/>
      <c r="Y323" s="90"/>
      <c r="Z323" s="90"/>
      <c r="AA323" s="90"/>
      <c r="AB323" s="90"/>
    </row>
    <row r="324" spans="1:28" ht="16">
      <c r="A324" s="125"/>
      <c r="B324" s="87" t="s">
        <v>1128</v>
      </c>
      <c r="C324" s="94">
        <f>C320/2*RADIANS(C273)*1000000/C288</f>
        <v>111.79163561104448</v>
      </c>
      <c r="D324" s="105"/>
      <c r="E324" s="96"/>
      <c r="F324" s="88"/>
      <c r="G324" s="89" t="b">
        <v>1</v>
      </c>
      <c r="H324" s="89"/>
      <c r="I324" s="90"/>
      <c r="J324" s="90"/>
      <c r="K324" s="90"/>
      <c r="L324" s="90"/>
      <c r="M324" s="90"/>
      <c r="N324" s="90"/>
      <c r="O324" s="90"/>
      <c r="P324" s="90"/>
      <c r="Q324" s="90"/>
      <c r="R324" s="90"/>
      <c r="S324" s="90"/>
      <c r="T324" s="90"/>
      <c r="U324" s="90"/>
      <c r="V324" s="90"/>
      <c r="W324" s="90"/>
      <c r="X324" s="90"/>
      <c r="Y324" s="90"/>
      <c r="Z324" s="90"/>
      <c r="AA324" s="90"/>
      <c r="AB324" s="90"/>
    </row>
    <row r="325" spans="1:28" ht="16">
      <c r="A325" s="129"/>
      <c r="B325" s="91" t="s">
        <v>1129</v>
      </c>
      <c r="C325" s="97">
        <f>C316</f>
        <v>2.0304347826086961</v>
      </c>
      <c r="D325" s="98"/>
      <c r="E325" s="99"/>
      <c r="F325" s="92"/>
      <c r="G325" s="93" t="b">
        <v>1</v>
      </c>
      <c r="H325" s="93"/>
      <c r="I325" s="90"/>
      <c r="J325" s="90"/>
      <c r="K325" s="90"/>
      <c r="L325" s="90"/>
      <c r="M325" s="90"/>
      <c r="N325" s="90"/>
      <c r="O325" s="90"/>
      <c r="P325" s="90"/>
      <c r="Q325" s="90"/>
      <c r="R325" s="90"/>
      <c r="S325" s="90"/>
      <c r="T325" s="90"/>
      <c r="U325" s="90"/>
      <c r="V325" s="90"/>
      <c r="W325" s="90"/>
      <c r="X325" s="90"/>
      <c r="Y325" s="90"/>
      <c r="Z325" s="90"/>
      <c r="AA325" s="90"/>
      <c r="AB325" s="90"/>
    </row>
    <row r="326" spans="1:28" ht="16">
      <c r="A326" s="104" t="s">
        <v>875</v>
      </c>
      <c r="B326" s="87" t="s">
        <v>1130</v>
      </c>
      <c r="C326" s="94">
        <v>75</v>
      </c>
      <c r="D326" s="95" t="s">
        <v>727</v>
      </c>
      <c r="E326" s="96"/>
      <c r="F326" s="88"/>
      <c r="G326" s="89" t="b">
        <v>0</v>
      </c>
      <c r="H326" s="89"/>
      <c r="I326" s="90"/>
      <c r="J326" s="90"/>
      <c r="K326" s="90"/>
      <c r="L326" s="90"/>
      <c r="M326" s="90"/>
      <c r="N326" s="90"/>
      <c r="O326" s="90"/>
      <c r="P326" s="90"/>
      <c r="Q326" s="90"/>
      <c r="R326" s="90"/>
      <c r="S326" s="90"/>
      <c r="T326" s="90"/>
      <c r="U326" s="90"/>
      <c r="V326" s="90"/>
      <c r="W326" s="90"/>
      <c r="X326" s="90"/>
      <c r="Y326" s="90"/>
      <c r="Z326" s="90"/>
      <c r="AA326" s="90"/>
      <c r="AB326" s="90"/>
    </row>
    <row r="327" spans="1:28" ht="16">
      <c r="A327" s="128" t="s">
        <v>1131</v>
      </c>
      <c r="B327" s="91" t="s">
        <v>1132</v>
      </c>
      <c r="C327" s="97">
        <f>TAN(RADIANS(C322))*C326</f>
        <v>3.2745707181384045</v>
      </c>
      <c r="D327" s="98" t="s">
        <v>727</v>
      </c>
      <c r="E327" s="99"/>
      <c r="F327" s="92"/>
      <c r="G327" s="93" t="b">
        <v>1</v>
      </c>
      <c r="H327" s="93"/>
      <c r="I327" s="90"/>
      <c r="J327" s="90"/>
      <c r="K327" s="90"/>
      <c r="L327" s="90"/>
      <c r="M327" s="90"/>
      <c r="N327" s="90"/>
      <c r="O327" s="90"/>
      <c r="P327" s="90"/>
      <c r="Q327" s="90"/>
      <c r="R327" s="90"/>
      <c r="S327" s="90"/>
      <c r="T327" s="90"/>
      <c r="U327" s="90"/>
      <c r="V327" s="90"/>
      <c r="W327" s="90"/>
      <c r="X327" s="90"/>
      <c r="Y327" s="90"/>
      <c r="Z327" s="90"/>
      <c r="AA327" s="90"/>
      <c r="AB327" s="90"/>
    </row>
    <row r="328" spans="1:28" ht="16">
      <c r="A328" s="125"/>
      <c r="B328" s="87" t="s">
        <v>1133</v>
      </c>
      <c r="C328" s="94">
        <f>TAN(C323/1000)*C326</f>
        <v>3.5025002546189302E-2</v>
      </c>
      <c r="D328" s="95" t="s">
        <v>727</v>
      </c>
      <c r="E328" s="96"/>
      <c r="F328" s="88"/>
      <c r="G328" s="89" t="b">
        <v>1</v>
      </c>
      <c r="H328" s="89"/>
      <c r="I328" s="90"/>
      <c r="J328" s="90"/>
      <c r="K328" s="90"/>
      <c r="L328" s="90"/>
      <c r="M328" s="90"/>
      <c r="N328" s="90"/>
      <c r="O328" s="90"/>
      <c r="P328" s="90"/>
      <c r="Q328" s="90"/>
      <c r="R328" s="90"/>
      <c r="S328" s="90"/>
      <c r="T328" s="90"/>
      <c r="U328" s="90"/>
      <c r="V328" s="90"/>
      <c r="W328" s="90"/>
      <c r="X328" s="90"/>
      <c r="Y328" s="90"/>
      <c r="Z328" s="90"/>
      <c r="AA328" s="90"/>
      <c r="AB328" s="90"/>
    </row>
    <row r="329" spans="1:28" ht="16">
      <c r="A329" s="125"/>
      <c r="B329" s="91" t="s">
        <v>1134</v>
      </c>
      <c r="C329" s="97">
        <f t="shared" ref="C329:C330" si="4">2*C327+C320</f>
        <v>7.3891414362768089</v>
      </c>
      <c r="D329" s="98" t="s">
        <v>727</v>
      </c>
      <c r="E329" s="99"/>
      <c r="F329" s="92"/>
      <c r="G329" s="93" t="b">
        <v>1</v>
      </c>
      <c r="H329" s="93"/>
      <c r="I329" s="90"/>
      <c r="J329" s="90"/>
      <c r="K329" s="90"/>
      <c r="L329" s="90"/>
      <c r="M329" s="90"/>
      <c r="N329" s="90"/>
      <c r="O329" s="90"/>
      <c r="P329" s="90"/>
      <c r="Q329" s="90"/>
      <c r="R329" s="90"/>
      <c r="S329" s="90"/>
      <c r="T329" s="90"/>
      <c r="U329" s="90"/>
      <c r="V329" s="90"/>
      <c r="W329" s="90"/>
      <c r="X329" s="90"/>
      <c r="Y329" s="90"/>
      <c r="Z329" s="90"/>
      <c r="AA329" s="90"/>
      <c r="AB329" s="90"/>
    </row>
    <row r="330" spans="1:28" ht="16">
      <c r="A330" s="130"/>
      <c r="B330" s="87" t="s">
        <v>1135</v>
      </c>
      <c r="C330" s="94">
        <f t="shared" si="4"/>
        <v>1.5422247161799258</v>
      </c>
      <c r="D330" s="95" t="s">
        <v>727</v>
      </c>
      <c r="E330" s="96"/>
      <c r="F330" s="88"/>
      <c r="G330" s="89" t="b">
        <v>1</v>
      </c>
      <c r="H330" s="89"/>
      <c r="I330" s="90"/>
      <c r="J330" s="90"/>
      <c r="K330" s="90"/>
      <c r="L330" s="90"/>
      <c r="M330" s="90"/>
      <c r="N330" s="90"/>
      <c r="O330" s="90"/>
      <c r="P330" s="90"/>
      <c r="Q330" s="90"/>
      <c r="R330" s="90"/>
      <c r="S330" s="90"/>
      <c r="T330" s="90"/>
      <c r="U330" s="90"/>
      <c r="V330" s="90"/>
      <c r="W330" s="90"/>
      <c r="X330" s="90"/>
      <c r="Y330" s="90"/>
      <c r="Z330" s="90"/>
      <c r="AA330" s="90"/>
      <c r="AB330" s="90"/>
    </row>
    <row r="331" spans="1:28" ht="16">
      <c r="A331" s="128" t="s">
        <v>1136</v>
      </c>
      <c r="B331" s="91" t="s">
        <v>1137</v>
      </c>
      <c r="C331" s="97">
        <f>C270*TAN(RADIANS(C339))</f>
        <v>0.61237440311371361</v>
      </c>
      <c r="D331" s="98" t="s">
        <v>727</v>
      </c>
      <c r="E331" s="99"/>
      <c r="F331" s="92"/>
      <c r="G331" s="93" t="b">
        <v>1</v>
      </c>
      <c r="H331" s="93"/>
      <c r="I331" s="90"/>
      <c r="J331" s="90"/>
      <c r="K331" s="90"/>
      <c r="L331" s="90"/>
      <c r="M331" s="90"/>
      <c r="N331" s="90"/>
      <c r="O331" s="90"/>
      <c r="P331" s="90"/>
      <c r="Q331" s="90"/>
      <c r="R331" s="90"/>
      <c r="S331" s="90"/>
      <c r="T331" s="90"/>
      <c r="U331" s="90"/>
      <c r="V331" s="90"/>
      <c r="W331" s="90"/>
      <c r="X331" s="90"/>
      <c r="Y331" s="90"/>
      <c r="Z331" s="90"/>
      <c r="AA331" s="90"/>
      <c r="AB331" s="90"/>
    </row>
    <row r="332" spans="1:28" ht="16">
      <c r="A332" s="125"/>
      <c r="B332" s="87" t="s">
        <v>1138</v>
      </c>
      <c r="C332" s="94">
        <f>C270*TAN(RADIANS(C340))</f>
        <v>2.0789053930470507</v>
      </c>
      <c r="D332" s="95" t="s">
        <v>727</v>
      </c>
      <c r="E332" s="96"/>
      <c r="F332" s="88"/>
      <c r="G332" s="89" t="b">
        <v>1</v>
      </c>
      <c r="H332" s="89"/>
      <c r="I332" s="90"/>
      <c r="J332" s="90"/>
      <c r="K332" s="90"/>
      <c r="L332" s="90"/>
      <c r="M332" s="90"/>
      <c r="N332" s="90"/>
      <c r="O332" s="90"/>
      <c r="P332" s="90"/>
      <c r="Q332" s="90"/>
      <c r="R332" s="90"/>
      <c r="S332" s="90"/>
      <c r="T332" s="90"/>
      <c r="U332" s="90"/>
      <c r="V332" s="90"/>
      <c r="W332" s="90"/>
      <c r="X332" s="90"/>
      <c r="Y332" s="90"/>
      <c r="Z332" s="90"/>
      <c r="AA332" s="90"/>
      <c r="AB332" s="90"/>
    </row>
    <row r="333" spans="1:28" ht="16">
      <c r="A333" s="125"/>
      <c r="B333" s="91" t="s">
        <v>1139</v>
      </c>
      <c r="C333" s="97">
        <f t="shared" ref="C333:C334" si="5">C335+C331</f>
        <v>4.9756975330995372</v>
      </c>
      <c r="D333" s="98" t="s">
        <v>727</v>
      </c>
      <c r="E333" s="99"/>
      <c r="F333" s="92"/>
      <c r="G333" s="93" t="b">
        <v>1</v>
      </c>
      <c r="H333" s="93"/>
      <c r="I333" s="90"/>
      <c r="J333" s="90"/>
      <c r="K333" s="90"/>
      <c r="L333" s="90"/>
      <c r="M333" s="90"/>
      <c r="N333" s="90"/>
      <c r="O333" s="90"/>
      <c r="P333" s="90"/>
      <c r="Q333" s="90"/>
      <c r="R333" s="90"/>
      <c r="S333" s="90"/>
      <c r="T333" s="90"/>
      <c r="U333" s="90"/>
      <c r="V333" s="90"/>
      <c r="W333" s="90"/>
      <c r="X333" s="90"/>
      <c r="Y333" s="90"/>
      <c r="Z333" s="90"/>
      <c r="AA333" s="90"/>
      <c r="AB333" s="90"/>
    </row>
    <row r="334" spans="1:28" ht="16">
      <c r="A334" s="130"/>
      <c r="B334" s="87" t="s">
        <v>1140</v>
      </c>
      <c r="C334" s="94">
        <f t="shared" si="5"/>
        <v>2.1022553930470509</v>
      </c>
      <c r="D334" s="95" t="s">
        <v>727</v>
      </c>
      <c r="E334" s="96"/>
      <c r="F334" s="88"/>
      <c r="G334" s="89" t="b">
        <v>1</v>
      </c>
      <c r="H334" s="89"/>
      <c r="I334" s="90"/>
      <c r="J334" s="90"/>
      <c r="K334" s="90"/>
      <c r="L334" s="90"/>
      <c r="M334" s="90"/>
      <c r="N334" s="90"/>
      <c r="O334" s="90"/>
      <c r="P334" s="90"/>
      <c r="Q334" s="90"/>
      <c r="R334" s="90"/>
      <c r="S334" s="90"/>
      <c r="T334" s="90"/>
      <c r="U334" s="90"/>
      <c r="V334" s="90"/>
      <c r="W334" s="90"/>
      <c r="X334" s="90"/>
      <c r="Y334" s="90"/>
      <c r="Z334" s="90"/>
      <c r="AA334" s="90"/>
      <c r="AB334" s="90"/>
    </row>
    <row r="335" spans="1:28" ht="16">
      <c r="A335" s="128" t="s">
        <v>701</v>
      </c>
      <c r="B335" s="91" t="s">
        <v>1141</v>
      </c>
      <c r="C335" s="97">
        <f>C269*RADIANS(C322)*2</f>
        <v>4.3633231299858233</v>
      </c>
      <c r="D335" s="98" t="s">
        <v>727</v>
      </c>
      <c r="E335" s="99"/>
      <c r="F335" s="92"/>
      <c r="G335" s="93" t="b">
        <v>1</v>
      </c>
      <c r="H335" s="93"/>
      <c r="I335" s="90"/>
      <c r="J335" s="90"/>
      <c r="K335" s="90"/>
      <c r="L335" s="90"/>
      <c r="M335" s="90"/>
      <c r="N335" s="90"/>
      <c r="O335" s="90"/>
      <c r="P335" s="90"/>
      <c r="Q335" s="90"/>
      <c r="R335" s="90"/>
      <c r="S335" s="90"/>
      <c r="T335" s="90"/>
      <c r="U335" s="90"/>
      <c r="V335" s="90"/>
      <c r="W335" s="90"/>
      <c r="X335" s="90"/>
      <c r="Y335" s="90"/>
      <c r="Z335" s="90"/>
      <c r="AA335" s="90"/>
      <c r="AB335" s="90"/>
    </row>
    <row r="336" spans="1:28" ht="16">
      <c r="A336" s="125"/>
      <c r="B336" s="87" t="s">
        <v>1142</v>
      </c>
      <c r="C336" s="94">
        <f>C269*C323/1000</f>
        <v>2.3350000000000003E-2</v>
      </c>
      <c r="D336" s="95" t="s">
        <v>727</v>
      </c>
      <c r="E336" s="96"/>
      <c r="F336" s="88"/>
      <c r="G336" s="89" t="b">
        <v>1</v>
      </c>
      <c r="H336" s="89"/>
      <c r="I336" s="90"/>
      <c r="J336" s="90"/>
      <c r="K336" s="90"/>
      <c r="L336" s="90"/>
      <c r="M336" s="90"/>
      <c r="N336" s="90"/>
      <c r="O336" s="90"/>
      <c r="P336" s="90"/>
      <c r="Q336" s="90"/>
      <c r="R336" s="90"/>
      <c r="S336" s="90"/>
      <c r="T336" s="90"/>
      <c r="U336" s="90"/>
      <c r="V336" s="90"/>
      <c r="W336" s="90"/>
      <c r="X336" s="90"/>
      <c r="Y336" s="90"/>
      <c r="Z336" s="90"/>
      <c r="AA336" s="90"/>
      <c r="AB336" s="90"/>
    </row>
    <row r="337" spans="1:28" ht="16">
      <c r="A337" s="125"/>
      <c r="B337" s="91" t="s">
        <v>1143</v>
      </c>
      <c r="C337" s="97">
        <f t="shared" ref="C337:C338" si="6">C324</f>
        <v>111.79163561104448</v>
      </c>
      <c r="D337" s="98"/>
      <c r="E337" s="99"/>
      <c r="F337" s="92"/>
      <c r="G337" s="93" t="b">
        <v>1</v>
      </c>
      <c r="H337" s="93"/>
      <c r="I337" s="90"/>
      <c r="J337" s="90"/>
      <c r="K337" s="90"/>
      <c r="L337" s="90"/>
      <c r="M337" s="90"/>
      <c r="N337" s="90"/>
      <c r="O337" s="90"/>
      <c r="P337" s="90"/>
      <c r="Q337" s="90"/>
      <c r="R337" s="90"/>
      <c r="S337" s="90"/>
      <c r="T337" s="90"/>
      <c r="U337" s="90"/>
      <c r="V337" s="90"/>
      <c r="W337" s="90"/>
      <c r="X337" s="90"/>
      <c r="Y337" s="90"/>
      <c r="Z337" s="90"/>
      <c r="AA337" s="90"/>
      <c r="AB337" s="90"/>
    </row>
    <row r="338" spans="1:28" ht="16">
      <c r="A338" s="125"/>
      <c r="B338" s="87" t="s">
        <v>1144</v>
      </c>
      <c r="C338" s="94">
        <f t="shared" si="6"/>
        <v>2.0304347826086961</v>
      </c>
      <c r="D338" s="95"/>
      <c r="E338" s="96"/>
      <c r="F338" s="88"/>
      <c r="G338" s="89" t="b">
        <v>1</v>
      </c>
      <c r="H338" s="89"/>
      <c r="I338" s="90"/>
      <c r="J338" s="90"/>
      <c r="K338" s="90"/>
      <c r="L338" s="90"/>
      <c r="M338" s="90"/>
      <c r="N338" s="90"/>
      <c r="O338" s="90"/>
      <c r="P338" s="90"/>
      <c r="Q338" s="90"/>
      <c r="R338" s="90"/>
      <c r="S338" s="90"/>
      <c r="T338" s="90"/>
      <c r="U338" s="90"/>
      <c r="V338" s="90"/>
      <c r="W338" s="90"/>
      <c r="X338" s="90"/>
      <c r="Y338" s="90"/>
      <c r="Z338" s="90"/>
      <c r="AA338" s="90"/>
      <c r="AB338" s="90"/>
    </row>
    <row r="339" spans="1:28" ht="16">
      <c r="A339" s="125"/>
      <c r="B339" s="91" t="s">
        <v>1145</v>
      </c>
      <c r="C339" s="97">
        <f>DEGREES(2*C337*C288/1000000/C335)</f>
        <v>0.4812845479098915</v>
      </c>
      <c r="D339" s="98" t="s">
        <v>752</v>
      </c>
      <c r="E339" s="99"/>
      <c r="F339" s="92"/>
      <c r="G339" s="93" t="b">
        <v>1</v>
      </c>
      <c r="H339" s="93"/>
      <c r="I339" s="90"/>
      <c r="J339" s="90"/>
      <c r="K339" s="90"/>
      <c r="L339" s="90"/>
      <c r="M339" s="90"/>
      <c r="N339" s="90"/>
      <c r="O339" s="90"/>
      <c r="P339" s="90"/>
      <c r="Q339" s="90"/>
      <c r="R339" s="90"/>
      <c r="S339" s="90"/>
      <c r="T339" s="90"/>
      <c r="U339" s="90"/>
      <c r="V339" s="90"/>
      <c r="W339" s="90"/>
      <c r="X339" s="90"/>
      <c r="Y339" s="90"/>
      <c r="Z339" s="90"/>
      <c r="AA339" s="90"/>
      <c r="AB339" s="90"/>
    </row>
    <row r="340" spans="1:28" ht="16">
      <c r="A340" s="130"/>
      <c r="B340" s="87" t="s">
        <v>1146</v>
      </c>
      <c r="C340" s="94">
        <f>DEGREES(2*C338*C288/1000000/C336)</f>
        <v>1.6334736910686458</v>
      </c>
      <c r="D340" s="95" t="s">
        <v>752</v>
      </c>
      <c r="E340" s="96"/>
      <c r="F340" s="88"/>
      <c r="G340" s="89" t="b">
        <v>1</v>
      </c>
      <c r="H340" s="89"/>
      <c r="I340" s="90"/>
      <c r="J340" s="90"/>
      <c r="K340" s="90"/>
      <c r="L340" s="90"/>
      <c r="M340" s="90"/>
      <c r="N340" s="90"/>
      <c r="O340" s="90"/>
      <c r="P340" s="90"/>
      <c r="Q340" s="90"/>
      <c r="R340" s="90"/>
      <c r="S340" s="90"/>
      <c r="T340" s="90"/>
      <c r="U340" s="90"/>
      <c r="V340" s="90"/>
      <c r="W340" s="90"/>
      <c r="X340" s="90"/>
      <c r="Y340" s="90"/>
      <c r="Z340" s="90"/>
      <c r="AA340" s="90"/>
      <c r="AB340" s="90"/>
    </row>
    <row r="341" spans="1:28" ht="16">
      <c r="A341" s="128" t="s">
        <v>1147</v>
      </c>
      <c r="B341" s="91" t="s">
        <v>1148</v>
      </c>
      <c r="C341" s="97">
        <f t="shared" ref="C341:C342" si="7">C265*TAN(RADIANS(C339))</f>
        <v>0.6300148180182239</v>
      </c>
      <c r="D341" s="98" t="s">
        <v>727</v>
      </c>
      <c r="E341" s="99"/>
      <c r="F341" s="92"/>
      <c r="G341" s="93" t="b">
        <v>1</v>
      </c>
      <c r="H341" s="93"/>
      <c r="I341" s="90"/>
      <c r="J341" s="90"/>
      <c r="K341" s="90"/>
      <c r="L341" s="90"/>
      <c r="M341" s="90"/>
      <c r="N341" s="90"/>
      <c r="O341" s="90"/>
      <c r="P341" s="90"/>
      <c r="Q341" s="90"/>
      <c r="R341" s="90"/>
      <c r="S341" s="90"/>
      <c r="T341" s="90"/>
      <c r="U341" s="90"/>
      <c r="V341" s="90"/>
      <c r="W341" s="90"/>
      <c r="X341" s="90"/>
      <c r="Y341" s="90"/>
      <c r="Z341" s="90"/>
      <c r="AA341" s="90"/>
      <c r="AB341" s="90"/>
    </row>
    <row r="342" spans="1:28" ht="16">
      <c r="A342" s="125"/>
      <c r="B342" s="87" t="s">
        <v>1149</v>
      </c>
      <c r="C342" s="94">
        <f t="shared" si="7"/>
        <v>2.7718738573960673</v>
      </c>
      <c r="D342" s="95" t="s">
        <v>727</v>
      </c>
      <c r="E342" s="96"/>
      <c r="F342" s="88"/>
      <c r="G342" s="89" t="b">
        <v>1</v>
      </c>
      <c r="H342" s="89"/>
      <c r="I342" s="90"/>
      <c r="J342" s="90"/>
      <c r="K342" s="90"/>
      <c r="L342" s="90"/>
      <c r="M342" s="90"/>
      <c r="N342" s="90"/>
      <c r="O342" s="90"/>
      <c r="P342" s="90"/>
      <c r="Q342" s="90"/>
      <c r="R342" s="90"/>
      <c r="S342" s="90"/>
      <c r="T342" s="90"/>
      <c r="U342" s="90"/>
      <c r="V342" s="90"/>
      <c r="W342" s="90"/>
      <c r="X342" s="90"/>
      <c r="Y342" s="90"/>
      <c r="Z342" s="90"/>
      <c r="AA342" s="90"/>
      <c r="AB342" s="90"/>
    </row>
    <row r="343" spans="1:28" ht="16">
      <c r="A343" s="125"/>
      <c r="B343" s="91" t="s">
        <v>1150</v>
      </c>
      <c r="C343" s="97">
        <f t="shared" ref="C343:C344" si="8">C335+C341</f>
        <v>4.9933379480040472</v>
      </c>
      <c r="D343" s="98" t="s">
        <v>727</v>
      </c>
      <c r="E343" s="99"/>
      <c r="F343" s="92"/>
      <c r="G343" s="93" t="b">
        <v>1</v>
      </c>
      <c r="H343" s="93"/>
      <c r="I343" s="90"/>
      <c r="J343" s="90"/>
      <c r="K343" s="90"/>
      <c r="L343" s="90"/>
      <c r="M343" s="90"/>
      <c r="N343" s="90"/>
      <c r="O343" s="90"/>
      <c r="P343" s="90"/>
      <c r="Q343" s="90"/>
      <c r="R343" s="90"/>
      <c r="S343" s="90"/>
      <c r="T343" s="90"/>
      <c r="U343" s="90"/>
      <c r="V343" s="90"/>
      <c r="W343" s="90"/>
      <c r="X343" s="90"/>
      <c r="Y343" s="90"/>
      <c r="Z343" s="90"/>
      <c r="AA343" s="90"/>
      <c r="AB343" s="90"/>
    </row>
    <row r="344" spans="1:28" ht="16">
      <c r="A344" s="130"/>
      <c r="B344" s="87" t="s">
        <v>1151</v>
      </c>
      <c r="C344" s="94">
        <f t="shared" si="8"/>
        <v>2.7952238573960675</v>
      </c>
      <c r="D344" s="95" t="s">
        <v>727</v>
      </c>
      <c r="E344" s="96"/>
      <c r="F344" s="88"/>
      <c r="G344" s="89" t="b">
        <v>1</v>
      </c>
      <c r="H344" s="89"/>
      <c r="I344" s="90"/>
      <c r="J344" s="90"/>
      <c r="K344" s="90"/>
      <c r="L344" s="90"/>
      <c r="M344" s="90"/>
      <c r="N344" s="90"/>
      <c r="O344" s="90"/>
      <c r="P344" s="90"/>
      <c r="Q344" s="90"/>
      <c r="R344" s="90"/>
      <c r="S344" s="90"/>
      <c r="T344" s="90"/>
      <c r="U344" s="90"/>
      <c r="V344" s="90"/>
      <c r="W344" s="90"/>
      <c r="X344" s="90"/>
      <c r="Y344" s="90"/>
      <c r="Z344" s="90"/>
      <c r="AA344" s="90"/>
      <c r="AB344" s="90"/>
    </row>
    <row r="345" spans="1:28" ht="16">
      <c r="A345" s="128" t="s">
        <v>1152</v>
      </c>
      <c r="B345" s="91" t="s">
        <v>1153</v>
      </c>
      <c r="C345" s="97">
        <f>TAN(RADIANS(C353))*C350</f>
        <v>2.9097028238515912</v>
      </c>
      <c r="D345" s="98" t="s">
        <v>727</v>
      </c>
      <c r="E345" s="99"/>
      <c r="F345" s="92"/>
      <c r="G345" s="93" t="b">
        <v>1</v>
      </c>
      <c r="H345" s="93"/>
      <c r="I345" s="90"/>
      <c r="J345" s="90"/>
      <c r="K345" s="90"/>
      <c r="L345" s="90"/>
      <c r="M345" s="90"/>
      <c r="N345" s="90"/>
      <c r="O345" s="90"/>
      <c r="P345" s="90"/>
      <c r="Q345" s="90"/>
      <c r="R345" s="90"/>
      <c r="S345" s="90"/>
      <c r="T345" s="90"/>
      <c r="U345" s="90"/>
      <c r="V345" s="90"/>
      <c r="W345" s="90"/>
      <c r="X345" s="90"/>
      <c r="Y345" s="90"/>
      <c r="Z345" s="90"/>
      <c r="AA345" s="90"/>
      <c r="AB345" s="90"/>
    </row>
    <row r="346" spans="1:28" ht="16">
      <c r="A346" s="125"/>
      <c r="B346" s="87" t="s">
        <v>1154</v>
      </c>
      <c r="C346" s="94">
        <f>C350*TAN(C354/1000)</f>
        <v>1.727223016986857E-3</v>
      </c>
      <c r="D346" s="95" t="s">
        <v>727</v>
      </c>
      <c r="E346" s="96"/>
      <c r="F346" s="88"/>
      <c r="G346" s="89" t="b">
        <v>1</v>
      </c>
      <c r="H346" s="89"/>
      <c r="I346" s="90"/>
      <c r="J346" s="90"/>
      <c r="K346" s="90"/>
      <c r="L346" s="90"/>
      <c r="M346" s="90"/>
      <c r="N346" s="90"/>
      <c r="O346" s="90"/>
      <c r="P346" s="90"/>
      <c r="Q346" s="90"/>
      <c r="R346" s="90"/>
      <c r="S346" s="90"/>
      <c r="T346" s="90"/>
      <c r="U346" s="90"/>
      <c r="V346" s="90"/>
      <c r="W346" s="90"/>
      <c r="X346" s="90"/>
      <c r="Y346" s="90"/>
      <c r="Z346" s="90"/>
      <c r="AA346" s="90"/>
      <c r="AB346" s="90"/>
    </row>
    <row r="347" spans="1:28" ht="16">
      <c r="A347" s="125"/>
      <c r="B347" s="91" t="s">
        <v>1155</v>
      </c>
      <c r="C347" s="97">
        <f t="shared" ref="C347:C348" si="9">C351+2*C345</f>
        <v>7.0794056477031821</v>
      </c>
      <c r="D347" s="98" t="s">
        <v>727</v>
      </c>
      <c r="E347" s="99"/>
      <c r="F347" s="92"/>
      <c r="G347" s="93" t="b">
        <v>1</v>
      </c>
      <c r="H347" s="93"/>
      <c r="I347" s="90"/>
      <c r="J347" s="90"/>
      <c r="K347" s="90"/>
      <c r="L347" s="90"/>
      <c r="M347" s="90"/>
      <c r="N347" s="90"/>
      <c r="O347" s="90"/>
      <c r="P347" s="90"/>
      <c r="Q347" s="90"/>
      <c r="R347" s="90"/>
      <c r="S347" s="90"/>
      <c r="T347" s="90"/>
      <c r="U347" s="90"/>
      <c r="V347" s="90"/>
      <c r="W347" s="90"/>
      <c r="X347" s="90"/>
      <c r="Y347" s="90"/>
      <c r="Z347" s="90"/>
      <c r="AA347" s="90"/>
      <c r="AB347" s="90"/>
    </row>
    <row r="348" spans="1:28" ht="16">
      <c r="A348" s="125"/>
      <c r="B348" s="87" t="s">
        <v>1156</v>
      </c>
      <c r="C348" s="94">
        <f t="shared" si="9"/>
        <v>2.2117165126652947</v>
      </c>
      <c r="D348" s="95" t="s">
        <v>727</v>
      </c>
      <c r="E348" s="96"/>
      <c r="F348" s="88"/>
      <c r="G348" s="89" t="b">
        <v>1</v>
      </c>
      <c r="H348" s="89"/>
      <c r="I348" s="90"/>
      <c r="J348" s="90"/>
      <c r="K348" s="90"/>
      <c r="L348" s="90"/>
      <c r="M348" s="90"/>
      <c r="N348" s="90"/>
      <c r="O348" s="90"/>
      <c r="P348" s="90"/>
      <c r="Q348" s="90"/>
      <c r="R348" s="90"/>
      <c r="S348" s="90"/>
      <c r="T348" s="90"/>
      <c r="U348" s="90"/>
      <c r="V348" s="90"/>
      <c r="W348" s="90"/>
      <c r="X348" s="90"/>
      <c r="Y348" s="90"/>
      <c r="Z348" s="90"/>
      <c r="AA348" s="90"/>
      <c r="AB348" s="90"/>
    </row>
    <row r="349" spans="1:28" ht="16">
      <c r="A349" s="129"/>
      <c r="B349" s="91" t="s">
        <v>1157</v>
      </c>
      <c r="C349" s="97">
        <f>SQRT(C347^2+C348^2)</f>
        <v>7.4168506966992434</v>
      </c>
      <c r="D349" s="98" t="s">
        <v>727</v>
      </c>
      <c r="E349" s="99"/>
      <c r="F349" s="92"/>
      <c r="G349" s="93" t="b">
        <v>1</v>
      </c>
      <c r="H349" s="93"/>
      <c r="I349" s="90"/>
      <c r="J349" s="90"/>
      <c r="K349" s="90"/>
      <c r="L349" s="90"/>
      <c r="M349" s="90"/>
      <c r="N349" s="90"/>
      <c r="O349" s="90"/>
      <c r="P349" s="90"/>
      <c r="Q349" s="90"/>
      <c r="R349" s="90"/>
      <c r="S349" s="90"/>
      <c r="T349" s="90"/>
      <c r="U349" s="90"/>
      <c r="V349" s="90"/>
      <c r="W349" s="90"/>
      <c r="X349" s="90"/>
      <c r="Y349" s="90"/>
      <c r="Z349" s="90"/>
      <c r="AA349" s="90"/>
      <c r="AB349" s="90"/>
    </row>
    <row r="350" spans="1:28" ht="16">
      <c r="A350" s="104" t="s">
        <v>875</v>
      </c>
      <c r="B350" s="87" t="s">
        <v>1158</v>
      </c>
      <c r="C350" s="94">
        <v>100</v>
      </c>
      <c r="D350" s="95" t="s">
        <v>727</v>
      </c>
      <c r="E350" s="96"/>
      <c r="F350" s="88"/>
      <c r="G350" s="89" t="b">
        <v>0</v>
      </c>
      <c r="H350" s="89"/>
      <c r="I350" s="90"/>
      <c r="J350" s="90"/>
      <c r="K350" s="90"/>
      <c r="L350" s="90"/>
      <c r="M350" s="90"/>
      <c r="N350" s="90"/>
      <c r="O350" s="90"/>
      <c r="P350" s="90"/>
      <c r="Q350" s="90"/>
      <c r="R350" s="90"/>
      <c r="S350" s="90"/>
      <c r="T350" s="90"/>
      <c r="U350" s="90"/>
      <c r="V350" s="90"/>
      <c r="W350" s="90"/>
      <c r="X350" s="90"/>
      <c r="Y350" s="90"/>
      <c r="Z350" s="90"/>
      <c r="AA350" s="90"/>
      <c r="AB350" s="90"/>
    </row>
    <row r="351" spans="1:28" ht="16">
      <c r="A351" s="128" t="s">
        <v>710</v>
      </c>
      <c r="B351" s="91" t="s">
        <v>1159</v>
      </c>
      <c r="C351" s="97">
        <f>C320/C300</f>
        <v>1.26</v>
      </c>
      <c r="D351" s="98" t="s">
        <v>727</v>
      </c>
      <c r="E351" s="99"/>
      <c r="F351" s="92"/>
      <c r="G351" s="93" t="b">
        <v>1</v>
      </c>
      <c r="H351" s="93"/>
      <c r="I351" s="90"/>
      <c r="J351" s="90"/>
      <c r="K351" s="90"/>
      <c r="L351" s="90"/>
      <c r="M351" s="90"/>
      <c r="N351" s="90"/>
      <c r="O351" s="90"/>
      <c r="P351" s="90"/>
      <c r="Q351" s="90"/>
      <c r="R351" s="90"/>
      <c r="S351" s="90"/>
      <c r="T351" s="90"/>
      <c r="U351" s="90"/>
      <c r="V351" s="90"/>
      <c r="W351" s="90"/>
      <c r="X351" s="90"/>
      <c r="Y351" s="90"/>
      <c r="Z351" s="90"/>
      <c r="AA351" s="90"/>
      <c r="AB351" s="90"/>
    </row>
    <row r="352" spans="1:28" ht="16">
      <c r="A352" s="125"/>
      <c r="B352" s="87" t="s">
        <v>1160</v>
      </c>
      <c r="C352" s="94">
        <f>C321/C300</f>
        <v>2.2082620666313209</v>
      </c>
      <c r="D352" s="95" t="s">
        <v>727</v>
      </c>
      <c r="E352" s="96"/>
      <c r="F352" s="88"/>
      <c r="G352" s="89" t="b">
        <v>1</v>
      </c>
      <c r="H352" s="89"/>
      <c r="I352" s="90"/>
      <c r="J352" s="90"/>
      <c r="K352" s="90"/>
      <c r="L352" s="90"/>
      <c r="M352" s="90"/>
      <c r="N352" s="90"/>
      <c r="O352" s="90"/>
      <c r="P352" s="90"/>
      <c r="Q352" s="90"/>
      <c r="R352" s="90"/>
      <c r="S352" s="90"/>
      <c r="T352" s="90"/>
      <c r="U352" s="90"/>
      <c r="V352" s="90"/>
      <c r="W352" s="90"/>
      <c r="X352" s="90"/>
      <c r="Y352" s="90"/>
      <c r="Z352" s="90"/>
      <c r="AA352" s="90"/>
      <c r="AB352" s="90"/>
    </row>
    <row r="353" spans="1:28" ht="16">
      <c r="A353" s="125"/>
      <c r="B353" s="91" t="s">
        <v>1161</v>
      </c>
      <c r="C353" s="97">
        <f>DEGREES(2*C355*C288/1000000/C351)</f>
        <v>1.6666666666666665</v>
      </c>
      <c r="D353" s="98" t="s">
        <v>752</v>
      </c>
      <c r="E353" s="99"/>
      <c r="F353" s="92"/>
      <c r="G353" s="93" t="b">
        <v>1</v>
      </c>
      <c r="H353" s="93"/>
      <c r="I353" s="90"/>
      <c r="J353" s="90"/>
      <c r="K353" s="90"/>
      <c r="L353" s="90"/>
      <c r="M353" s="90"/>
      <c r="N353" s="90"/>
      <c r="O353" s="90"/>
      <c r="P353" s="90"/>
      <c r="Q353" s="90"/>
      <c r="R353" s="90"/>
      <c r="S353" s="90"/>
      <c r="T353" s="90"/>
      <c r="U353" s="90"/>
      <c r="V353" s="90"/>
      <c r="W353" s="90"/>
      <c r="X353" s="90"/>
      <c r="Y353" s="90"/>
      <c r="Z353" s="90"/>
      <c r="AA353" s="90"/>
      <c r="AB353" s="90"/>
    </row>
    <row r="354" spans="1:28" ht="16">
      <c r="A354" s="125"/>
      <c r="B354" s="87" t="s">
        <v>1162</v>
      </c>
      <c r="C354" s="94">
        <f>DEGREES(2*C356*C288/1000000/C352)</f>
        <v>1.7272230168150961E-2</v>
      </c>
      <c r="D354" s="95" t="s">
        <v>752</v>
      </c>
      <c r="E354" s="96"/>
      <c r="F354" s="88"/>
      <c r="G354" s="89" t="b">
        <v>1</v>
      </c>
      <c r="H354" s="89"/>
      <c r="I354" s="90"/>
      <c r="J354" s="90"/>
      <c r="K354" s="90"/>
      <c r="L354" s="90"/>
      <c r="M354" s="90"/>
      <c r="N354" s="90"/>
      <c r="O354" s="90"/>
      <c r="P354" s="90"/>
      <c r="Q354" s="90"/>
      <c r="R354" s="90"/>
      <c r="S354" s="90"/>
      <c r="T354" s="90"/>
      <c r="U354" s="90"/>
      <c r="V354" s="90"/>
      <c r="W354" s="90"/>
      <c r="X354" s="90"/>
      <c r="Y354" s="90"/>
      <c r="Z354" s="90"/>
      <c r="AA354" s="90"/>
      <c r="AB354" s="90"/>
    </row>
    <row r="355" spans="1:28" ht="16">
      <c r="A355" s="125"/>
      <c r="B355" s="91" t="s">
        <v>1163</v>
      </c>
      <c r="C355" s="97">
        <f t="shared" ref="C355:C356" si="10">C324</f>
        <v>111.79163561104448</v>
      </c>
      <c r="D355" s="98"/>
      <c r="E355" s="99"/>
      <c r="F355" s="92"/>
      <c r="G355" s="93" t="b">
        <v>1</v>
      </c>
      <c r="H355" s="93"/>
      <c r="I355" s="90"/>
      <c r="J355" s="90"/>
      <c r="K355" s="90"/>
      <c r="L355" s="90"/>
      <c r="M355" s="90"/>
      <c r="N355" s="90"/>
      <c r="O355" s="90"/>
      <c r="P355" s="90"/>
      <c r="Q355" s="90"/>
      <c r="R355" s="90"/>
      <c r="S355" s="90"/>
      <c r="T355" s="90"/>
      <c r="U355" s="90"/>
      <c r="V355" s="90"/>
      <c r="W355" s="90"/>
      <c r="X355" s="90"/>
      <c r="Y355" s="90"/>
      <c r="Z355" s="90"/>
      <c r="AA355" s="90"/>
      <c r="AB355" s="90"/>
    </row>
    <row r="356" spans="1:28" ht="16">
      <c r="A356" s="125"/>
      <c r="B356" s="87" t="s">
        <v>1164</v>
      </c>
      <c r="C356" s="94">
        <f t="shared" si="10"/>
        <v>2.0304347826086961</v>
      </c>
      <c r="D356" s="95"/>
      <c r="E356" s="96"/>
      <c r="F356" s="88"/>
      <c r="G356" s="89" t="b">
        <v>1</v>
      </c>
      <c r="H356" s="89"/>
      <c r="I356" s="90"/>
      <c r="J356" s="90"/>
      <c r="K356" s="90"/>
      <c r="L356" s="90"/>
      <c r="M356" s="90"/>
      <c r="N356" s="90"/>
      <c r="O356" s="90"/>
      <c r="P356" s="90"/>
      <c r="Q356" s="90"/>
      <c r="R356" s="90"/>
      <c r="S356" s="90"/>
      <c r="T356" s="90"/>
      <c r="U356" s="90"/>
      <c r="V356" s="90"/>
      <c r="W356" s="90"/>
      <c r="X356" s="90"/>
      <c r="Y356" s="90"/>
      <c r="Z356" s="90"/>
      <c r="AA356" s="90"/>
      <c r="AB356" s="90"/>
    </row>
    <row r="357" spans="1:28" ht="16">
      <c r="A357" s="125"/>
      <c r="B357" s="91" t="s">
        <v>1165</v>
      </c>
      <c r="C357" s="97">
        <f>C403/C299</f>
        <v>0.49110668154070569</v>
      </c>
      <c r="D357" s="98" t="s">
        <v>752</v>
      </c>
      <c r="E357" s="99" t="s">
        <v>1166</v>
      </c>
      <c r="F357" s="92"/>
      <c r="G357" s="93" t="b">
        <v>1</v>
      </c>
      <c r="H357" s="93"/>
      <c r="I357" s="90"/>
      <c r="J357" s="90"/>
      <c r="K357" s="90"/>
      <c r="L357" s="90"/>
      <c r="M357" s="90"/>
      <c r="N357" s="90"/>
      <c r="O357" s="90"/>
      <c r="P357" s="90"/>
      <c r="Q357" s="90"/>
      <c r="R357" s="90"/>
      <c r="S357" s="90"/>
      <c r="T357" s="90"/>
      <c r="U357" s="90"/>
      <c r="V357" s="90"/>
      <c r="W357" s="90"/>
      <c r="X357" s="90"/>
      <c r="Y357" s="90"/>
      <c r="Z357" s="90"/>
      <c r="AA357" s="90"/>
      <c r="AB357" s="90"/>
    </row>
    <row r="358" spans="1:28" ht="16">
      <c r="A358" s="130"/>
      <c r="B358" s="87" t="s">
        <v>1167</v>
      </c>
      <c r="C358" s="94">
        <f>RADIANS(C357)*C352/2*1000000/C288</f>
        <v>57.731982405519886</v>
      </c>
      <c r="D358" s="95"/>
      <c r="E358" s="96"/>
      <c r="F358" s="88"/>
      <c r="G358" s="89" t="b">
        <v>1</v>
      </c>
      <c r="H358" s="89"/>
      <c r="I358" s="90"/>
      <c r="J358" s="90"/>
      <c r="K358" s="90"/>
      <c r="L358" s="90"/>
      <c r="M358" s="90"/>
      <c r="N358" s="90"/>
      <c r="O358" s="90"/>
      <c r="P358" s="90"/>
      <c r="Q358" s="90"/>
      <c r="R358" s="90"/>
      <c r="S358" s="90"/>
      <c r="T358" s="90"/>
      <c r="U358" s="90"/>
      <c r="V358" s="90"/>
      <c r="W358" s="90"/>
      <c r="X358" s="90"/>
      <c r="Y358" s="90"/>
      <c r="Z358" s="90"/>
      <c r="AA358" s="90"/>
      <c r="AB358" s="90"/>
    </row>
    <row r="359" spans="1:28" ht="16">
      <c r="A359" s="104" t="s">
        <v>875</v>
      </c>
      <c r="B359" s="91" t="s">
        <v>1168</v>
      </c>
      <c r="C359" s="97">
        <v>58</v>
      </c>
      <c r="D359" s="98" t="s">
        <v>727</v>
      </c>
      <c r="E359" s="99"/>
      <c r="F359" s="92"/>
      <c r="G359" s="93" t="b">
        <v>0</v>
      </c>
      <c r="H359" s="93"/>
      <c r="I359" s="90"/>
      <c r="J359" s="90"/>
      <c r="K359" s="90"/>
      <c r="L359" s="90"/>
      <c r="M359" s="90"/>
      <c r="N359" s="90"/>
      <c r="O359" s="90"/>
      <c r="P359" s="90"/>
      <c r="Q359" s="90"/>
      <c r="R359" s="90"/>
      <c r="S359" s="90"/>
      <c r="T359" s="90"/>
      <c r="U359" s="90"/>
      <c r="V359" s="90"/>
      <c r="W359" s="90"/>
      <c r="X359" s="90"/>
      <c r="Y359" s="90"/>
      <c r="Z359" s="90"/>
      <c r="AA359" s="90"/>
      <c r="AB359" s="90"/>
    </row>
    <row r="360" spans="1:28" ht="16">
      <c r="A360" s="128" t="s">
        <v>1169</v>
      </c>
      <c r="B360" s="87" t="s">
        <v>1170</v>
      </c>
      <c r="C360" s="94">
        <f>C359*TAN(RADIANS(C353))</f>
        <v>1.687627637833923</v>
      </c>
      <c r="D360" s="95" t="s">
        <v>727</v>
      </c>
      <c r="E360" s="96"/>
      <c r="F360" s="88"/>
      <c r="G360" s="89" t="b">
        <v>1</v>
      </c>
      <c r="H360" s="89"/>
      <c r="I360" s="90"/>
      <c r="J360" s="90"/>
      <c r="K360" s="90"/>
      <c r="L360" s="90"/>
      <c r="M360" s="90"/>
      <c r="N360" s="90"/>
      <c r="O360" s="90"/>
      <c r="P360" s="90"/>
      <c r="Q360" s="90"/>
      <c r="R360" s="90"/>
      <c r="S360" s="90"/>
      <c r="T360" s="90"/>
      <c r="U360" s="90"/>
      <c r="V360" s="90"/>
      <c r="W360" s="90"/>
      <c r="X360" s="90"/>
      <c r="Y360" s="90"/>
      <c r="Z360" s="90"/>
      <c r="AA360" s="90"/>
      <c r="AB360" s="90"/>
    </row>
    <row r="361" spans="1:28" ht="16">
      <c r="A361" s="125"/>
      <c r="B361" s="91" t="s">
        <v>1171</v>
      </c>
      <c r="C361" s="97">
        <f>C359*TAN(C354/1000)</f>
        <v>1.001789349852377E-3</v>
      </c>
      <c r="D361" s="98" t="s">
        <v>727</v>
      </c>
      <c r="E361" s="99"/>
      <c r="F361" s="92"/>
      <c r="G361" s="93" t="b">
        <v>1</v>
      </c>
      <c r="H361" s="93"/>
      <c r="I361" s="90"/>
      <c r="J361" s="90"/>
      <c r="K361" s="90"/>
      <c r="L361" s="90"/>
      <c r="M361" s="90"/>
      <c r="N361" s="90"/>
      <c r="O361" s="90"/>
      <c r="P361" s="90"/>
      <c r="Q361" s="90"/>
      <c r="R361" s="90"/>
      <c r="S361" s="90"/>
      <c r="T361" s="90"/>
      <c r="U361" s="90"/>
      <c r="V361" s="90"/>
      <c r="W361" s="90"/>
      <c r="X361" s="90"/>
      <c r="Y361" s="90"/>
      <c r="Z361" s="90"/>
      <c r="AA361" s="90"/>
      <c r="AB361" s="90"/>
    </row>
    <row r="362" spans="1:28" ht="16">
      <c r="A362" s="125"/>
      <c r="B362" s="87" t="s">
        <v>1172</v>
      </c>
      <c r="C362" s="94">
        <f>TAN(RADIANS(C357))*C359</f>
        <v>0.49715503242777537</v>
      </c>
      <c r="D362" s="95" t="s">
        <v>727</v>
      </c>
      <c r="E362" s="96"/>
      <c r="F362" s="88"/>
      <c r="G362" s="89" t="b">
        <v>1</v>
      </c>
      <c r="H362" s="89"/>
      <c r="I362" s="90"/>
      <c r="J362" s="90"/>
      <c r="K362" s="90"/>
      <c r="L362" s="90"/>
      <c r="M362" s="90"/>
      <c r="N362" s="90"/>
      <c r="O362" s="90"/>
      <c r="P362" s="90"/>
      <c r="Q362" s="90"/>
      <c r="R362" s="90"/>
      <c r="S362" s="90"/>
      <c r="T362" s="90"/>
      <c r="U362" s="90"/>
      <c r="V362" s="90"/>
      <c r="W362" s="90"/>
      <c r="X362" s="90"/>
      <c r="Y362" s="90"/>
      <c r="Z362" s="90"/>
      <c r="AA362" s="90"/>
      <c r="AB362" s="90"/>
    </row>
    <row r="363" spans="1:28" ht="16">
      <c r="A363" s="125"/>
      <c r="B363" s="91" t="s">
        <v>1173</v>
      </c>
      <c r="C363" s="97">
        <f>C361+C362</f>
        <v>0.49815682177762777</v>
      </c>
      <c r="D363" s="98" t="s">
        <v>727</v>
      </c>
      <c r="E363" s="99"/>
      <c r="F363" s="92"/>
      <c r="G363" s="93" t="b">
        <v>1</v>
      </c>
      <c r="H363" s="93"/>
      <c r="I363" s="90"/>
      <c r="J363" s="90"/>
      <c r="K363" s="90"/>
      <c r="L363" s="90"/>
      <c r="M363" s="90"/>
      <c r="N363" s="90"/>
      <c r="O363" s="90"/>
      <c r="P363" s="90"/>
      <c r="Q363" s="90"/>
      <c r="R363" s="90"/>
      <c r="S363" s="90"/>
      <c r="T363" s="90"/>
      <c r="U363" s="90"/>
      <c r="V363" s="90"/>
      <c r="W363" s="90"/>
      <c r="X363" s="90"/>
      <c r="Y363" s="90"/>
      <c r="Z363" s="90"/>
      <c r="AA363" s="90"/>
      <c r="AB363" s="90"/>
    </row>
    <row r="364" spans="1:28" ht="16">
      <c r="A364" s="125"/>
      <c r="B364" s="87" t="s">
        <v>1174</v>
      </c>
      <c r="C364" s="94">
        <f t="shared" ref="C364:C365" si="11">C351+2*C360</f>
        <v>4.6352552756678458</v>
      </c>
      <c r="D364" s="95" t="s">
        <v>727</v>
      </c>
      <c r="E364" s="96"/>
      <c r="F364" s="88"/>
      <c r="G364" s="89" t="b">
        <v>1</v>
      </c>
      <c r="H364" s="89"/>
      <c r="I364" s="90"/>
      <c r="J364" s="90"/>
      <c r="K364" s="90"/>
      <c r="L364" s="90"/>
      <c r="M364" s="90"/>
      <c r="N364" s="90"/>
      <c r="O364" s="90"/>
      <c r="P364" s="90"/>
      <c r="Q364" s="90"/>
      <c r="R364" s="90"/>
      <c r="S364" s="90"/>
      <c r="T364" s="90"/>
      <c r="U364" s="90"/>
      <c r="V364" s="90"/>
      <c r="W364" s="90"/>
      <c r="X364" s="90"/>
      <c r="Y364" s="90"/>
      <c r="Z364" s="90"/>
      <c r="AA364" s="90"/>
      <c r="AB364" s="90"/>
    </row>
    <row r="365" spans="1:28" ht="16">
      <c r="A365" s="125"/>
      <c r="B365" s="91" t="s">
        <v>1175</v>
      </c>
      <c r="C365" s="97">
        <f t="shared" si="11"/>
        <v>2.2102656453310257</v>
      </c>
      <c r="D365" s="98" t="s">
        <v>727</v>
      </c>
      <c r="E365" s="99"/>
      <c r="F365" s="92"/>
      <c r="G365" s="93" t="b">
        <v>1</v>
      </c>
      <c r="H365" s="93"/>
      <c r="I365" s="90"/>
      <c r="J365" s="90"/>
      <c r="K365" s="90"/>
      <c r="L365" s="90"/>
      <c r="M365" s="90"/>
      <c r="N365" s="90"/>
      <c r="O365" s="90"/>
      <c r="P365" s="90"/>
      <c r="Q365" s="90"/>
      <c r="R365" s="90"/>
      <c r="S365" s="90"/>
      <c r="T365" s="90"/>
      <c r="U365" s="90"/>
      <c r="V365" s="90"/>
      <c r="W365" s="90"/>
      <c r="X365" s="90"/>
      <c r="Y365" s="90"/>
      <c r="Z365" s="90"/>
      <c r="AA365" s="90"/>
      <c r="AB365" s="90"/>
    </row>
    <row r="366" spans="1:28" ht="16">
      <c r="A366" s="125"/>
      <c r="B366" s="87" t="s">
        <v>1176</v>
      </c>
      <c r="C366" s="94">
        <f>2*C362</f>
        <v>0.99431006485555073</v>
      </c>
      <c r="D366" s="95" t="s">
        <v>727</v>
      </c>
      <c r="E366" s="96"/>
      <c r="F366" s="88"/>
      <c r="G366" s="89" t="b">
        <v>1</v>
      </c>
      <c r="H366" s="89"/>
      <c r="I366" s="90"/>
      <c r="J366" s="90"/>
      <c r="K366" s="90"/>
      <c r="L366" s="90"/>
      <c r="M366" s="90"/>
      <c r="N366" s="90"/>
      <c r="O366" s="90"/>
      <c r="P366" s="90"/>
      <c r="Q366" s="90"/>
      <c r="R366" s="90"/>
      <c r="S366" s="90"/>
      <c r="T366" s="90"/>
      <c r="U366" s="90"/>
      <c r="V366" s="90"/>
      <c r="W366" s="90"/>
      <c r="X366" s="90"/>
      <c r="Y366" s="90"/>
      <c r="Z366" s="90"/>
      <c r="AA366" s="90"/>
      <c r="AB366" s="90"/>
    </row>
    <row r="367" spans="1:28" ht="16">
      <c r="A367" s="129"/>
      <c r="B367" s="91" t="s">
        <v>1177</v>
      </c>
      <c r="C367" s="97">
        <f>C366+C365</f>
        <v>3.2045757101865764</v>
      </c>
      <c r="D367" s="98" t="s">
        <v>727</v>
      </c>
      <c r="E367" s="99"/>
      <c r="F367" s="92"/>
      <c r="G367" s="93" t="b">
        <v>1</v>
      </c>
      <c r="H367" s="93"/>
      <c r="I367" s="90"/>
      <c r="J367" s="90"/>
      <c r="K367" s="90"/>
      <c r="L367" s="90"/>
      <c r="M367" s="90"/>
      <c r="N367" s="90"/>
      <c r="O367" s="90"/>
      <c r="P367" s="90"/>
      <c r="Q367" s="90"/>
      <c r="R367" s="90"/>
      <c r="S367" s="90"/>
      <c r="T367" s="90"/>
      <c r="U367" s="90"/>
      <c r="V367" s="90"/>
      <c r="W367" s="90"/>
      <c r="X367" s="90"/>
      <c r="Y367" s="90"/>
      <c r="Z367" s="90"/>
      <c r="AA367" s="90"/>
      <c r="AB367" s="90"/>
    </row>
    <row r="368" spans="1:28" ht="16">
      <c r="A368" s="128" t="s">
        <v>1178</v>
      </c>
      <c r="B368" s="87" t="s">
        <v>1179</v>
      </c>
      <c r="C368" s="94">
        <f>C257*TAN(RADIANS(C383))</f>
        <v>0.54001458047240758</v>
      </c>
      <c r="D368" s="95" t="s">
        <v>727</v>
      </c>
      <c r="E368" s="96"/>
      <c r="F368" s="88"/>
      <c r="G368" s="89" t="b">
        <v>1</v>
      </c>
      <c r="H368" s="89"/>
      <c r="I368" s="90"/>
      <c r="J368" s="90"/>
      <c r="K368" s="90"/>
      <c r="L368" s="90"/>
      <c r="M368" s="90"/>
      <c r="N368" s="90"/>
      <c r="O368" s="90"/>
      <c r="P368" s="90"/>
      <c r="Q368" s="90"/>
      <c r="R368" s="90"/>
      <c r="S368" s="90"/>
      <c r="T368" s="90"/>
      <c r="U368" s="90"/>
      <c r="V368" s="90"/>
      <c r="W368" s="90"/>
      <c r="X368" s="90"/>
      <c r="Y368" s="90"/>
      <c r="Z368" s="90"/>
      <c r="AA368" s="90"/>
      <c r="AB368" s="90"/>
    </row>
    <row r="369" spans="1:28" ht="16">
      <c r="A369" s="125"/>
      <c r="B369" s="91" t="s">
        <v>1171</v>
      </c>
      <c r="C369" s="97">
        <f>TAN(RADIANS(C384))*C257</f>
        <v>1.8333234259427447</v>
      </c>
      <c r="D369" s="98" t="s">
        <v>727</v>
      </c>
      <c r="E369" s="99"/>
      <c r="F369" s="92"/>
      <c r="G369" s="93" t="b">
        <v>1</v>
      </c>
      <c r="H369" s="93"/>
      <c r="I369" s="90"/>
      <c r="J369" s="90"/>
      <c r="K369" s="90"/>
      <c r="L369" s="90"/>
      <c r="M369" s="90"/>
      <c r="N369" s="90"/>
      <c r="O369" s="90"/>
      <c r="P369" s="90"/>
      <c r="Q369" s="90"/>
      <c r="R369" s="90"/>
      <c r="S369" s="90"/>
      <c r="T369" s="90"/>
      <c r="U369" s="90"/>
      <c r="V369" s="90"/>
      <c r="W369" s="90"/>
      <c r="X369" s="90"/>
      <c r="Y369" s="90"/>
      <c r="Z369" s="90"/>
      <c r="AA369" s="90"/>
      <c r="AB369" s="90"/>
    </row>
    <row r="370" spans="1:28" ht="16">
      <c r="A370" s="125"/>
      <c r="B370" s="87" t="s">
        <v>1174</v>
      </c>
      <c r="C370" s="94">
        <f t="shared" ref="C370:C371" si="12">2*C368+C375</f>
        <v>5.1524640822649168</v>
      </c>
      <c r="D370" s="95" t="s">
        <v>727</v>
      </c>
      <c r="E370" s="96"/>
      <c r="F370" s="88"/>
      <c r="G370" s="89" t="b">
        <v>1</v>
      </c>
      <c r="H370" s="89"/>
      <c r="I370" s="90"/>
      <c r="J370" s="90"/>
      <c r="K370" s="90"/>
      <c r="L370" s="90"/>
      <c r="M370" s="90"/>
      <c r="N370" s="90"/>
      <c r="O370" s="90"/>
      <c r="P370" s="90"/>
      <c r="Q370" s="90"/>
      <c r="R370" s="90"/>
      <c r="S370" s="90"/>
      <c r="T370" s="90"/>
      <c r="U370" s="90"/>
      <c r="V370" s="90"/>
      <c r="W370" s="90"/>
      <c r="X370" s="90"/>
      <c r="Y370" s="90"/>
      <c r="Z370" s="90"/>
      <c r="AA370" s="90"/>
      <c r="AB370" s="90"/>
    </row>
    <row r="371" spans="1:28" ht="16">
      <c r="A371" s="125"/>
      <c r="B371" s="91" t="s">
        <v>1175</v>
      </c>
      <c r="C371" s="97">
        <f t="shared" si="12"/>
        <v>3.6884401852188229</v>
      </c>
      <c r="D371" s="98" t="s">
        <v>727</v>
      </c>
      <c r="E371" s="99"/>
      <c r="F371" s="92"/>
      <c r="G371" s="93" t="b">
        <v>1</v>
      </c>
      <c r="H371" s="93"/>
      <c r="I371" s="90"/>
      <c r="J371" s="90"/>
      <c r="K371" s="90"/>
      <c r="L371" s="90"/>
      <c r="M371" s="90"/>
      <c r="N371" s="90"/>
      <c r="O371" s="90"/>
      <c r="P371" s="90"/>
      <c r="Q371" s="90"/>
      <c r="R371" s="90"/>
      <c r="S371" s="90"/>
      <c r="T371" s="90"/>
      <c r="U371" s="90"/>
      <c r="V371" s="90"/>
      <c r="W371" s="90"/>
      <c r="X371" s="90"/>
      <c r="Y371" s="90"/>
      <c r="Z371" s="90"/>
      <c r="AA371" s="90"/>
      <c r="AB371" s="90"/>
    </row>
    <row r="372" spans="1:28" ht="16">
      <c r="A372" s="125"/>
      <c r="B372" s="87" t="s">
        <v>1176</v>
      </c>
      <c r="C372" s="94">
        <f>C377</f>
        <v>1.2000000000000004</v>
      </c>
      <c r="D372" s="95" t="s">
        <v>727</v>
      </c>
      <c r="E372" s="96"/>
      <c r="F372" s="88"/>
      <c r="G372" s="89" t="b">
        <v>1</v>
      </c>
      <c r="H372" s="89"/>
      <c r="I372" s="90"/>
      <c r="J372" s="90"/>
      <c r="K372" s="90"/>
      <c r="L372" s="90"/>
      <c r="M372" s="90"/>
      <c r="N372" s="90"/>
      <c r="O372" s="90"/>
      <c r="P372" s="90"/>
      <c r="Q372" s="90"/>
      <c r="R372" s="90"/>
      <c r="S372" s="90"/>
      <c r="T372" s="90"/>
      <c r="U372" s="90"/>
      <c r="V372" s="90"/>
      <c r="W372" s="90"/>
      <c r="X372" s="90"/>
      <c r="Y372" s="90"/>
      <c r="Z372" s="90"/>
      <c r="AA372" s="90"/>
      <c r="AB372" s="90"/>
    </row>
    <row r="373" spans="1:28" ht="16">
      <c r="A373" s="125"/>
      <c r="B373" s="91" t="s">
        <v>1177</v>
      </c>
      <c r="C373" s="97">
        <f>C378+C371</f>
        <v>4.9102335185521566</v>
      </c>
      <c r="D373" s="98" t="s">
        <v>727</v>
      </c>
      <c r="E373" s="99"/>
      <c r="F373" s="92"/>
      <c r="G373" s="93" t="b">
        <v>1</v>
      </c>
      <c r="H373" s="93"/>
      <c r="I373" s="90"/>
      <c r="J373" s="90"/>
      <c r="K373" s="90"/>
      <c r="L373" s="90"/>
      <c r="M373" s="90"/>
      <c r="N373" s="90"/>
      <c r="O373" s="90"/>
      <c r="P373" s="90"/>
      <c r="Q373" s="90"/>
      <c r="R373" s="90"/>
      <c r="S373" s="90"/>
      <c r="T373" s="90"/>
      <c r="U373" s="90"/>
      <c r="V373" s="90"/>
      <c r="W373" s="90"/>
      <c r="X373" s="90"/>
      <c r="Y373" s="90"/>
      <c r="Z373" s="90"/>
      <c r="AA373" s="90"/>
      <c r="AB373" s="90"/>
    </row>
    <row r="374" spans="1:28" ht="16">
      <c r="A374" s="130"/>
      <c r="B374" s="87" t="s">
        <v>1180</v>
      </c>
      <c r="C374" s="94">
        <f>SQRT(C373^2+C370^2)</f>
        <v>7.1174629837985908</v>
      </c>
      <c r="D374" s="95" t="s">
        <v>727</v>
      </c>
      <c r="E374" s="96"/>
      <c r="F374" s="88"/>
      <c r="G374" s="89" t="b">
        <v>1</v>
      </c>
      <c r="H374" s="89"/>
      <c r="I374" s="90"/>
      <c r="J374" s="90"/>
      <c r="K374" s="90"/>
      <c r="L374" s="90"/>
      <c r="M374" s="90"/>
      <c r="N374" s="90"/>
      <c r="O374" s="90"/>
      <c r="P374" s="90"/>
      <c r="Q374" s="90"/>
      <c r="R374" s="90"/>
      <c r="S374" s="90"/>
      <c r="T374" s="90"/>
      <c r="U374" s="90"/>
      <c r="V374" s="90"/>
      <c r="W374" s="90"/>
      <c r="X374" s="90"/>
      <c r="Y374" s="90"/>
      <c r="Z374" s="90"/>
      <c r="AA374" s="90"/>
      <c r="AB374" s="90"/>
    </row>
    <row r="375" spans="1:28" ht="16">
      <c r="A375" s="128" t="s">
        <v>699</v>
      </c>
      <c r="B375" s="91" t="s">
        <v>1181</v>
      </c>
      <c r="C375" s="97">
        <f>C335/C298</f>
        <v>4.0724349213201014</v>
      </c>
      <c r="D375" s="98" t="s">
        <v>727</v>
      </c>
      <c r="E375" s="99"/>
      <c r="F375" s="92"/>
      <c r="G375" s="93" t="b">
        <v>1</v>
      </c>
      <c r="H375" s="93"/>
      <c r="I375" s="90"/>
      <c r="J375" s="90"/>
      <c r="K375" s="90"/>
      <c r="L375" s="90"/>
      <c r="M375" s="90"/>
      <c r="N375" s="90"/>
      <c r="O375" s="90"/>
      <c r="P375" s="90"/>
      <c r="Q375" s="90"/>
      <c r="R375" s="90"/>
      <c r="S375" s="90"/>
      <c r="T375" s="90"/>
      <c r="U375" s="90"/>
      <c r="V375" s="90"/>
      <c r="W375" s="90"/>
      <c r="X375" s="90"/>
      <c r="Y375" s="90"/>
      <c r="Z375" s="90"/>
      <c r="AA375" s="90"/>
      <c r="AB375" s="90"/>
    </row>
    <row r="376" spans="1:28" ht="16">
      <c r="A376" s="125"/>
      <c r="B376" s="87" t="s">
        <v>1182</v>
      </c>
      <c r="C376" s="94">
        <f>C336/C298</f>
        <v>2.1793333333333338E-2</v>
      </c>
      <c r="D376" s="95" t="s">
        <v>727</v>
      </c>
      <c r="E376" s="96"/>
      <c r="F376" s="88"/>
      <c r="G376" s="89" t="b">
        <v>1</v>
      </c>
      <c r="H376" s="89"/>
      <c r="I376" s="90"/>
      <c r="J376" s="90"/>
      <c r="K376" s="90"/>
      <c r="L376" s="90"/>
      <c r="M376" s="90"/>
      <c r="N376" s="90"/>
      <c r="O376" s="90"/>
      <c r="P376" s="90"/>
      <c r="Q376" s="90"/>
      <c r="R376" s="90"/>
      <c r="S376" s="90"/>
      <c r="T376" s="90"/>
      <c r="U376" s="90"/>
      <c r="V376" s="90"/>
      <c r="W376" s="90"/>
      <c r="X376" s="90"/>
      <c r="Y376" s="90"/>
      <c r="Z376" s="90"/>
      <c r="AA376" s="90"/>
      <c r="AB376" s="90"/>
    </row>
    <row r="377" spans="1:28" ht="16">
      <c r="A377" s="125"/>
      <c r="B377" s="91" t="s">
        <v>1183</v>
      </c>
      <c r="C377" s="97">
        <f>RADIANS(C357)*C256*2</f>
        <v>1.2000000000000004</v>
      </c>
      <c r="D377" s="98" t="s">
        <v>727</v>
      </c>
      <c r="E377" s="99"/>
      <c r="F377" s="92"/>
      <c r="G377" s="93" t="b">
        <v>1</v>
      </c>
      <c r="H377" s="93"/>
      <c r="I377" s="90"/>
      <c r="J377" s="90"/>
      <c r="K377" s="90"/>
      <c r="L377" s="90"/>
      <c r="M377" s="90"/>
      <c r="N377" s="90"/>
      <c r="O377" s="90"/>
      <c r="P377" s="90"/>
      <c r="Q377" s="90"/>
      <c r="R377" s="90"/>
      <c r="S377" s="90"/>
      <c r="T377" s="90"/>
      <c r="U377" s="90"/>
      <c r="V377" s="90"/>
      <c r="W377" s="90"/>
      <c r="X377" s="90"/>
      <c r="Y377" s="90"/>
      <c r="Z377" s="90"/>
      <c r="AA377" s="90"/>
      <c r="AB377" s="90"/>
    </row>
    <row r="378" spans="1:28" ht="16">
      <c r="A378" s="125"/>
      <c r="B378" s="87" t="s">
        <v>1184</v>
      </c>
      <c r="C378" s="94">
        <f>C376+C377</f>
        <v>1.2217933333333337</v>
      </c>
      <c r="D378" s="95" t="s">
        <v>727</v>
      </c>
      <c r="E378" s="96"/>
      <c r="F378" s="88"/>
      <c r="G378" s="89" t="b">
        <v>1</v>
      </c>
      <c r="H378" s="89"/>
      <c r="I378" s="90"/>
      <c r="J378" s="90"/>
      <c r="K378" s="90"/>
      <c r="L378" s="90"/>
      <c r="M378" s="90"/>
      <c r="N378" s="90"/>
      <c r="O378" s="90"/>
      <c r="P378" s="90"/>
      <c r="Q378" s="90"/>
      <c r="R378" s="90"/>
      <c r="S378" s="90"/>
      <c r="T378" s="90"/>
      <c r="U378" s="90"/>
      <c r="V378" s="90"/>
      <c r="W378" s="90"/>
      <c r="X378" s="90"/>
      <c r="Y378" s="90"/>
      <c r="Z378" s="90"/>
      <c r="AA378" s="90"/>
      <c r="AB378" s="90"/>
    </row>
    <row r="379" spans="1:28" ht="16">
      <c r="A379" s="125"/>
      <c r="B379" s="91" t="s">
        <v>1185</v>
      </c>
      <c r="C379" s="97">
        <f>SQRT(C378^2+C375^2)</f>
        <v>4.2517649438515814</v>
      </c>
      <c r="D379" s="98" t="s">
        <v>727</v>
      </c>
      <c r="E379" s="99"/>
      <c r="F379" s="92"/>
      <c r="G379" s="93" t="b">
        <v>1</v>
      </c>
      <c r="H379" s="93"/>
      <c r="I379" s="90"/>
      <c r="J379" s="90"/>
      <c r="K379" s="90"/>
      <c r="L379" s="90"/>
      <c r="M379" s="90"/>
      <c r="N379" s="90"/>
      <c r="O379" s="90"/>
      <c r="P379" s="90"/>
      <c r="Q379" s="90"/>
      <c r="R379" s="90"/>
      <c r="S379" s="90"/>
      <c r="T379" s="90"/>
      <c r="U379" s="90"/>
      <c r="V379" s="90"/>
      <c r="W379" s="90"/>
      <c r="X379" s="90"/>
      <c r="Y379" s="90"/>
      <c r="Z379" s="90"/>
      <c r="AA379" s="90"/>
      <c r="AB379" s="90"/>
    </row>
    <row r="380" spans="1:28" ht="16">
      <c r="A380" s="125"/>
      <c r="B380" s="87" t="s">
        <v>1143</v>
      </c>
      <c r="C380" s="94">
        <f t="shared" ref="C380:C381" si="13">C355</f>
        <v>111.79163561104448</v>
      </c>
      <c r="D380" s="95"/>
      <c r="E380" s="96"/>
      <c r="F380" s="88"/>
      <c r="G380" s="89" t="b">
        <v>1</v>
      </c>
      <c r="H380" s="89"/>
      <c r="I380" s="90"/>
      <c r="J380" s="90"/>
      <c r="K380" s="90"/>
      <c r="L380" s="90"/>
      <c r="M380" s="90"/>
      <c r="N380" s="90"/>
      <c r="O380" s="90"/>
      <c r="P380" s="90"/>
      <c r="Q380" s="90"/>
      <c r="R380" s="90"/>
      <c r="S380" s="90"/>
      <c r="T380" s="90"/>
      <c r="U380" s="90"/>
      <c r="V380" s="90"/>
      <c r="W380" s="90"/>
      <c r="X380" s="90"/>
      <c r="Y380" s="90"/>
      <c r="Z380" s="90"/>
      <c r="AA380" s="90"/>
      <c r="AB380" s="90"/>
    </row>
    <row r="381" spans="1:28" ht="16">
      <c r="A381" s="125"/>
      <c r="B381" s="91" t="s">
        <v>1186</v>
      </c>
      <c r="C381" s="97">
        <f t="shared" si="13"/>
        <v>2.0304347826086961</v>
      </c>
      <c r="D381" s="98"/>
      <c r="E381" s="99"/>
      <c r="F381" s="92"/>
      <c r="G381" s="93" t="b">
        <v>1</v>
      </c>
      <c r="H381" s="93"/>
      <c r="I381" s="90"/>
      <c r="J381" s="90"/>
      <c r="K381" s="90"/>
      <c r="L381" s="90"/>
      <c r="M381" s="90"/>
      <c r="N381" s="90"/>
      <c r="O381" s="90"/>
      <c r="P381" s="90"/>
      <c r="Q381" s="90"/>
      <c r="R381" s="90"/>
      <c r="S381" s="90"/>
      <c r="T381" s="90"/>
      <c r="U381" s="90"/>
      <c r="V381" s="90"/>
      <c r="W381" s="90"/>
      <c r="X381" s="90"/>
      <c r="Y381" s="90"/>
      <c r="Z381" s="90"/>
      <c r="AA381" s="90"/>
      <c r="AB381" s="90"/>
    </row>
    <row r="382" spans="1:28" ht="16">
      <c r="A382" s="125"/>
      <c r="B382" s="87" t="s">
        <v>1187</v>
      </c>
      <c r="C382" s="94">
        <f>C358</f>
        <v>57.731982405519886</v>
      </c>
      <c r="D382" s="95"/>
      <c r="E382" s="96"/>
      <c r="F382" s="88"/>
      <c r="G382" s="89" t="b">
        <v>1</v>
      </c>
      <c r="H382" s="89"/>
      <c r="I382" s="90"/>
      <c r="J382" s="90"/>
      <c r="K382" s="90"/>
      <c r="L382" s="90"/>
      <c r="M382" s="90"/>
      <c r="N382" s="90"/>
      <c r="O382" s="90"/>
      <c r="P382" s="90"/>
      <c r="Q382" s="90"/>
      <c r="R382" s="90"/>
      <c r="S382" s="90"/>
      <c r="T382" s="90"/>
      <c r="U382" s="90"/>
      <c r="V382" s="90"/>
      <c r="W382" s="90"/>
      <c r="X382" s="90"/>
      <c r="Y382" s="90"/>
      <c r="Z382" s="90"/>
      <c r="AA382" s="90"/>
      <c r="AB382" s="90"/>
    </row>
    <row r="383" spans="1:28" ht="16">
      <c r="A383" s="125"/>
      <c r="B383" s="91" t="s">
        <v>1145</v>
      </c>
      <c r="C383" s="97">
        <f>DEGREES(2*C380*C288/1000000/C375)</f>
        <v>0.51566201561774094</v>
      </c>
      <c r="D383" s="98" t="s">
        <v>752</v>
      </c>
      <c r="E383" s="99"/>
      <c r="F383" s="92"/>
      <c r="G383" s="93" t="b">
        <v>1</v>
      </c>
      <c r="H383" s="93"/>
      <c r="I383" s="90"/>
      <c r="J383" s="90"/>
      <c r="K383" s="90"/>
      <c r="L383" s="90"/>
      <c r="M383" s="90"/>
      <c r="N383" s="90"/>
      <c r="O383" s="90"/>
      <c r="P383" s="90"/>
      <c r="Q383" s="90"/>
      <c r="R383" s="90"/>
      <c r="S383" s="90"/>
      <c r="T383" s="90"/>
      <c r="U383" s="90"/>
      <c r="V383" s="90"/>
      <c r="W383" s="90"/>
      <c r="X383" s="90"/>
      <c r="Y383" s="90"/>
      <c r="Z383" s="90"/>
      <c r="AA383" s="90"/>
      <c r="AB383" s="90"/>
    </row>
    <row r="384" spans="1:28" ht="16">
      <c r="A384" s="125"/>
      <c r="B384" s="87" t="s">
        <v>1188</v>
      </c>
      <c r="C384" s="94">
        <f>DEGREES(2*C381*C288/1000000/C376)</f>
        <v>1.7501503832878347</v>
      </c>
      <c r="D384" s="95" t="s">
        <v>752</v>
      </c>
      <c r="E384" s="96"/>
      <c r="F384" s="88"/>
      <c r="G384" s="89" t="b">
        <v>1</v>
      </c>
      <c r="H384" s="89"/>
      <c r="I384" s="90"/>
      <c r="J384" s="90"/>
      <c r="K384" s="90"/>
      <c r="L384" s="90"/>
      <c r="M384" s="90"/>
      <c r="N384" s="90"/>
      <c r="O384" s="90"/>
      <c r="P384" s="90"/>
      <c r="Q384" s="90"/>
      <c r="R384" s="90"/>
      <c r="S384" s="90"/>
      <c r="T384" s="90"/>
      <c r="U384" s="90"/>
      <c r="V384" s="90"/>
      <c r="W384" s="90"/>
      <c r="X384" s="90"/>
      <c r="Y384" s="90"/>
      <c r="Z384" s="90"/>
      <c r="AA384" s="90"/>
      <c r="AB384" s="90"/>
    </row>
    <row r="385" spans="1:28" ht="16">
      <c r="A385" s="129"/>
      <c r="B385" s="91" t="s">
        <v>1189</v>
      </c>
      <c r="C385" s="97">
        <f>DEGREES(2*C382*C288/1000000/C377)</f>
        <v>0.9037435462629404</v>
      </c>
      <c r="D385" s="98" t="s">
        <v>752</v>
      </c>
      <c r="E385" s="99"/>
      <c r="F385" s="92"/>
      <c r="G385" s="93" t="b">
        <v>1</v>
      </c>
      <c r="H385" s="93"/>
      <c r="I385" s="90"/>
      <c r="J385" s="90"/>
      <c r="K385" s="90"/>
      <c r="L385" s="90"/>
      <c r="M385" s="90"/>
      <c r="N385" s="90"/>
      <c r="O385" s="90"/>
      <c r="P385" s="90"/>
      <c r="Q385" s="90"/>
      <c r="R385" s="90"/>
      <c r="S385" s="90"/>
      <c r="T385" s="90"/>
      <c r="U385" s="90"/>
      <c r="V385" s="90"/>
      <c r="W385" s="90"/>
      <c r="X385" s="90"/>
      <c r="Y385" s="90"/>
      <c r="Z385" s="90"/>
      <c r="AA385" s="90"/>
      <c r="AB385" s="90"/>
    </row>
    <row r="386" spans="1:28" ht="16">
      <c r="A386" s="128" t="s">
        <v>1190</v>
      </c>
      <c r="B386" s="87" t="s">
        <v>1179</v>
      </c>
      <c r="C386" s="94">
        <f>C252*TAN(RADIANS(C383))</f>
        <v>1.3320359651652722</v>
      </c>
      <c r="D386" s="95" t="s">
        <v>727</v>
      </c>
      <c r="E386" s="96"/>
      <c r="F386" s="88"/>
      <c r="G386" s="89" t="b">
        <v>1</v>
      </c>
      <c r="H386" s="89"/>
      <c r="I386" s="90"/>
      <c r="J386" s="90"/>
      <c r="K386" s="90"/>
      <c r="L386" s="90"/>
      <c r="M386" s="90"/>
      <c r="N386" s="90"/>
      <c r="O386" s="90"/>
      <c r="P386" s="90"/>
      <c r="Q386" s="90"/>
      <c r="R386" s="90"/>
      <c r="S386" s="90"/>
      <c r="T386" s="90"/>
      <c r="U386" s="90"/>
      <c r="V386" s="90"/>
      <c r="W386" s="90"/>
      <c r="X386" s="90"/>
      <c r="Y386" s="90"/>
      <c r="Z386" s="90"/>
      <c r="AA386" s="90"/>
      <c r="AB386" s="90"/>
    </row>
    <row r="387" spans="1:28" ht="16">
      <c r="A387" s="125"/>
      <c r="B387" s="91" t="s">
        <v>1171</v>
      </c>
      <c r="C387" s="97">
        <f>TAN(RADIANS(C384))*C252</f>
        <v>4.5221977839921035</v>
      </c>
      <c r="D387" s="98" t="s">
        <v>727</v>
      </c>
      <c r="E387" s="99"/>
      <c r="F387" s="92"/>
      <c r="G387" s="93" t="b">
        <v>1</v>
      </c>
      <c r="H387" s="93"/>
      <c r="I387" s="90"/>
      <c r="J387" s="90"/>
      <c r="K387" s="90"/>
      <c r="L387" s="90"/>
      <c r="M387" s="90"/>
      <c r="N387" s="90"/>
      <c r="O387" s="90"/>
      <c r="P387" s="90"/>
      <c r="Q387" s="90"/>
      <c r="R387" s="90"/>
      <c r="S387" s="90"/>
      <c r="T387" s="90"/>
      <c r="U387" s="90"/>
      <c r="V387" s="90"/>
      <c r="W387" s="90"/>
      <c r="X387" s="90"/>
      <c r="Y387" s="90"/>
      <c r="Z387" s="90"/>
      <c r="AA387" s="90"/>
      <c r="AB387" s="90"/>
    </row>
    <row r="388" spans="1:28" ht="16">
      <c r="A388" s="125"/>
      <c r="B388" s="87" t="s">
        <v>1172</v>
      </c>
      <c r="C388" s="94">
        <f>TAN(RADIANS(C385))*C252</f>
        <v>2.334642090972582</v>
      </c>
      <c r="D388" s="95" t="s">
        <v>727</v>
      </c>
      <c r="E388" s="96"/>
      <c r="F388" s="88"/>
      <c r="G388" s="89" t="b">
        <v>1</v>
      </c>
      <c r="H388" s="89"/>
      <c r="I388" s="90"/>
      <c r="J388" s="90"/>
      <c r="K388" s="90"/>
      <c r="L388" s="90"/>
      <c r="M388" s="90"/>
      <c r="N388" s="90"/>
      <c r="O388" s="90"/>
      <c r="P388" s="90"/>
      <c r="Q388" s="90"/>
      <c r="R388" s="90"/>
      <c r="S388" s="90"/>
      <c r="T388" s="90"/>
      <c r="U388" s="90"/>
      <c r="V388" s="90"/>
      <c r="W388" s="90"/>
      <c r="X388" s="90"/>
      <c r="Y388" s="90"/>
      <c r="Z388" s="90"/>
      <c r="AA388" s="90"/>
      <c r="AB388" s="90"/>
    </row>
    <row r="389" spans="1:28" ht="16">
      <c r="A389" s="125"/>
      <c r="B389" s="91" t="s">
        <v>1174</v>
      </c>
      <c r="C389" s="97">
        <f>C375+2*C386</f>
        <v>6.7365068516506454</v>
      </c>
      <c r="D389" s="98" t="s">
        <v>727</v>
      </c>
      <c r="E389" s="99"/>
      <c r="F389" s="92"/>
      <c r="G389" s="93" t="b">
        <v>1</v>
      </c>
      <c r="H389" s="93"/>
      <c r="I389" s="90"/>
      <c r="J389" s="90"/>
      <c r="K389" s="90"/>
      <c r="L389" s="90"/>
      <c r="M389" s="90"/>
      <c r="N389" s="90"/>
      <c r="O389" s="90"/>
      <c r="P389" s="90"/>
      <c r="Q389" s="90"/>
      <c r="R389" s="90"/>
      <c r="S389" s="90"/>
      <c r="T389" s="90"/>
      <c r="U389" s="90"/>
      <c r="V389" s="90"/>
      <c r="W389" s="90"/>
      <c r="X389" s="90"/>
      <c r="Y389" s="90"/>
      <c r="Z389" s="90"/>
      <c r="AA389" s="90"/>
      <c r="AB389" s="90"/>
    </row>
    <row r="390" spans="1:28" ht="16">
      <c r="A390" s="125"/>
      <c r="B390" s="87" t="s">
        <v>1175</v>
      </c>
      <c r="C390" s="94">
        <f t="shared" ref="C390:C391" si="14">2*C387+C376</f>
        <v>9.0661889013175401</v>
      </c>
      <c r="D390" s="95" t="s">
        <v>727</v>
      </c>
      <c r="E390" s="96"/>
      <c r="F390" s="88"/>
      <c r="G390" s="89" t="b">
        <v>1</v>
      </c>
      <c r="H390" s="89"/>
      <c r="I390" s="90"/>
      <c r="J390" s="90"/>
      <c r="K390" s="90"/>
      <c r="L390" s="90"/>
      <c r="M390" s="90"/>
      <c r="N390" s="90"/>
      <c r="O390" s="90"/>
      <c r="P390" s="90"/>
      <c r="Q390" s="90"/>
      <c r="R390" s="90"/>
      <c r="S390" s="90"/>
      <c r="T390" s="90"/>
      <c r="U390" s="90"/>
      <c r="V390" s="90"/>
      <c r="W390" s="90"/>
      <c r="X390" s="90"/>
      <c r="Y390" s="90"/>
      <c r="Z390" s="90"/>
      <c r="AA390" s="90"/>
      <c r="AB390" s="90"/>
    </row>
    <row r="391" spans="1:28" ht="16">
      <c r="A391" s="125"/>
      <c r="B391" s="91" t="s">
        <v>1176</v>
      </c>
      <c r="C391" s="97">
        <f t="shared" si="14"/>
        <v>5.8692841819451642</v>
      </c>
      <c r="D391" s="98" t="s">
        <v>727</v>
      </c>
      <c r="E391" s="99"/>
      <c r="F391" s="92"/>
      <c r="G391" s="93" t="b">
        <v>1</v>
      </c>
      <c r="H391" s="93"/>
      <c r="I391" s="90"/>
      <c r="J391" s="90"/>
      <c r="K391" s="90"/>
      <c r="L391" s="90"/>
      <c r="M391" s="90"/>
      <c r="N391" s="90"/>
      <c r="O391" s="90"/>
      <c r="P391" s="90"/>
      <c r="Q391" s="90"/>
      <c r="R391" s="90"/>
      <c r="S391" s="90"/>
      <c r="T391" s="90"/>
      <c r="U391" s="90"/>
      <c r="V391" s="90"/>
      <c r="W391" s="90"/>
      <c r="X391" s="90"/>
      <c r="Y391" s="90"/>
      <c r="Z391" s="90"/>
      <c r="AA391" s="90"/>
      <c r="AB391" s="90"/>
    </row>
    <row r="392" spans="1:28" ht="16">
      <c r="A392" s="125"/>
      <c r="B392" s="87" t="s">
        <v>1177</v>
      </c>
      <c r="C392" s="94">
        <f>C378+2*MAX(C387:C388)</f>
        <v>10.266188901317541</v>
      </c>
      <c r="D392" s="95" t="s">
        <v>727</v>
      </c>
      <c r="E392" s="96"/>
      <c r="F392" s="88"/>
      <c r="G392" s="89" t="b">
        <v>1</v>
      </c>
      <c r="H392" s="89"/>
      <c r="I392" s="90"/>
      <c r="J392" s="90"/>
      <c r="K392" s="90"/>
      <c r="L392" s="90"/>
      <c r="M392" s="90"/>
      <c r="N392" s="90"/>
      <c r="O392" s="90"/>
      <c r="P392" s="90"/>
      <c r="Q392" s="90"/>
      <c r="R392" s="90"/>
      <c r="S392" s="90"/>
      <c r="T392" s="90"/>
      <c r="U392" s="90"/>
      <c r="V392" s="90"/>
      <c r="W392" s="90"/>
      <c r="X392" s="90"/>
      <c r="Y392" s="90"/>
      <c r="Z392" s="90"/>
      <c r="AA392" s="90"/>
      <c r="AB392" s="90"/>
    </row>
    <row r="393" spans="1:28" ht="16">
      <c r="A393" s="129"/>
      <c r="B393" s="91" t="s">
        <v>1180</v>
      </c>
      <c r="C393" s="97">
        <f>SQRT(C392^2+C389^2)</f>
        <v>12.279053673629395</v>
      </c>
      <c r="D393" s="98" t="s">
        <v>727</v>
      </c>
      <c r="E393" s="99"/>
      <c r="F393" s="92"/>
      <c r="G393" s="93" t="b">
        <v>1</v>
      </c>
      <c r="H393" s="93"/>
      <c r="I393" s="90"/>
      <c r="J393" s="90"/>
      <c r="K393" s="90"/>
      <c r="L393" s="90"/>
      <c r="M393" s="90"/>
      <c r="N393" s="90"/>
      <c r="O393" s="90"/>
      <c r="P393" s="90"/>
      <c r="Q393" s="90"/>
      <c r="R393" s="90"/>
      <c r="S393" s="90"/>
      <c r="T393" s="90"/>
      <c r="U393" s="90"/>
      <c r="V393" s="90"/>
      <c r="W393" s="90"/>
      <c r="X393" s="90"/>
      <c r="Y393" s="90"/>
      <c r="Z393" s="90"/>
      <c r="AA393" s="90"/>
      <c r="AB393" s="90"/>
    </row>
    <row r="394" spans="1:28" ht="16">
      <c r="A394" s="131" t="s">
        <v>875</v>
      </c>
      <c r="B394" s="87" t="s">
        <v>1191</v>
      </c>
      <c r="C394" s="94">
        <v>160</v>
      </c>
      <c r="D394" s="95" t="s">
        <v>727</v>
      </c>
      <c r="E394" s="96"/>
      <c r="F394" s="88"/>
      <c r="G394" s="89" t="b">
        <v>0</v>
      </c>
      <c r="H394" s="89"/>
      <c r="I394" s="90"/>
      <c r="J394" s="90"/>
      <c r="K394" s="90"/>
      <c r="L394" s="90"/>
      <c r="M394" s="90"/>
      <c r="N394" s="90"/>
      <c r="O394" s="90"/>
      <c r="P394" s="90"/>
      <c r="Q394" s="90"/>
      <c r="R394" s="90"/>
      <c r="S394" s="90"/>
      <c r="T394" s="90"/>
      <c r="U394" s="90"/>
      <c r="V394" s="90"/>
      <c r="W394" s="90"/>
      <c r="X394" s="90"/>
      <c r="Y394" s="90"/>
      <c r="Z394" s="90"/>
      <c r="AA394" s="90"/>
      <c r="AB394" s="90"/>
    </row>
    <row r="395" spans="1:28" ht="16">
      <c r="A395" s="129"/>
      <c r="B395" s="91" t="s">
        <v>1192</v>
      </c>
      <c r="C395" s="97">
        <f>((C389-C396)/2)/TAN(RADIANS(C401))</f>
        <v>154.03062494259126</v>
      </c>
      <c r="D395" s="98" t="s">
        <v>727</v>
      </c>
      <c r="E395" s="99"/>
      <c r="F395" s="92"/>
      <c r="G395" s="93" t="b">
        <v>1</v>
      </c>
      <c r="H395" s="93"/>
      <c r="I395" s="90"/>
      <c r="J395" s="90"/>
      <c r="K395" s="90"/>
      <c r="L395" s="90"/>
      <c r="M395" s="90"/>
      <c r="N395" s="90"/>
      <c r="O395" s="90"/>
      <c r="P395" s="90"/>
      <c r="Q395" s="90"/>
      <c r="R395" s="90"/>
      <c r="S395" s="90"/>
      <c r="T395" s="90"/>
      <c r="U395" s="90"/>
      <c r="V395" s="90"/>
      <c r="W395" s="90"/>
      <c r="X395" s="90"/>
      <c r="Y395" s="90"/>
      <c r="Z395" s="90"/>
      <c r="AA395" s="90"/>
      <c r="AB395" s="90"/>
    </row>
    <row r="396" spans="1:28" ht="16">
      <c r="A396" s="128" t="s">
        <v>354</v>
      </c>
      <c r="B396" s="87" t="s">
        <v>1193</v>
      </c>
      <c r="C396" s="94">
        <f>C351/C299</f>
        <v>3.6</v>
      </c>
      <c r="D396" s="95" t="s">
        <v>727</v>
      </c>
      <c r="E396" s="96"/>
      <c r="F396" s="88"/>
      <c r="G396" s="89" t="b">
        <v>1</v>
      </c>
      <c r="H396" s="89"/>
      <c r="I396" s="90"/>
      <c r="J396" s="90"/>
      <c r="K396" s="90"/>
      <c r="L396" s="90"/>
      <c r="M396" s="90"/>
      <c r="N396" s="90"/>
      <c r="O396" s="90"/>
      <c r="P396" s="90"/>
      <c r="Q396" s="90"/>
      <c r="R396" s="90"/>
      <c r="S396" s="90"/>
      <c r="T396" s="90"/>
      <c r="U396" s="90"/>
      <c r="V396" s="90"/>
      <c r="W396" s="90"/>
      <c r="X396" s="90"/>
      <c r="Y396" s="90"/>
      <c r="Z396" s="90"/>
      <c r="AA396" s="90"/>
      <c r="AB396" s="90"/>
    </row>
    <row r="397" spans="1:28" ht="16">
      <c r="A397" s="125"/>
      <c r="B397" s="91" t="s">
        <v>1194</v>
      </c>
      <c r="C397" s="97">
        <f>C352/C299</f>
        <v>6.3093201903752032</v>
      </c>
      <c r="D397" s="98" t="s">
        <v>727</v>
      </c>
      <c r="E397" s="99"/>
      <c r="F397" s="92"/>
      <c r="G397" s="93" t="b">
        <v>1</v>
      </c>
      <c r="H397" s="93"/>
      <c r="I397" s="90"/>
      <c r="J397" s="90"/>
      <c r="K397" s="90"/>
      <c r="L397" s="90"/>
      <c r="M397" s="90"/>
      <c r="N397" s="90"/>
      <c r="O397" s="90"/>
      <c r="P397" s="90"/>
      <c r="Q397" s="90"/>
      <c r="R397" s="90"/>
      <c r="S397" s="90"/>
      <c r="T397" s="90"/>
      <c r="U397" s="90"/>
      <c r="V397" s="90"/>
      <c r="W397" s="90"/>
      <c r="X397" s="90"/>
      <c r="Y397" s="90"/>
      <c r="Z397" s="90"/>
      <c r="AA397" s="90"/>
      <c r="AB397" s="90"/>
    </row>
    <row r="398" spans="1:28" ht="16">
      <c r="A398" s="125"/>
      <c r="B398" s="87" t="s">
        <v>1163</v>
      </c>
      <c r="C398" s="94">
        <f t="shared" ref="C398:C399" si="15">C355</f>
        <v>111.79163561104448</v>
      </c>
      <c r="D398" s="95"/>
      <c r="E398" s="96"/>
      <c r="F398" s="88"/>
      <c r="G398" s="89" t="b">
        <v>1</v>
      </c>
      <c r="H398" s="89"/>
      <c r="I398" s="90"/>
      <c r="J398" s="90"/>
      <c r="K398" s="90"/>
      <c r="L398" s="90"/>
      <c r="M398" s="90"/>
      <c r="N398" s="90"/>
      <c r="O398" s="90"/>
      <c r="P398" s="90"/>
      <c r="Q398" s="90"/>
      <c r="R398" s="90"/>
      <c r="S398" s="90"/>
      <c r="T398" s="90"/>
      <c r="U398" s="90"/>
      <c r="V398" s="90"/>
      <c r="W398" s="90"/>
      <c r="X398" s="90"/>
      <c r="Y398" s="90"/>
      <c r="Z398" s="90"/>
      <c r="AA398" s="90"/>
      <c r="AB398" s="90"/>
    </row>
    <row r="399" spans="1:28" ht="16">
      <c r="A399" s="125"/>
      <c r="B399" s="91" t="s">
        <v>1164</v>
      </c>
      <c r="C399" s="97">
        <f t="shared" si="15"/>
        <v>2.0304347826086961</v>
      </c>
      <c r="D399" s="98"/>
      <c r="E399" s="99"/>
      <c r="F399" s="92"/>
      <c r="G399" s="93" t="b">
        <v>1</v>
      </c>
      <c r="H399" s="93"/>
      <c r="I399" s="90"/>
      <c r="J399" s="90"/>
      <c r="K399" s="90"/>
      <c r="L399" s="90"/>
      <c r="M399" s="90"/>
      <c r="N399" s="90"/>
      <c r="O399" s="90"/>
      <c r="P399" s="90"/>
      <c r="Q399" s="90"/>
      <c r="R399" s="90"/>
      <c r="S399" s="90"/>
      <c r="T399" s="90"/>
      <c r="U399" s="90"/>
      <c r="V399" s="90"/>
      <c r="W399" s="90"/>
      <c r="X399" s="90"/>
      <c r="Y399" s="90"/>
      <c r="Z399" s="90"/>
      <c r="AA399" s="90"/>
      <c r="AB399" s="90"/>
    </row>
    <row r="400" spans="1:28" ht="16">
      <c r="A400" s="125"/>
      <c r="B400" s="87" t="s">
        <v>1167</v>
      </c>
      <c r="C400" s="94">
        <f>C358</f>
        <v>57.731982405519886</v>
      </c>
      <c r="D400" s="95"/>
      <c r="E400" s="96"/>
      <c r="F400" s="88"/>
      <c r="G400" s="89" t="b">
        <v>1</v>
      </c>
      <c r="H400" s="89"/>
      <c r="I400" s="90"/>
      <c r="J400" s="90"/>
      <c r="K400" s="90"/>
      <c r="L400" s="90"/>
      <c r="M400" s="90"/>
      <c r="N400" s="90"/>
      <c r="O400" s="90"/>
      <c r="P400" s="90"/>
      <c r="Q400" s="90"/>
      <c r="R400" s="90"/>
      <c r="S400" s="90"/>
      <c r="T400" s="90"/>
      <c r="U400" s="90"/>
      <c r="V400" s="90"/>
      <c r="W400" s="90"/>
      <c r="X400" s="90"/>
      <c r="Y400" s="90"/>
      <c r="Z400" s="90"/>
      <c r="AA400" s="90"/>
      <c r="AB400" s="90"/>
    </row>
    <row r="401" spans="1:28" ht="16">
      <c r="A401" s="125"/>
      <c r="B401" s="91" t="s">
        <v>1195</v>
      </c>
      <c r="C401" s="97">
        <f>DEGREES(2*C398*C288/1000000/C396)</f>
        <v>0.58333333333333326</v>
      </c>
      <c r="D401" s="98" t="s">
        <v>752</v>
      </c>
      <c r="E401" s="99"/>
      <c r="F401" s="92"/>
      <c r="G401" s="93" t="b">
        <v>1</v>
      </c>
      <c r="H401" s="93"/>
      <c r="I401" s="90"/>
      <c r="J401" s="90"/>
      <c r="K401" s="90"/>
      <c r="L401" s="90"/>
      <c r="M401" s="90"/>
      <c r="N401" s="90"/>
      <c r="O401" s="90"/>
      <c r="P401" s="90"/>
      <c r="Q401" s="90"/>
      <c r="R401" s="90"/>
      <c r="S401" s="90"/>
      <c r="T401" s="90"/>
      <c r="U401" s="90"/>
      <c r="V401" s="90"/>
      <c r="W401" s="90"/>
      <c r="X401" s="90"/>
      <c r="Y401" s="90"/>
      <c r="Z401" s="90"/>
      <c r="AA401" s="90"/>
      <c r="AB401" s="90"/>
    </row>
    <row r="402" spans="1:28" ht="16">
      <c r="A402" s="125"/>
      <c r="B402" s="87" t="s">
        <v>1196</v>
      </c>
      <c r="C402" s="94">
        <f>DEGREES(2*C399*C288/1000000/C397)</f>
        <v>6.0452805588528356E-3</v>
      </c>
      <c r="D402" s="95" t="s">
        <v>752</v>
      </c>
      <c r="E402" s="96"/>
      <c r="F402" s="88"/>
      <c r="G402" s="89" t="b">
        <v>1</v>
      </c>
      <c r="H402" s="89"/>
      <c r="I402" s="90"/>
      <c r="J402" s="90"/>
      <c r="K402" s="90"/>
      <c r="L402" s="90"/>
      <c r="M402" s="90"/>
      <c r="N402" s="90"/>
      <c r="O402" s="90"/>
      <c r="P402" s="90"/>
      <c r="Q402" s="90"/>
      <c r="R402" s="90"/>
      <c r="S402" s="90"/>
      <c r="T402" s="90"/>
      <c r="U402" s="90"/>
      <c r="V402" s="90"/>
      <c r="W402" s="90"/>
      <c r="X402" s="90"/>
      <c r="Y402" s="90"/>
      <c r="Z402" s="90"/>
      <c r="AA402" s="90"/>
      <c r="AB402" s="90"/>
    </row>
    <row r="403" spans="1:28" ht="16">
      <c r="A403" s="125"/>
      <c r="B403" s="91" t="s">
        <v>1197</v>
      </c>
      <c r="C403" s="97">
        <f>DEGREES(C419/2/C243)</f>
        <v>0.17188733853924698</v>
      </c>
      <c r="D403" s="98" t="s">
        <v>752</v>
      </c>
      <c r="E403" s="99" t="s">
        <v>1198</v>
      </c>
      <c r="F403" s="92"/>
      <c r="G403" s="93" t="b">
        <v>1</v>
      </c>
      <c r="H403" s="93"/>
      <c r="I403" s="90"/>
      <c r="J403" s="90"/>
      <c r="K403" s="90"/>
      <c r="L403" s="90"/>
      <c r="M403" s="90"/>
      <c r="N403" s="90"/>
      <c r="O403" s="90"/>
      <c r="P403" s="90"/>
      <c r="Q403" s="90"/>
      <c r="R403" s="90"/>
      <c r="S403" s="90"/>
      <c r="T403" s="90"/>
      <c r="U403" s="90"/>
      <c r="V403" s="90"/>
      <c r="W403" s="90"/>
      <c r="X403" s="90"/>
      <c r="Y403" s="90"/>
      <c r="Z403" s="90"/>
      <c r="AA403" s="90"/>
      <c r="AB403" s="90"/>
    </row>
    <row r="404" spans="1:28" ht="16">
      <c r="A404" s="125"/>
      <c r="B404" s="87" t="s">
        <v>1199</v>
      </c>
      <c r="C404" s="94">
        <f>ABS(C394-C395)*TAN(RADIANS(C401))</f>
        <v>6.0776828551507928E-2</v>
      </c>
      <c r="D404" s="95" t="s">
        <v>727</v>
      </c>
      <c r="E404" s="96"/>
      <c r="F404" s="88"/>
      <c r="G404" s="89" t="b">
        <v>1</v>
      </c>
      <c r="H404" s="89"/>
      <c r="I404" s="90"/>
      <c r="J404" s="90"/>
      <c r="K404" s="90"/>
      <c r="L404" s="90"/>
      <c r="M404" s="90"/>
      <c r="N404" s="90"/>
      <c r="O404" s="90"/>
      <c r="P404" s="90"/>
      <c r="Q404" s="90"/>
      <c r="R404" s="90"/>
      <c r="S404" s="90"/>
      <c r="T404" s="90"/>
      <c r="U404" s="90"/>
      <c r="V404" s="90"/>
      <c r="W404" s="90"/>
      <c r="X404" s="90"/>
      <c r="Y404" s="90"/>
      <c r="Z404" s="90"/>
      <c r="AA404" s="90"/>
      <c r="AB404" s="90"/>
    </row>
    <row r="405" spans="1:28" ht="16">
      <c r="A405" s="125"/>
      <c r="B405" s="91" t="s">
        <v>1200</v>
      </c>
      <c r="C405" s="97">
        <f>ABS(C394-C395)*TAN(RADIANS(C402))</f>
        <v>6.2982906286708365E-4</v>
      </c>
      <c r="D405" s="98" t="s">
        <v>727</v>
      </c>
      <c r="E405" s="99"/>
      <c r="F405" s="92"/>
      <c r="G405" s="93" t="b">
        <v>1</v>
      </c>
      <c r="H405" s="93"/>
      <c r="I405" s="90"/>
      <c r="J405" s="90"/>
      <c r="K405" s="90"/>
      <c r="L405" s="90"/>
      <c r="M405" s="90"/>
      <c r="N405" s="90"/>
      <c r="O405" s="90"/>
      <c r="P405" s="90"/>
      <c r="Q405" s="90"/>
      <c r="R405" s="90"/>
      <c r="S405" s="90"/>
      <c r="T405" s="90"/>
      <c r="U405" s="90"/>
      <c r="V405" s="90"/>
      <c r="W405" s="90"/>
      <c r="X405" s="90"/>
      <c r="Y405" s="90"/>
      <c r="Z405" s="90"/>
      <c r="AA405" s="90"/>
      <c r="AB405" s="90"/>
    </row>
    <row r="406" spans="1:28" ht="16">
      <c r="A406" s="125"/>
      <c r="B406" s="87" t="s">
        <v>1201</v>
      </c>
      <c r="C406" s="94">
        <f t="shared" ref="C406:C407" si="16">C404+C396</f>
        <v>3.6607768285515081</v>
      </c>
      <c r="D406" s="95" t="s">
        <v>727</v>
      </c>
      <c r="E406" s="96"/>
      <c r="F406" s="88" t="s">
        <v>1202</v>
      </c>
      <c r="G406" s="89" t="b">
        <v>1</v>
      </c>
      <c r="H406" s="89"/>
      <c r="I406" s="90"/>
      <c r="J406" s="90"/>
      <c r="K406" s="90"/>
      <c r="L406" s="90"/>
      <c r="M406" s="90"/>
      <c r="N406" s="90"/>
      <c r="O406" s="90"/>
      <c r="P406" s="90"/>
      <c r="Q406" s="90"/>
      <c r="R406" s="90"/>
      <c r="S406" s="90"/>
      <c r="T406" s="90"/>
      <c r="U406" s="90"/>
      <c r="V406" s="90"/>
      <c r="W406" s="90"/>
      <c r="X406" s="90"/>
      <c r="Y406" s="90"/>
      <c r="Z406" s="90"/>
      <c r="AA406" s="90"/>
      <c r="AB406" s="90"/>
    </row>
    <row r="407" spans="1:28" ht="16">
      <c r="A407" s="125"/>
      <c r="B407" s="91" t="s">
        <v>1203</v>
      </c>
      <c r="C407" s="97">
        <f t="shared" si="16"/>
        <v>6.3099500194380704</v>
      </c>
      <c r="D407" s="98" t="s">
        <v>727</v>
      </c>
      <c r="E407" s="99"/>
      <c r="F407" s="92"/>
      <c r="G407" s="93" t="b">
        <v>1</v>
      </c>
      <c r="H407" s="93"/>
      <c r="I407" s="90"/>
      <c r="J407" s="90"/>
      <c r="K407" s="90"/>
      <c r="L407" s="90"/>
      <c r="M407" s="90"/>
      <c r="N407" s="90"/>
      <c r="O407" s="90"/>
      <c r="P407" s="90"/>
      <c r="Q407" s="90"/>
      <c r="R407" s="90"/>
      <c r="S407" s="90"/>
      <c r="T407" s="90"/>
      <c r="U407" s="90"/>
      <c r="V407" s="90"/>
      <c r="W407" s="90"/>
      <c r="X407" s="90"/>
      <c r="Y407" s="90"/>
      <c r="Z407" s="90"/>
      <c r="AA407" s="90"/>
      <c r="AB407" s="90"/>
    </row>
    <row r="408" spans="1:28" ht="16">
      <c r="A408" s="130"/>
      <c r="B408" s="87" t="s">
        <v>1204</v>
      </c>
      <c r="C408" s="94">
        <f>SQRT(C406^2+C407^2)</f>
        <v>7.2949815788846335</v>
      </c>
      <c r="D408" s="95" t="s">
        <v>727</v>
      </c>
      <c r="E408" s="96"/>
      <c r="F408" s="88"/>
      <c r="G408" s="89" t="b">
        <v>1</v>
      </c>
      <c r="H408" s="89"/>
      <c r="I408" s="90"/>
      <c r="J408" s="90"/>
      <c r="K408" s="90"/>
      <c r="L408" s="90"/>
      <c r="M408" s="90"/>
      <c r="N408" s="90"/>
      <c r="O408" s="90"/>
      <c r="P408" s="90"/>
      <c r="Q408" s="90"/>
      <c r="R408" s="90"/>
      <c r="S408" s="90"/>
      <c r="T408" s="90"/>
      <c r="U408" s="90"/>
      <c r="V408" s="90"/>
      <c r="W408" s="90"/>
      <c r="X408" s="90"/>
      <c r="Y408" s="90"/>
      <c r="Z408" s="90"/>
      <c r="AA408" s="90"/>
      <c r="AB408" s="90"/>
    </row>
    <row r="409" spans="1:28" ht="16">
      <c r="A409" s="128" t="s">
        <v>1205</v>
      </c>
      <c r="B409" s="114" t="s">
        <v>1206</v>
      </c>
      <c r="C409" s="120">
        <f>C239*TAN(RADIANS(C425))</f>
        <v>0.72031120132776405</v>
      </c>
      <c r="D409" s="121" t="s">
        <v>727</v>
      </c>
      <c r="E409" s="99"/>
      <c r="F409" s="92"/>
      <c r="G409" s="93" t="b">
        <v>1</v>
      </c>
      <c r="H409" s="93"/>
      <c r="I409" s="90"/>
      <c r="J409" s="90"/>
      <c r="K409" s="90"/>
      <c r="L409" s="90"/>
      <c r="M409" s="90"/>
      <c r="N409" s="90"/>
      <c r="O409" s="90"/>
      <c r="P409" s="90"/>
      <c r="Q409" s="90"/>
      <c r="R409" s="90"/>
      <c r="S409" s="90"/>
      <c r="T409" s="90"/>
      <c r="U409" s="90"/>
      <c r="V409" s="90"/>
      <c r="W409" s="90"/>
      <c r="X409" s="90"/>
      <c r="Y409" s="90"/>
      <c r="Z409" s="90"/>
      <c r="AA409" s="90"/>
      <c r="AB409" s="90"/>
    </row>
    <row r="410" spans="1:28" ht="16">
      <c r="A410" s="125"/>
      <c r="B410" s="115" t="s">
        <v>1207</v>
      </c>
      <c r="C410" s="118">
        <f>TAN(RADIANS(C426))*C239</f>
        <v>2.4559043586023233</v>
      </c>
      <c r="D410" s="119" t="s">
        <v>727</v>
      </c>
      <c r="E410" s="96"/>
      <c r="F410" s="88"/>
      <c r="G410" s="89" t="b">
        <v>1</v>
      </c>
      <c r="H410" s="89"/>
      <c r="I410" s="90"/>
      <c r="J410" s="90"/>
      <c r="K410" s="90"/>
      <c r="L410" s="90"/>
      <c r="M410" s="90"/>
      <c r="N410" s="90"/>
      <c r="O410" s="90"/>
      <c r="P410" s="90"/>
      <c r="Q410" s="90"/>
      <c r="R410" s="90"/>
      <c r="S410" s="90"/>
      <c r="T410" s="90"/>
      <c r="U410" s="90"/>
      <c r="V410" s="90"/>
      <c r="W410" s="90"/>
      <c r="X410" s="90"/>
      <c r="Y410" s="90"/>
      <c r="Z410" s="90"/>
      <c r="AA410" s="90"/>
      <c r="AB410" s="90"/>
    </row>
    <row r="411" spans="1:28" ht="16">
      <c r="A411" s="125"/>
      <c r="B411" s="114" t="s">
        <v>1208</v>
      </c>
      <c r="C411" s="120">
        <f>TAN(RADIANS(C427))*C239</f>
        <v>1.2635410978269659</v>
      </c>
      <c r="D411" s="121" t="s">
        <v>727</v>
      </c>
      <c r="E411" s="99"/>
      <c r="F411" s="92"/>
      <c r="G411" s="93" t="b">
        <v>1</v>
      </c>
      <c r="H411" s="93"/>
      <c r="I411" s="90"/>
      <c r="J411" s="90"/>
      <c r="K411" s="90"/>
      <c r="L411" s="90"/>
      <c r="M411" s="90"/>
      <c r="N411" s="90"/>
      <c r="O411" s="90"/>
      <c r="P411" s="90"/>
      <c r="Q411" s="90"/>
      <c r="R411" s="90"/>
      <c r="S411" s="90"/>
      <c r="T411" s="90"/>
      <c r="U411" s="90"/>
      <c r="V411" s="90"/>
      <c r="W411" s="90"/>
      <c r="X411" s="90"/>
      <c r="Y411" s="90"/>
      <c r="Z411" s="90"/>
      <c r="AA411" s="90"/>
      <c r="AB411" s="90"/>
    </row>
    <row r="412" spans="1:28" ht="16">
      <c r="A412" s="125"/>
      <c r="B412" s="115" t="s">
        <v>1209</v>
      </c>
      <c r="C412" s="118">
        <f>C417+2*C409</f>
        <v>2.4587311329855535</v>
      </c>
      <c r="D412" s="119" t="s">
        <v>727</v>
      </c>
      <c r="E412" s="96"/>
      <c r="F412" s="88"/>
      <c r="G412" s="89" t="b">
        <v>1</v>
      </c>
      <c r="H412" s="89"/>
      <c r="I412" s="90"/>
      <c r="J412" s="90"/>
      <c r="K412" s="90"/>
      <c r="L412" s="90"/>
      <c r="M412" s="90"/>
      <c r="N412" s="90"/>
      <c r="O412" s="90"/>
      <c r="P412" s="90"/>
      <c r="Q412" s="90"/>
      <c r="R412" s="90"/>
      <c r="S412" s="90"/>
      <c r="T412" s="90"/>
      <c r="U412" s="90"/>
      <c r="V412" s="90"/>
      <c r="W412" s="90"/>
      <c r="X412" s="90"/>
      <c r="Y412" s="90"/>
      <c r="Z412" s="90"/>
      <c r="AA412" s="90"/>
      <c r="AB412" s="90"/>
    </row>
    <row r="413" spans="1:28" ht="16">
      <c r="A413" s="125"/>
      <c r="B413" s="114" t="s">
        <v>1210</v>
      </c>
      <c r="C413" s="120">
        <f>2*C410+C418/1000000</f>
        <v>4.9118141655379794</v>
      </c>
      <c r="D413" s="121" t="s">
        <v>727</v>
      </c>
      <c r="E413" s="99"/>
      <c r="F413" s="92"/>
      <c r="G413" s="93" t="b">
        <v>1</v>
      </c>
      <c r="H413" s="93"/>
      <c r="I413" s="90"/>
      <c r="J413" s="90"/>
      <c r="K413" s="90"/>
      <c r="L413" s="90"/>
      <c r="M413" s="90"/>
      <c r="N413" s="90"/>
      <c r="O413" s="90"/>
      <c r="P413" s="90"/>
      <c r="Q413" s="90"/>
      <c r="R413" s="90"/>
      <c r="S413" s="90"/>
      <c r="T413" s="90"/>
      <c r="U413" s="90"/>
      <c r="V413" s="90"/>
      <c r="W413" s="90"/>
      <c r="X413" s="90"/>
      <c r="Y413" s="90"/>
      <c r="Z413" s="90"/>
      <c r="AA413" s="90"/>
      <c r="AB413" s="90"/>
    </row>
    <row r="414" spans="1:28" ht="16">
      <c r="A414" s="125"/>
      <c r="B414" s="115" t="s">
        <v>1211</v>
      </c>
      <c r="C414" s="118">
        <f>C419+2*C411</f>
        <v>2.8270821956539316</v>
      </c>
      <c r="D414" s="119" t="s">
        <v>727</v>
      </c>
      <c r="E414" s="96"/>
      <c r="F414" s="88"/>
      <c r="G414" s="89" t="b">
        <v>1</v>
      </c>
      <c r="H414" s="89"/>
      <c r="I414" s="90"/>
      <c r="J414" s="90"/>
      <c r="K414" s="90"/>
      <c r="L414" s="90"/>
      <c r="M414" s="90"/>
      <c r="N414" s="90"/>
      <c r="O414" s="90"/>
      <c r="P414" s="90"/>
      <c r="Q414" s="90"/>
      <c r="R414" s="90"/>
      <c r="S414" s="90"/>
      <c r="T414" s="90"/>
      <c r="U414" s="90"/>
      <c r="V414" s="90"/>
      <c r="W414" s="90"/>
      <c r="X414" s="90"/>
      <c r="Y414" s="90"/>
      <c r="Z414" s="90"/>
      <c r="AA414" s="90"/>
      <c r="AB414" s="90"/>
    </row>
    <row r="415" spans="1:28" ht="16">
      <c r="A415" s="125"/>
      <c r="B415" s="114" t="s">
        <v>1212</v>
      </c>
      <c r="C415" s="120">
        <f>C420+2*MAX(C410:C411)</f>
        <v>5.2172570505379801</v>
      </c>
      <c r="D415" s="121" t="s">
        <v>727</v>
      </c>
      <c r="E415" s="99"/>
      <c r="F415" s="92"/>
      <c r="G415" s="93" t="b">
        <v>1</v>
      </c>
      <c r="H415" s="93"/>
      <c r="I415" s="90"/>
      <c r="J415" s="90"/>
      <c r="K415" s="90"/>
      <c r="L415" s="90"/>
      <c r="M415" s="90"/>
      <c r="N415" s="90"/>
      <c r="O415" s="90"/>
      <c r="P415" s="90"/>
      <c r="Q415" s="90"/>
      <c r="R415" s="90"/>
      <c r="S415" s="90"/>
      <c r="T415" s="90"/>
      <c r="U415" s="90"/>
      <c r="V415" s="90"/>
      <c r="W415" s="90"/>
      <c r="X415" s="90"/>
      <c r="Y415" s="90"/>
      <c r="Z415" s="90"/>
      <c r="AA415" s="90"/>
      <c r="AB415" s="90"/>
    </row>
    <row r="416" spans="1:28" ht="16">
      <c r="A416" s="130"/>
      <c r="B416" s="115" t="s">
        <v>1033</v>
      </c>
      <c r="C416" s="118">
        <f>SQRT(C415^2+C412^2)</f>
        <v>5.7675930782000115</v>
      </c>
      <c r="D416" s="119" t="s">
        <v>727</v>
      </c>
      <c r="E416" s="96"/>
      <c r="F416" s="88"/>
      <c r="G416" s="89" t="b">
        <v>1</v>
      </c>
      <c r="H416" s="89"/>
      <c r="I416" s="90"/>
      <c r="J416" s="90"/>
      <c r="K416" s="90"/>
      <c r="L416" s="90"/>
      <c r="M416" s="90"/>
      <c r="N416" s="90"/>
      <c r="O416" s="90"/>
      <c r="P416" s="90"/>
      <c r="Q416" s="90"/>
      <c r="R416" s="90"/>
      <c r="S416" s="90"/>
      <c r="T416" s="90"/>
      <c r="U416" s="90"/>
      <c r="V416" s="90"/>
      <c r="W416" s="90"/>
      <c r="X416" s="90"/>
      <c r="Y416" s="90"/>
      <c r="Z416" s="90"/>
      <c r="AA416" s="90"/>
      <c r="AB416" s="90"/>
    </row>
    <row r="417" spans="1:28" ht="16">
      <c r="A417" s="128" t="s">
        <v>697</v>
      </c>
      <c r="B417" s="91" t="s">
        <v>1213</v>
      </c>
      <c r="C417" s="97">
        <f>C375/$C$297</f>
        <v>1.0181087303300254</v>
      </c>
      <c r="D417" s="98" t="s">
        <v>727</v>
      </c>
      <c r="E417" s="99"/>
      <c r="F417" s="92"/>
      <c r="G417" s="93" t="b">
        <v>1</v>
      </c>
      <c r="H417" s="93"/>
      <c r="I417" s="90"/>
      <c r="J417" s="90"/>
      <c r="K417" s="90"/>
      <c r="L417" s="90"/>
      <c r="M417" s="90"/>
      <c r="N417" s="90"/>
      <c r="O417" s="90"/>
      <c r="P417" s="90"/>
      <c r="Q417" s="90"/>
      <c r="R417" s="90"/>
      <c r="S417" s="90"/>
      <c r="T417" s="90"/>
      <c r="U417" s="90"/>
      <c r="V417" s="90"/>
      <c r="W417" s="90"/>
      <c r="X417" s="90"/>
      <c r="Y417" s="90"/>
      <c r="Z417" s="90"/>
      <c r="AA417" s="90"/>
      <c r="AB417" s="90"/>
    </row>
    <row r="418" spans="1:28" ht="16">
      <c r="A418" s="125"/>
      <c r="B418" s="87" t="s">
        <v>1214</v>
      </c>
      <c r="C418" s="94">
        <f>C376/$C$297*1000</f>
        <v>5.4483333333333341</v>
      </c>
      <c r="D418" s="105" t="s">
        <v>1087</v>
      </c>
      <c r="E418" s="96"/>
      <c r="F418" s="88"/>
      <c r="G418" s="89" t="b">
        <v>1</v>
      </c>
      <c r="H418" s="89"/>
      <c r="I418" s="90"/>
      <c r="J418" s="90"/>
      <c r="K418" s="90"/>
      <c r="L418" s="90"/>
      <c r="M418" s="90"/>
      <c r="N418" s="90"/>
      <c r="O418" s="90"/>
      <c r="P418" s="90"/>
      <c r="Q418" s="90"/>
      <c r="R418" s="90"/>
      <c r="S418" s="90"/>
      <c r="T418" s="90"/>
      <c r="U418" s="90"/>
      <c r="V418" s="90"/>
      <c r="W418" s="90"/>
      <c r="X418" s="90"/>
      <c r="Y418" s="90"/>
      <c r="Z418" s="90"/>
      <c r="AA418" s="90"/>
      <c r="AB418" s="90"/>
    </row>
    <row r="419" spans="1:28" ht="16">
      <c r="A419" s="125"/>
      <c r="B419" s="91" t="s">
        <v>1215</v>
      </c>
      <c r="C419" s="97">
        <v>0.3</v>
      </c>
      <c r="D419" s="98" t="s">
        <v>727</v>
      </c>
      <c r="E419" s="99"/>
      <c r="F419" s="92"/>
      <c r="G419" s="93" t="b">
        <v>0</v>
      </c>
      <c r="H419" s="93"/>
      <c r="I419" s="90"/>
      <c r="J419" s="90"/>
      <c r="K419" s="90"/>
      <c r="L419" s="90"/>
      <c r="M419" s="90"/>
      <c r="N419" s="90"/>
      <c r="O419" s="90"/>
      <c r="P419" s="90"/>
      <c r="Q419" s="90"/>
      <c r="R419" s="90"/>
      <c r="S419" s="90"/>
      <c r="T419" s="90"/>
      <c r="U419" s="90"/>
      <c r="V419" s="90"/>
      <c r="W419" s="90"/>
      <c r="X419" s="90"/>
      <c r="Y419" s="90"/>
      <c r="Z419" s="90"/>
      <c r="AA419" s="90"/>
      <c r="AB419" s="90"/>
    </row>
    <row r="420" spans="1:28" ht="16">
      <c r="A420" s="125"/>
      <c r="B420" s="87" t="s">
        <v>1216</v>
      </c>
      <c r="C420" s="94">
        <f>C419+C418/1000</f>
        <v>0.30544833333333332</v>
      </c>
      <c r="D420" s="95" t="s">
        <v>727</v>
      </c>
      <c r="E420" s="96"/>
      <c r="F420" s="88"/>
      <c r="G420" s="89" t="b">
        <v>1</v>
      </c>
      <c r="H420" s="89"/>
      <c r="I420" s="90"/>
      <c r="J420" s="90"/>
      <c r="K420" s="90"/>
      <c r="L420" s="90"/>
      <c r="M420" s="90"/>
      <c r="N420" s="90"/>
      <c r="O420" s="90"/>
      <c r="P420" s="90"/>
      <c r="Q420" s="90"/>
      <c r="R420" s="90"/>
      <c r="S420" s="90"/>
      <c r="T420" s="90"/>
      <c r="U420" s="90"/>
      <c r="V420" s="90"/>
      <c r="W420" s="90"/>
      <c r="X420" s="90"/>
      <c r="Y420" s="90"/>
      <c r="Z420" s="90"/>
      <c r="AA420" s="90"/>
      <c r="AB420" s="90"/>
    </row>
    <row r="421" spans="1:28" ht="16">
      <c r="A421" s="125"/>
      <c r="B421" s="91" t="s">
        <v>1217</v>
      </c>
      <c r="C421" s="97">
        <f>C379/$C$297</f>
        <v>1.0629412359628954</v>
      </c>
      <c r="D421" s="98" t="s">
        <v>727</v>
      </c>
      <c r="E421" s="99"/>
      <c r="F421" s="92"/>
      <c r="G421" s="93" t="b">
        <v>1</v>
      </c>
      <c r="H421" s="93"/>
      <c r="I421" s="90"/>
      <c r="J421" s="90"/>
      <c r="K421" s="90"/>
      <c r="L421" s="90"/>
      <c r="M421" s="90"/>
      <c r="N421" s="90"/>
      <c r="O421" s="90"/>
      <c r="P421" s="90"/>
      <c r="Q421" s="90"/>
      <c r="R421" s="90"/>
      <c r="S421" s="90"/>
      <c r="T421" s="90"/>
      <c r="U421" s="90"/>
      <c r="V421" s="90"/>
      <c r="W421" s="90"/>
      <c r="X421" s="90"/>
      <c r="Y421" s="90"/>
      <c r="Z421" s="90"/>
      <c r="AA421" s="90"/>
      <c r="AB421" s="90"/>
    </row>
    <row r="422" spans="1:28" ht="16">
      <c r="A422" s="125"/>
      <c r="B422" s="87" t="s">
        <v>1218</v>
      </c>
      <c r="C422" s="94">
        <f t="shared" ref="C422:C424" si="17">C398</f>
        <v>111.79163561104448</v>
      </c>
      <c r="D422" s="95"/>
      <c r="E422" s="96"/>
      <c r="F422" s="88"/>
      <c r="G422" s="89" t="b">
        <v>1</v>
      </c>
      <c r="H422" s="89"/>
      <c r="I422" s="90"/>
      <c r="J422" s="90"/>
      <c r="K422" s="90"/>
      <c r="L422" s="90"/>
      <c r="M422" s="90"/>
      <c r="N422" s="90"/>
      <c r="O422" s="90"/>
      <c r="P422" s="90"/>
      <c r="Q422" s="90"/>
      <c r="R422" s="90"/>
      <c r="S422" s="90"/>
      <c r="T422" s="90"/>
      <c r="U422" s="90"/>
      <c r="V422" s="90"/>
      <c r="W422" s="90"/>
      <c r="X422" s="90"/>
      <c r="Y422" s="90"/>
      <c r="Z422" s="90"/>
      <c r="AA422" s="90"/>
      <c r="AB422" s="90"/>
    </row>
    <row r="423" spans="1:28" ht="16">
      <c r="A423" s="125"/>
      <c r="B423" s="91" t="s">
        <v>1219</v>
      </c>
      <c r="C423" s="97">
        <f t="shared" si="17"/>
        <v>2.0304347826086961</v>
      </c>
      <c r="D423" s="98"/>
      <c r="E423" s="99"/>
      <c r="F423" s="92"/>
      <c r="G423" s="93" t="b">
        <v>1</v>
      </c>
      <c r="H423" s="93"/>
      <c r="I423" s="90"/>
      <c r="J423" s="90"/>
      <c r="K423" s="90"/>
      <c r="L423" s="90"/>
      <c r="M423" s="90"/>
      <c r="N423" s="90"/>
      <c r="O423" s="90"/>
      <c r="P423" s="90"/>
      <c r="Q423" s="90"/>
      <c r="R423" s="90"/>
      <c r="S423" s="90"/>
      <c r="T423" s="90"/>
      <c r="U423" s="90"/>
      <c r="V423" s="90"/>
      <c r="W423" s="90"/>
      <c r="X423" s="90"/>
      <c r="Y423" s="90"/>
      <c r="Z423" s="90"/>
      <c r="AA423" s="90"/>
      <c r="AB423" s="90"/>
    </row>
    <row r="424" spans="1:28" ht="16">
      <c r="A424" s="125"/>
      <c r="B424" s="87" t="s">
        <v>1220</v>
      </c>
      <c r="C424" s="94">
        <f t="shared" si="17"/>
        <v>57.731982405519886</v>
      </c>
      <c r="D424" s="95"/>
      <c r="E424" s="96"/>
      <c r="F424" s="88"/>
      <c r="G424" s="89" t="b">
        <v>1</v>
      </c>
      <c r="H424" s="89"/>
      <c r="I424" s="90"/>
      <c r="J424" s="90"/>
      <c r="K424" s="90"/>
      <c r="L424" s="90"/>
      <c r="M424" s="90"/>
      <c r="N424" s="90"/>
      <c r="O424" s="90"/>
      <c r="P424" s="90"/>
      <c r="Q424" s="90"/>
      <c r="R424" s="90"/>
      <c r="S424" s="90"/>
      <c r="T424" s="90"/>
      <c r="U424" s="90"/>
      <c r="V424" s="90"/>
      <c r="W424" s="90"/>
      <c r="X424" s="90"/>
      <c r="Y424" s="90"/>
      <c r="Z424" s="90"/>
      <c r="AA424" s="90"/>
      <c r="AB424" s="90"/>
    </row>
    <row r="425" spans="1:28" ht="16">
      <c r="A425" s="125"/>
      <c r="B425" s="91" t="s">
        <v>1221</v>
      </c>
      <c r="C425" s="97">
        <f>DEGREES(2*C422*C288/1000000/C417)</f>
        <v>2.0626480624709638</v>
      </c>
      <c r="D425" s="98" t="s">
        <v>752</v>
      </c>
      <c r="E425" s="99"/>
      <c r="F425" s="92"/>
      <c r="G425" s="93" t="b">
        <v>1</v>
      </c>
      <c r="H425" s="93"/>
      <c r="I425" s="90"/>
      <c r="J425" s="90"/>
      <c r="K425" s="90"/>
      <c r="L425" s="90"/>
      <c r="M425" s="90"/>
      <c r="N425" s="90"/>
      <c r="O425" s="90"/>
      <c r="P425" s="90"/>
      <c r="Q425" s="90"/>
      <c r="R425" s="90"/>
      <c r="S425" s="90"/>
      <c r="T425" s="90"/>
      <c r="U425" s="90"/>
      <c r="V425" s="90"/>
      <c r="W425" s="90"/>
      <c r="X425" s="90"/>
      <c r="Y425" s="90"/>
      <c r="Z425" s="90"/>
      <c r="AA425" s="90"/>
      <c r="AB425" s="90"/>
    </row>
    <row r="426" spans="1:28" ht="16">
      <c r="A426" s="125"/>
      <c r="B426" s="87" t="s">
        <v>1222</v>
      </c>
      <c r="C426" s="94">
        <f>DEGREES(2*C423*C288/1000000/(C418/1000))</f>
        <v>7.0006015331513387</v>
      </c>
      <c r="D426" s="95" t="s">
        <v>752</v>
      </c>
      <c r="E426" s="96"/>
      <c r="F426" s="88"/>
      <c r="G426" s="89" t="b">
        <v>1</v>
      </c>
      <c r="H426" s="89"/>
      <c r="I426" s="90"/>
      <c r="J426" s="90"/>
      <c r="K426" s="90"/>
      <c r="L426" s="90"/>
      <c r="M426" s="90"/>
      <c r="N426" s="90"/>
      <c r="O426" s="90"/>
      <c r="P426" s="90"/>
      <c r="Q426" s="90"/>
      <c r="R426" s="90"/>
      <c r="S426" s="90"/>
      <c r="T426" s="90"/>
      <c r="U426" s="90"/>
      <c r="V426" s="90"/>
      <c r="W426" s="90"/>
      <c r="X426" s="90"/>
      <c r="Y426" s="90"/>
      <c r="Z426" s="90"/>
      <c r="AA426" s="90"/>
      <c r="AB426" s="90"/>
    </row>
    <row r="427" spans="1:28" ht="16">
      <c r="A427" s="125"/>
      <c r="B427" s="91" t="s">
        <v>1223</v>
      </c>
      <c r="C427" s="97">
        <f>DEGREES(2*C424*C288/1000000/C419)</f>
        <v>3.6149741850517629</v>
      </c>
      <c r="D427" s="98" t="s">
        <v>752</v>
      </c>
      <c r="E427" s="99"/>
      <c r="F427" s="92"/>
      <c r="G427" s="93" t="b">
        <v>1</v>
      </c>
      <c r="H427" s="93"/>
      <c r="I427" s="90"/>
      <c r="J427" s="90"/>
      <c r="K427" s="90"/>
      <c r="L427" s="90"/>
      <c r="M427" s="90"/>
      <c r="N427" s="90"/>
      <c r="O427" s="90"/>
      <c r="P427" s="90"/>
      <c r="Q427" s="90"/>
      <c r="R427" s="90"/>
      <c r="S427" s="90"/>
      <c r="T427" s="90"/>
      <c r="U427" s="90"/>
      <c r="V427" s="90"/>
      <c r="W427" s="90"/>
      <c r="X427" s="90"/>
      <c r="Y427" s="90"/>
      <c r="Z427" s="90"/>
      <c r="AA427" s="90"/>
      <c r="AB427" s="90"/>
    </row>
    <row r="428" spans="1:28" ht="16">
      <c r="A428" s="130"/>
      <c r="B428" s="115" t="s">
        <v>1224</v>
      </c>
      <c r="C428" s="123">
        <f>SIN(RADIANS(C426))</f>
        <v>0.12187976387651003</v>
      </c>
      <c r="D428" s="95"/>
      <c r="E428" s="96"/>
      <c r="F428" s="88"/>
      <c r="G428" s="89" t="b">
        <v>0</v>
      </c>
      <c r="H428" s="89"/>
      <c r="I428" s="90"/>
      <c r="J428" s="90"/>
      <c r="K428" s="90"/>
      <c r="L428" s="90"/>
      <c r="M428" s="90"/>
      <c r="N428" s="90"/>
      <c r="O428" s="90"/>
      <c r="P428" s="90"/>
      <c r="Q428" s="90"/>
      <c r="R428" s="90"/>
      <c r="S428" s="90"/>
      <c r="T428" s="90"/>
      <c r="U428" s="90"/>
      <c r="V428" s="90"/>
      <c r="W428" s="90"/>
      <c r="X428" s="90"/>
      <c r="Y428" s="90"/>
      <c r="Z428" s="90"/>
      <c r="AA428" s="90"/>
      <c r="AB428" s="90"/>
    </row>
    <row r="429" spans="1:28" ht="16">
      <c r="A429" s="128" t="s">
        <v>1225</v>
      </c>
      <c r="B429" s="91" t="s">
        <v>1226</v>
      </c>
      <c r="C429" s="97">
        <v>0</v>
      </c>
      <c r="D429" s="98" t="s">
        <v>727</v>
      </c>
      <c r="E429" s="99"/>
      <c r="F429" s="92"/>
      <c r="G429" s="93" t="b">
        <v>0</v>
      </c>
      <c r="H429" s="93"/>
      <c r="I429" s="90"/>
      <c r="J429" s="90"/>
      <c r="K429" s="90"/>
      <c r="L429" s="90"/>
      <c r="M429" s="90"/>
      <c r="N429" s="90"/>
      <c r="O429" s="90"/>
      <c r="P429" s="90"/>
      <c r="Q429" s="90"/>
      <c r="R429" s="90"/>
      <c r="S429" s="90"/>
      <c r="T429" s="90"/>
      <c r="U429" s="90"/>
      <c r="V429" s="90"/>
      <c r="W429" s="90"/>
      <c r="X429" s="90"/>
      <c r="Y429" s="90"/>
      <c r="Z429" s="90"/>
      <c r="AA429" s="90"/>
      <c r="AB429" s="90"/>
    </row>
    <row r="430" spans="1:28" ht="16">
      <c r="A430" s="125"/>
      <c r="B430" s="87" t="s">
        <v>1227</v>
      </c>
      <c r="C430" s="94">
        <f>C429+C301</f>
        <v>371.65</v>
      </c>
      <c r="D430" s="95" t="s">
        <v>727</v>
      </c>
      <c r="E430" s="96"/>
      <c r="F430" s="88"/>
      <c r="G430" s="89" t="b">
        <v>1</v>
      </c>
      <c r="H430" s="89"/>
      <c r="I430" s="90"/>
      <c r="J430" s="90"/>
      <c r="K430" s="90"/>
      <c r="L430" s="90"/>
      <c r="M430" s="90"/>
      <c r="N430" s="90"/>
      <c r="O430" s="90"/>
      <c r="P430" s="90"/>
      <c r="Q430" s="90"/>
      <c r="R430" s="90"/>
      <c r="S430" s="90"/>
      <c r="T430" s="90"/>
      <c r="U430" s="90"/>
      <c r="V430" s="90"/>
      <c r="W430" s="90"/>
      <c r="X430" s="90"/>
      <c r="Y430" s="90"/>
      <c r="Z430" s="90"/>
      <c r="AA430" s="90"/>
      <c r="AB430" s="90"/>
    </row>
    <row r="431" spans="1:28" ht="16">
      <c r="A431" s="125"/>
      <c r="B431" s="91" t="s">
        <v>1228</v>
      </c>
      <c r="C431" s="97">
        <f>C430</f>
        <v>371.65</v>
      </c>
      <c r="D431" s="98" t="s">
        <v>727</v>
      </c>
      <c r="E431" s="99"/>
      <c r="F431" s="92"/>
      <c r="G431" s="93" t="b">
        <v>1</v>
      </c>
      <c r="H431" s="93"/>
      <c r="I431" s="90"/>
      <c r="J431" s="90"/>
      <c r="K431" s="90"/>
      <c r="L431" s="90"/>
      <c r="M431" s="90"/>
      <c r="N431" s="90"/>
      <c r="O431" s="90"/>
      <c r="P431" s="90"/>
      <c r="Q431" s="90"/>
      <c r="R431" s="90"/>
      <c r="S431" s="90"/>
      <c r="T431" s="90"/>
      <c r="U431" s="90"/>
      <c r="V431" s="90"/>
      <c r="W431" s="90"/>
      <c r="X431" s="90"/>
      <c r="Y431" s="90"/>
      <c r="Z431" s="90"/>
      <c r="AA431" s="90"/>
      <c r="AB431" s="90"/>
    </row>
    <row r="432" spans="1:28" ht="16">
      <c r="A432" s="125"/>
      <c r="B432" s="87" t="s">
        <v>1229</v>
      </c>
      <c r="C432" s="94">
        <f>C431+C284</f>
        <v>376.95</v>
      </c>
      <c r="D432" s="95" t="s">
        <v>727</v>
      </c>
      <c r="E432" s="96"/>
      <c r="F432" s="88"/>
      <c r="G432" s="89" t="b">
        <v>1</v>
      </c>
      <c r="H432" s="89"/>
      <c r="I432" s="90"/>
      <c r="J432" s="90"/>
      <c r="K432" s="90"/>
      <c r="L432" s="90"/>
      <c r="M432" s="90"/>
      <c r="N432" s="90"/>
      <c r="O432" s="90"/>
      <c r="P432" s="90"/>
      <c r="Q432" s="90"/>
      <c r="R432" s="90"/>
      <c r="S432" s="90"/>
      <c r="T432" s="90"/>
      <c r="U432" s="90"/>
      <c r="V432" s="90"/>
      <c r="W432" s="90"/>
      <c r="X432" s="90"/>
      <c r="Y432" s="90"/>
      <c r="Z432" s="90"/>
      <c r="AA432" s="90"/>
      <c r="AB432" s="90"/>
    </row>
    <row r="433" spans="1:28" ht="16">
      <c r="A433" s="125"/>
      <c r="B433" s="91" t="s">
        <v>1230</v>
      </c>
      <c r="C433" s="97">
        <f>C432+C283</f>
        <v>378.75</v>
      </c>
      <c r="D433" s="98" t="s">
        <v>727</v>
      </c>
      <c r="E433" s="99"/>
      <c r="F433" s="92"/>
      <c r="G433" s="93" t="b">
        <v>1</v>
      </c>
      <c r="H433" s="93"/>
      <c r="I433" s="90"/>
      <c r="J433" s="90"/>
      <c r="K433" s="90"/>
      <c r="L433" s="90"/>
      <c r="M433" s="90"/>
      <c r="N433" s="90"/>
      <c r="O433" s="90"/>
      <c r="P433" s="90"/>
      <c r="Q433" s="90"/>
      <c r="R433" s="90"/>
      <c r="S433" s="90"/>
      <c r="T433" s="90"/>
      <c r="U433" s="90"/>
      <c r="V433" s="90"/>
      <c r="W433" s="90"/>
      <c r="X433" s="90"/>
      <c r="Y433" s="90"/>
      <c r="Z433" s="90"/>
      <c r="AA433" s="90"/>
      <c r="AB433" s="90"/>
    </row>
    <row r="434" spans="1:28" ht="16">
      <c r="A434" s="130"/>
      <c r="B434" s="87" t="s">
        <v>1282</v>
      </c>
      <c r="C434" s="94">
        <f>C433</f>
        <v>378.75</v>
      </c>
      <c r="D434" s="95"/>
      <c r="E434" s="96"/>
      <c r="F434" s="88"/>
      <c r="G434" s="89" t="b">
        <v>0</v>
      </c>
      <c r="H434" s="89"/>
      <c r="I434" s="90"/>
      <c r="J434" s="90"/>
      <c r="K434" s="90"/>
      <c r="L434" s="90"/>
      <c r="M434" s="90"/>
      <c r="N434" s="90"/>
      <c r="O434" s="90"/>
      <c r="P434" s="90"/>
      <c r="Q434" s="90"/>
      <c r="R434" s="90"/>
      <c r="S434" s="90"/>
      <c r="T434" s="90"/>
      <c r="U434" s="90"/>
      <c r="V434" s="90"/>
      <c r="W434" s="90"/>
      <c r="X434" s="90"/>
      <c r="Y434" s="90"/>
      <c r="Z434" s="90"/>
      <c r="AA434" s="90"/>
      <c r="AB434" s="90"/>
    </row>
    <row r="435" spans="1:28" ht="16">
      <c r="A435" s="128" t="s">
        <v>1232</v>
      </c>
      <c r="B435" s="91" t="s">
        <v>1233</v>
      </c>
      <c r="C435" s="97">
        <f>C436</f>
        <v>-11.677</v>
      </c>
      <c r="D435" s="98"/>
      <c r="E435" s="99"/>
      <c r="F435" s="92"/>
      <c r="G435" s="93" t="b">
        <v>0</v>
      </c>
      <c r="H435" s="93"/>
      <c r="I435" s="90"/>
      <c r="J435" s="90"/>
      <c r="K435" s="90"/>
      <c r="L435" s="90"/>
      <c r="M435" s="90"/>
      <c r="N435" s="90"/>
      <c r="O435" s="90"/>
      <c r="P435" s="90"/>
      <c r="Q435" s="90"/>
      <c r="R435" s="90"/>
      <c r="S435" s="90"/>
      <c r="T435" s="90"/>
      <c r="U435" s="90"/>
      <c r="V435" s="90"/>
      <c r="W435" s="90"/>
      <c r="X435" s="90"/>
      <c r="Y435" s="90"/>
      <c r="Z435" s="90"/>
      <c r="AA435" s="90"/>
      <c r="AB435" s="90"/>
    </row>
    <row r="436" spans="1:28" ht="16">
      <c r="A436" s="125"/>
      <c r="B436" s="87" t="s">
        <v>1234</v>
      </c>
      <c r="C436" s="94">
        <f>C437-11.677</f>
        <v>-11.677</v>
      </c>
      <c r="D436" s="95" t="s">
        <v>727</v>
      </c>
      <c r="E436" s="96"/>
      <c r="F436" s="88"/>
      <c r="G436" s="89" t="b">
        <v>0</v>
      </c>
      <c r="H436" s="89"/>
      <c r="I436" s="90"/>
      <c r="J436" s="90"/>
      <c r="K436" s="90"/>
      <c r="L436" s="90"/>
      <c r="M436" s="90"/>
      <c r="N436" s="90"/>
      <c r="O436" s="90"/>
      <c r="P436" s="90"/>
      <c r="Q436" s="90"/>
      <c r="R436" s="90"/>
      <c r="S436" s="90"/>
      <c r="T436" s="90"/>
      <c r="U436" s="90"/>
      <c r="V436" s="90"/>
      <c r="W436" s="90"/>
      <c r="X436" s="90"/>
      <c r="Y436" s="90"/>
      <c r="Z436" s="90"/>
      <c r="AA436" s="90"/>
      <c r="AB436" s="90"/>
    </row>
    <row r="437" spans="1:28" ht="16">
      <c r="A437" s="125"/>
      <c r="B437" s="91" t="s">
        <v>1235</v>
      </c>
      <c r="C437" s="97">
        <f>C438</f>
        <v>0</v>
      </c>
      <c r="D437" s="98" t="s">
        <v>727</v>
      </c>
      <c r="E437" s="99"/>
      <c r="F437" s="92"/>
      <c r="G437" s="93" t="b">
        <v>1</v>
      </c>
      <c r="H437" s="93"/>
      <c r="I437" s="90"/>
      <c r="J437" s="90"/>
      <c r="K437" s="90"/>
      <c r="L437" s="90"/>
      <c r="M437" s="90"/>
      <c r="N437" s="90"/>
      <c r="O437" s="90"/>
      <c r="P437" s="90"/>
      <c r="Q437" s="90"/>
      <c r="R437" s="90"/>
      <c r="S437" s="90"/>
      <c r="T437" s="90"/>
      <c r="U437" s="90"/>
      <c r="V437" s="90"/>
      <c r="W437" s="90"/>
      <c r="X437" s="90"/>
      <c r="Y437" s="90"/>
      <c r="Z437" s="90"/>
      <c r="AA437" s="90"/>
      <c r="AB437" s="90"/>
    </row>
    <row r="438" spans="1:28" ht="16">
      <c r="A438" s="125"/>
      <c r="B438" s="87" t="s">
        <v>1236</v>
      </c>
      <c r="C438" s="94">
        <v>0</v>
      </c>
      <c r="D438" s="95" t="s">
        <v>727</v>
      </c>
      <c r="E438" s="96"/>
      <c r="F438" s="88"/>
      <c r="G438" s="89" t="b">
        <v>0</v>
      </c>
      <c r="H438" s="89"/>
      <c r="I438" s="90"/>
      <c r="J438" s="90"/>
      <c r="K438" s="90"/>
      <c r="L438" s="90"/>
      <c r="M438" s="90"/>
      <c r="N438" s="90"/>
      <c r="O438" s="90"/>
      <c r="P438" s="90"/>
      <c r="Q438" s="90"/>
      <c r="R438" s="90"/>
      <c r="S438" s="90"/>
      <c r="T438" s="90"/>
      <c r="U438" s="90"/>
      <c r="V438" s="90"/>
      <c r="W438" s="90"/>
      <c r="X438" s="90"/>
      <c r="Y438" s="90"/>
      <c r="Z438" s="90"/>
      <c r="AA438" s="90"/>
      <c r="AB438" s="90"/>
    </row>
    <row r="439" spans="1:28" ht="16">
      <c r="A439" s="125"/>
      <c r="B439" s="91" t="s">
        <v>1237</v>
      </c>
      <c r="C439" s="97">
        <f>C438+C317</f>
        <v>50</v>
      </c>
      <c r="D439" s="98" t="s">
        <v>727</v>
      </c>
      <c r="E439" s="99"/>
      <c r="F439" s="92"/>
      <c r="G439" s="93" t="b">
        <v>1</v>
      </c>
      <c r="H439" s="93"/>
      <c r="I439" s="90"/>
      <c r="J439" s="90"/>
      <c r="K439" s="90"/>
      <c r="L439" s="90"/>
      <c r="M439" s="90"/>
      <c r="N439" s="90"/>
      <c r="O439" s="90"/>
      <c r="P439" s="90"/>
      <c r="Q439" s="90"/>
      <c r="R439" s="90"/>
      <c r="S439" s="90"/>
      <c r="T439" s="90"/>
      <c r="U439" s="90"/>
      <c r="V439" s="90"/>
      <c r="W439" s="90"/>
      <c r="X439" s="90"/>
      <c r="Y439" s="90"/>
      <c r="Z439" s="90"/>
      <c r="AA439" s="90"/>
      <c r="AB439" s="90"/>
    </row>
    <row r="440" spans="1:28" ht="16">
      <c r="A440" s="125"/>
      <c r="B440" s="87" t="s">
        <v>1238</v>
      </c>
      <c r="C440" s="94">
        <f>C439+C274</f>
        <v>57.620381999999999</v>
      </c>
      <c r="D440" s="95" t="s">
        <v>727</v>
      </c>
      <c r="E440" s="96"/>
      <c r="F440" s="88"/>
      <c r="G440" s="89" t="b">
        <v>1</v>
      </c>
      <c r="H440" s="89"/>
      <c r="I440" s="90"/>
      <c r="J440" s="90"/>
      <c r="K440" s="90"/>
      <c r="L440" s="90"/>
      <c r="M440" s="90"/>
      <c r="N440" s="90"/>
      <c r="O440" s="90"/>
      <c r="P440" s="90"/>
      <c r="Q440" s="90"/>
      <c r="R440" s="90"/>
      <c r="S440" s="90"/>
      <c r="T440" s="90"/>
      <c r="U440" s="90"/>
      <c r="V440" s="90"/>
      <c r="W440" s="90"/>
      <c r="X440" s="90"/>
      <c r="Y440" s="90"/>
      <c r="Z440" s="90"/>
      <c r="AA440" s="90"/>
      <c r="AB440" s="90"/>
    </row>
    <row r="441" spans="1:28" ht="16">
      <c r="A441" s="125"/>
      <c r="B441" s="91" t="s">
        <v>1239</v>
      </c>
      <c r="C441" s="97">
        <f>C440</f>
        <v>57.620381999999999</v>
      </c>
      <c r="D441" s="98" t="s">
        <v>727</v>
      </c>
      <c r="E441" s="99"/>
      <c r="F441" s="92"/>
      <c r="G441" s="93" t="b">
        <v>1</v>
      </c>
      <c r="H441" s="93"/>
      <c r="I441" s="90"/>
      <c r="J441" s="90"/>
      <c r="K441" s="90"/>
      <c r="L441" s="90"/>
      <c r="M441" s="90"/>
      <c r="N441" s="90"/>
      <c r="O441" s="90"/>
      <c r="P441" s="90"/>
      <c r="Q441" s="90"/>
      <c r="R441" s="90"/>
      <c r="S441" s="90"/>
      <c r="T441" s="90"/>
      <c r="U441" s="90"/>
      <c r="V441" s="90"/>
      <c r="W441" s="90"/>
      <c r="X441" s="90"/>
      <c r="Y441" s="90"/>
      <c r="Z441" s="90"/>
      <c r="AA441" s="90"/>
      <c r="AB441" s="90"/>
    </row>
    <row r="442" spans="1:28" ht="16">
      <c r="A442" s="125"/>
      <c r="B442" s="87" t="s">
        <v>1240</v>
      </c>
      <c r="C442" s="94">
        <f>C440+C326</f>
        <v>132.62038200000001</v>
      </c>
      <c r="D442" s="95" t="s">
        <v>727</v>
      </c>
      <c r="E442" s="96"/>
      <c r="F442" s="88"/>
      <c r="G442" s="89" t="b">
        <v>1</v>
      </c>
      <c r="H442" s="89"/>
      <c r="I442" s="90"/>
      <c r="J442" s="90"/>
      <c r="K442" s="90"/>
      <c r="L442" s="90"/>
      <c r="M442" s="90"/>
      <c r="N442" s="90"/>
      <c r="O442" s="90"/>
      <c r="P442" s="90"/>
      <c r="Q442" s="90"/>
      <c r="R442" s="90"/>
      <c r="S442" s="90"/>
      <c r="T442" s="90"/>
      <c r="U442" s="90"/>
      <c r="V442" s="90"/>
      <c r="W442" s="90"/>
      <c r="X442" s="90"/>
      <c r="Y442" s="90"/>
      <c r="Z442" s="90"/>
      <c r="AA442" s="90"/>
      <c r="AB442" s="90"/>
    </row>
    <row r="443" spans="1:28" ht="16">
      <c r="A443" s="125"/>
      <c r="B443" s="91" t="s">
        <v>1241</v>
      </c>
      <c r="C443" s="97">
        <f>C442+C272</f>
        <v>136.62038200000001</v>
      </c>
      <c r="D443" s="98" t="s">
        <v>727</v>
      </c>
      <c r="E443" s="99"/>
      <c r="F443" s="92"/>
      <c r="G443" s="93" t="b">
        <v>1</v>
      </c>
      <c r="H443" s="93"/>
      <c r="I443" s="90"/>
      <c r="J443" s="90"/>
      <c r="K443" s="90"/>
      <c r="L443" s="90"/>
      <c r="M443" s="90"/>
      <c r="N443" s="90"/>
      <c r="O443" s="90"/>
      <c r="P443" s="90"/>
      <c r="Q443" s="90"/>
      <c r="R443" s="90"/>
      <c r="S443" s="90"/>
      <c r="T443" s="90"/>
      <c r="U443" s="90"/>
      <c r="V443" s="90"/>
      <c r="W443" s="90"/>
      <c r="X443" s="90"/>
      <c r="Y443" s="90"/>
      <c r="Z443" s="90"/>
      <c r="AA443" s="90"/>
      <c r="AB443" s="90"/>
    </row>
    <row r="444" spans="1:28" ht="16">
      <c r="A444" s="125"/>
      <c r="B444" s="87" t="s">
        <v>1242</v>
      </c>
      <c r="C444" s="94">
        <f>C443+C270</f>
        <v>209.52038200000001</v>
      </c>
      <c r="D444" s="95" t="s">
        <v>727</v>
      </c>
      <c r="E444" s="96"/>
      <c r="F444" s="88"/>
      <c r="G444" s="89" t="b">
        <v>1</v>
      </c>
      <c r="H444" s="89"/>
      <c r="I444" s="90"/>
      <c r="J444" s="90"/>
      <c r="K444" s="90"/>
      <c r="L444" s="90"/>
      <c r="M444" s="90"/>
      <c r="N444" s="90"/>
      <c r="O444" s="90"/>
      <c r="P444" s="90"/>
      <c r="Q444" s="90"/>
      <c r="R444" s="90"/>
      <c r="S444" s="90"/>
      <c r="T444" s="90"/>
      <c r="U444" s="90"/>
      <c r="V444" s="90"/>
      <c r="W444" s="90"/>
      <c r="X444" s="90"/>
      <c r="Y444" s="90"/>
      <c r="Z444" s="90"/>
      <c r="AA444" s="90"/>
      <c r="AB444" s="90"/>
    </row>
    <row r="445" spans="1:28" ht="16">
      <c r="A445" s="125"/>
      <c r="B445" s="91" t="s">
        <v>1243</v>
      </c>
      <c r="C445" s="97">
        <f>C444+C266</f>
        <v>306.72038200000003</v>
      </c>
      <c r="D445" s="98" t="s">
        <v>727</v>
      </c>
      <c r="E445" s="99"/>
      <c r="F445" s="92"/>
      <c r="G445" s="93" t="b">
        <v>1</v>
      </c>
      <c r="H445" s="93"/>
      <c r="I445" s="90"/>
      <c r="J445" s="90"/>
      <c r="K445" s="90"/>
      <c r="L445" s="90"/>
      <c r="M445" s="90"/>
      <c r="N445" s="90"/>
      <c r="O445" s="90"/>
      <c r="P445" s="90"/>
      <c r="Q445" s="90"/>
      <c r="R445" s="90"/>
      <c r="S445" s="90"/>
      <c r="T445" s="90"/>
      <c r="U445" s="90"/>
      <c r="V445" s="90"/>
      <c r="W445" s="90"/>
      <c r="X445" s="90"/>
      <c r="Y445" s="90"/>
      <c r="Z445" s="90"/>
      <c r="AA445" s="90"/>
      <c r="AB445" s="90"/>
    </row>
    <row r="446" spans="1:28" ht="16">
      <c r="A446" s="125"/>
      <c r="B446" s="87" t="s">
        <v>1244</v>
      </c>
      <c r="C446" s="94">
        <f>C445+C268</f>
        <v>313.22038200000003</v>
      </c>
      <c r="D446" s="95" t="s">
        <v>727</v>
      </c>
      <c r="E446" s="96"/>
      <c r="F446" s="88"/>
      <c r="G446" s="89" t="b">
        <v>1</v>
      </c>
      <c r="H446" s="89"/>
      <c r="I446" s="90"/>
      <c r="J446" s="90"/>
      <c r="K446" s="90"/>
      <c r="L446" s="90"/>
      <c r="M446" s="90"/>
      <c r="N446" s="90"/>
      <c r="O446" s="90"/>
      <c r="P446" s="90"/>
      <c r="Q446" s="90"/>
      <c r="R446" s="90"/>
      <c r="S446" s="90"/>
      <c r="T446" s="90"/>
      <c r="U446" s="90"/>
      <c r="V446" s="90"/>
      <c r="W446" s="90"/>
      <c r="X446" s="90"/>
      <c r="Y446" s="90"/>
      <c r="Z446" s="90"/>
      <c r="AA446" s="90"/>
      <c r="AB446" s="90"/>
    </row>
    <row r="447" spans="1:28" ht="16">
      <c r="A447" s="125"/>
      <c r="B447" s="91" t="s">
        <v>1245</v>
      </c>
      <c r="C447" s="97">
        <f>C446+C350</f>
        <v>413.22038200000003</v>
      </c>
      <c r="D447" s="98" t="s">
        <v>727</v>
      </c>
      <c r="E447" s="99"/>
      <c r="F447" s="92"/>
      <c r="G447" s="93" t="b">
        <v>1</v>
      </c>
      <c r="H447" s="93"/>
      <c r="I447" s="90"/>
      <c r="J447" s="90"/>
      <c r="K447" s="90"/>
      <c r="L447" s="90"/>
      <c r="M447" s="90"/>
      <c r="N447" s="90"/>
      <c r="O447" s="90"/>
      <c r="P447" s="90"/>
      <c r="Q447" s="90"/>
      <c r="R447" s="90"/>
      <c r="S447" s="90"/>
      <c r="T447" s="90"/>
      <c r="U447" s="90"/>
      <c r="V447" s="90"/>
      <c r="W447" s="90"/>
      <c r="X447" s="90"/>
      <c r="Y447" s="90"/>
      <c r="Z447" s="90"/>
      <c r="AA447" s="90"/>
      <c r="AB447" s="90"/>
    </row>
    <row r="448" spans="1:28" ht="16">
      <c r="A448" s="125"/>
      <c r="B448" s="87" t="s">
        <v>1246</v>
      </c>
      <c r="C448" s="94">
        <f>C447</f>
        <v>413.22038200000003</v>
      </c>
      <c r="D448" s="95" t="s">
        <v>727</v>
      </c>
      <c r="E448" s="96"/>
      <c r="F448" s="88"/>
      <c r="G448" s="89" t="b">
        <v>1</v>
      </c>
      <c r="H448" s="89"/>
      <c r="I448" s="90"/>
      <c r="J448" s="90"/>
      <c r="K448" s="90"/>
      <c r="L448" s="90"/>
      <c r="M448" s="90"/>
      <c r="N448" s="90"/>
      <c r="O448" s="90"/>
      <c r="P448" s="90"/>
      <c r="Q448" s="90"/>
      <c r="R448" s="90"/>
      <c r="S448" s="90"/>
      <c r="T448" s="90"/>
      <c r="U448" s="90"/>
      <c r="V448" s="90"/>
      <c r="W448" s="90"/>
      <c r="X448" s="90"/>
      <c r="Y448" s="90"/>
      <c r="Z448" s="90"/>
      <c r="AA448" s="90"/>
      <c r="AB448" s="90"/>
    </row>
    <row r="449" spans="1:28" ht="16">
      <c r="A449" s="125"/>
      <c r="B449" s="91" t="s">
        <v>1247</v>
      </c>
      <c r="C449" s="97">
        <f>C447+C359</f>
        <v>471.22038200000003</v>
      </c>
      <c r="D449" s="98" t="s">
        <v>727</v>
      </c>
      <c r="E449" s="99"/>
      <c r="F449" s="92"/>
      <c r="G449" s="93" t="b">
        <v>1</v>
      </c>
      <c r="H449" s="93"/>
      <c r="I449" s="90"/>
      <c r="J449" s="90"/>
      <c r="K449" s="90"/>
      <c r="L449" s="90"/>
      <c r="M449" s="90"/>
      <c r="N449" s="90"/>
      <c r="O449" s="90"/>
      <c r="P449" s="90"/>
      <c r="Q449" s="90"/>
      <c r="R449" s="90"/>
      <c r="S449" s="90"/>
      <c r="T449" s="90"/>
      <c r="U449" s="90"/>
      <c r="V449" s="90"/>
      <c r="W449" s="90"/>
      <c r="X449" s="90"/>
      <c r="Y449" s="90"/>
      <c r="Z449" s="90"/>
      <c r="AA449" s="90"/>
      <c r="AB449" s="90"/>
    </row>
    <row r="450" spans="1:28" ht="16">
      <c r="A450" s="125"/>
      <c r="B450" s="87" t="s">
        <v>1248</v>
      </c>
      <c r="C450" s="94">
        <f>C449+C264</f>
        <v>526.72038199999997</v>
      </c>
      <c r="D450" s="95" t="s">
        <v>727</v>
      </c>
      <c r="E450" s="96"/>
      <c r="F450" s="88"/>
      <c r="G450" s="89" t="b">
        <v>1</v>
      </c>
      <c r="H450" s="89"/>
      <c r="I450" s="90"/>
      <c r="J450" s="90"/>
      <c r="K450" s="90"/>
      <c r="L450" s="90"/>
      <c r="M450" s="90"/>
      <c r="N450" s="90"/>
      <c r="O450" s="90"/>
      <c r="P450" s="90"/>
      <c r="Q450" s="90"/>
      <c r="R450" s="90"/>
      <c r="S450" s="90"/>
      <c r="T450" s="90"/>
      <c r="U450" s="90"/>
      <c r="V450" s="90"/>
      <c r="W450" s="90"/>
      <c r="X450" s="90"/>
      <c r="Y450" s="90"/>
      <c r="Z450" s="90"/>
      <c r="AA450" s="90"/>
      <c r="AB450" s="90"/>
    </row>
    <row r="451" spans="1:28" ht="16">
      <c r="A451" s="125"/>
      <c r="B451" s="91" t="s">
        <v>1249</v>
      </c>
      <c r="C451" s="97">
        <f>C450+C257</f>
        <v>586.72038199999997</v>
      </c>
      <c r="D451" s="98" t="s">
        <v>727</v>
      </c>
      <c r="E451" s="99"/>
      <c r="F451" s="92"/>
      <c r="G451" s="93" t="b">
        <v>0</v>
      </c>
      <c r="H451" s="93"/>
      <c r="I451" s="90"/>
      <c r="J451" s="90"/>
      <c r="K451" s="90"/>
      <c r="L451" s="90"/>
      <c r="M451" s="90"/>
      <c r="N451" s="90"/>
      <c r="O451" s="90"/>
      <c r="P451" s="90"/>
      <c r="Q451" s="90"/>
      <c r="R451" s="90"/>
      <c r="S451" s="90"/>
      <c r="T451" s="90"/>
      <c r="U451" s="90"/>
      <c r="V451" s="90"/>
      <c r="W451" s="90"/>
      <c r="X451" s="90"/>
      <c r="Y451" s="90"/>
      <c r="Z451" s="90"/>
      <c r="AA451" s="90"/>
      <c r="AB451" s="90"/>
    </row>
    <row r="452" spans="1:28" ht="16">
      <c r="A452" s="125"/>
      <c r="B452" s="87" t="s">
        <v>1250</v>
      </c>
      <c r="C452" s="94">
        <f>C451</f>
        <v>586.72038199999997</v>
      </c>
      <c r="D452" s="95" t="s">
        <v>727</v>
      </c>
      <c r="E452" s="96"/>
      <c r="F452" s="88"/>
      <c r="G452" s="89" t="b">
        <v>1</v>
      </c>
      <c r="H452" s="89"/>
      <c r="I452" s="90"/>
      <c r="J452" s="90"/>
      <c r="K452" s="90"/>
      <c r="L452" s="90"/>
      <c r="M452" s="90"/>
      <c r="N452" s="90"/>
      <c r="O452" s="90"/>
      <c r="P452" s="90"/>
      <c r="Q452" s="90"/>
      <c r="R452" s="90"/>
      <c r="S452" s="90"/>
      <c r="T452" s="90"/>
      <c r="U452" s="90"/>
      <c r="V452" s="90"/>
      <c r="W452" s="90"/>
      <c r="X452" s="90"/>
      <c r="Y452" s="90"/>
      <c r="Z452" s="90"/>
      <c r="AA452" s="90"/>
      <c r="AB452" s="90"/>
    </row>
    <row r="453" spans="1:28" ht="16">
      <c r="A453" s="125"/>
      <c r="B453" s="91" t="s">
        <v>1251</v>
      </c>
      <c r="C453" s="97">
        <f>C451+C252</f>
        <v>734.72038199999997</v>
      </c>
      <c r="D453" s="98" t="s">
        <v>727</v>
      </c>
      <c r="E453" s="99"/>
      <c r="F453" s="92"/>
      <c r="G453" s="93" t="b">
        <v>1</v>
      </c>
      <c r="H453" s="93"/>
      <c r="I453" s="90"/>
      <c r="J453" s="90"/>
      <c r="K453" s="90"/>
      <c r="L453" s="90"/>
      <c r="M453" s="90"/>
      <c r="N453" s="90"/>
      <c r="O453" s="90"/>
      <c r="P453" s="90"/>
      <c r="Q453" s="90"/>
      <c r="R453" s="90"/>
      <c r="S453" s="90"/>
      <c r="T453" s="90"/>
      <c r="U453" s="90"/>
      <c r="V453" s="90"/>
      <c r="W453" s="90"/>
      <c r="X453" s="90"/>
      <c r="Y453" s="90"/>
      <c r="Z453" s="90"/>
      <c r="AA453" s="90"/>
      <c r="AB453" s="90"/>
    </row>
    <row r="454" spans="1:28" ht="16">
      <c r="A454" s="125"/>
      <c r="B454" s="87" t="s">
        <v>1252</v>
      </c>
      <c r="C454" s="94">
        <f>C453+C255</f>
        <v>762.72038199999997</v>
      </c>
      <c r="D454" s="95" t="s">
        <v>727</v>
      </c>
      <c r="E454" s="96"/>
      <c r="F454" s="88"/>
      <c r="G454" s="89" t="b">
        <v>1</v>
      </c>
      <c r="H454" s="89"/>
      <c r="I454" s="90"/>
      <c r="J454" s="90"/>
      <c r="K454" s="90"/>
      <c r="L454" s="90"/>
      <c r="M454" s="90"/>
      <c r="N454" s="90"/>
      <c r="O454" s="90"/>
      <c r="P454" s="90"/>
      <c r="Q454" s="90"/>
      <c r="R454" s="90"/>
      <c r="S454" s="90"/>
      <c r="T454" s="90"/>
      <c r="U454" s="90"/>
      <c r="V454" s="90"/>
      <c r="W454" s="90"/>
      <c r="X454" s="90"/>
      <c r="Y454" s="90"/>
      <c r="Z454" s="90"/>
      <c r="AA454" s="90"/>
      <c r="AB454" s="90"/>
    </row>
    <row r="455" spans="1:28" ht="16">
      <c r="A455" s="125"/>
      <c r="B455" s="91" t="s">
        <v>1253</v>
      </c>
      <c r="C455" s="97">
        <f>C454+C394</f>
        <v>922.72038199999997</v>
      </c>
      <c r="D455" s="98" t="s">
        <v>727</v>
      </c>
      <c r="E455" s="99"/>
      <c r="F455" s="92"/>
      <c r="G455" s="93" t="b">
        <v>1</v>
      </c>
      <c r="H455" s="93"/>
      <c r="I455" s="90"/>
      <c r="J455" s="90"/>
      <c r="K455" s="90"/>
      <c r="L455" s="90"/>
      <c r="M455" s="90"/>
      <c r="N455" s="90"/>
      <c r="O455" s="90"/>
      <c r="P455" s="90"/>
      <c r="Q455" s="90"/>
      <c r="R455" s="90"/>
      <c r="S455" s="90"/>
      <c r="T455" s="90"/>
      <c r="U455" s="90"/>
      <c r="V455" s="90"/>
      <c r="W455" s="90"/>
      <c r="X455" s="90"/>
      <c r="Y455" s="90"/>
      <c r="Z455" s="90"/>
      <c r="AA455" s="90"/>
      <c r="AB455" s="90"/>
    </row>
    <row r="456" spans="1:28" ht="16">
      <c r="A456" s="125"/>
      <c r="B456" s="87" t="s">
        <v>1254</v>
      </c>
      <c r="C456" s="94">
        <f>C455</f>
        <v>922.72038199999997</v>
      </c>
      <c r="D456" s="95" t="s">
        <v>727</v>
      </c>
      <c r="E456" s="96"/>
      <c r="F456" s="88"/>
      <c r="G456" s="89" t="b">
        <v>1</v>
      </c>
      <c r="H456" s="89"/>
      <c r="I456" s="90"/>
      <c r="J456" s="90"/>
      <c r="K456" s="90"/>
      <c r="L456" s="90"/>
      <c r="M456" s="90"/>
      <c r="N456" s="90"/>
      <c r="O456" s="90"/>
      <c r="P456" s="90"/>
      <c r="Q456" s="90"/>
      <c r="R456" s="90"/>
      <c r="S456" s="90"/>
      <c r="T456" s="90"/>
      <c r="U456" s="90"/>
      <c r="V456" s="90"/>
      <c r="W456" s="90"/>
      <c r="X456" s="90"/>
      <c r="Y456" s="90"/>
      <c r="Z456" s="90"/>
      <c r="AA456" s="90"/>
      <c r="AB456" s="90"/>
    </row>
    <row r="457" spans="1:28" ht="16">
      <c r="A457" s="125"/>
      <c r="B457" s="91" t="s">
        <v>1255</v>
      </c>
      <c r="C457" s="97">
        <f>C456+C241-C239</f>
        <v>962.78038199999992</v>
      </c>
      <c r="D457" s="98" t="s">
        <v>727</v>
      </c>
      <c r="E457" s="99"/>
      <c r="F457" s="92"/>
      <c r="G457" s="93" t="b">
        <v>1</v>
      </c>
      <c r="H457" s="93"/>
      <c r="I457" s="90"/>
      <c r="J457" s="90"/>
      <c r="K457" s="90"/>
      <c r="L457" s="90"/>
      <c r="M457" s="90"/>
      <c r="N457" s="90"/>
      <c r="O457" s="90"/>
      <c r="P457" s="90"/>
      <c r="Q457" s="90"/>
      <c r="R457" s="90"/>
      <c r="S457" s="90"/>
      <c r="T457" s="90"/>
      <c r="U457" s="90"/>
      <c r="V457" s="90"/>
      <c r="W457" s="90"/>
      <c r="X457" s="90"/>
      <c r="Y457" s="90"/>
      <c r="Z457" s="90"/>
      <c r="AA457" s="90"/>
      <c r="AB457" s="90"/>
    </row>
    <row r="458" spans="1:28" ht="16">
      <c r="A458" s="125"/>
      <c r="B458" s="87" t="s">
        <v>1256</v>
      </c>
      <c r="C458" s="94">
        <f>C457+C239</f>
        <v>982.78038199999992</v>
      </c>
      <c r="D458" s="95" t="s">
        <v>727</v>
      </c>
      <c r="E458" s="96"/>
      <c r="F458" s="88"/>
      <c r="G458" s="89" t="b">
        <v>1</v>
      </c>
      <c r="H458" s="89"/>
      <c r="I458" s="90"/>
      <c r="J458" s="90"/>
      <c r="K458" s="90"/>
      <c r="L458" s="90"/>
      <c r="M458" s="90"/>
      <c r="N458" s="90"/>
      <c r="O458" s="90"/>
      <c r="P458" s="90"/>
      <c r="Q458" s="90"/>
      <c r="R458" s="90"/>
      <c r="S458" s="90"/>
      <c r="T458" s="90"/>
      <c r="U458" s="90"/>
      <c r="V458" s="90"/>
      <c r="W458" s="90"/>
      <c r="X458" s="90"/>
      <c r="Y458" s="90"/>
      <c r="Z458" s="90"/>
      <c r="AA458" s="90"/>
      <c r="AB458" s="90"/>
    </row>
    <row r="459" spans="1:28" ht="16">
      <c r="A459" s="129"/>
      <c r="B459" s="91" t="s">
        <v>965</v>
      </c>
      <c r="C459" s="97">
        <f>C458</f>
        <v>982.78038199999992</v>
      </c>
      <c r="D459" s="98" t="s">
        <v>727</v>
      </c>
      <c r="E459" s="99"/>
      <c r="F459" s="92"/>
      <c r="G459" s="93" t="b">
        <v>1</v>
      </c>
      <c r="H459" s="93"/>
      <c r="I459" s="90"/>
      <c r="J459" s="90"/>
      <c r="K459" s="90"/>
      <c r="L459" s="90"/>
      <c r="M459" s="90"/>
      <c r="N459" s="90"/>
      <c r="O459" s="90"/>
      <c r="P459" s="90"/>
      <c r="Q459" s="90"/>
      <c r="R459" s="90"/>
      <c r="S459" s="90"/>
      <c r="T459" s="90"/>
      <c r="U459" s="90"/>
      <c r="V459" s="90"/>
      <c r="W459" s="90"/>
      <c r="X459" s="90"/>
      <c r="Y459" s="90"/>
      <c r="Z459" s="90"/>
      <c r="AA459" s="90"/>
      <c r="AB459" s="90"/>
    </row>
    <row r="460" spans="1:28" ht="16">
      <c r="A460" s="128" t="s">
        <v>1257</v>
      </c>
      <c r="B460" s="87" t="s">
        <v>1258</v>
      </c>
      <c r="C460" s="94">
        <f>C431-C429</f>
        <v>371.65</v>
      </c>
      <c r="D460" s="95" t="s">
        <v>727</v>
      </c>
      <c r="E460" s="96"/>
      <c r="F460" s="88" t="str">
        <f t="shared" ref="F460:F471" si="18">SUBSTITUTE(SUBSTITUTE(SUBSTITUTE(SUBSTITUTE(B460,"{",""),".","_"),"}",""),",","_")</f>
        <v>dz_LAS1_L10_P</v>
      </c>
      <c r="G460" s="89" t="b">
        <v>1</v>
      </c>
      <c r="H460" s="89" t="s">
        <v>1259</v>
      </c>
      <c r="I460" s="90" t="str">
        <f t="shared" ref="I460:I471" si="19">C460&amp;" "&amp;D460</f>
        <v>371.65 mm</v>
      </c>
      <c r="J460" s="90"/>
      <c r="K460" s="90"/>
      <c r="L460" s="90"/>
      <c r="M460" s="90"/>
      <c r="N460" s="90"/>
      <c r="O460" s="90"/>
      <c r="P460" s="90"/>
      <c r="Q460" s="90"/>
      <c r="R460" s="90"/>
      <c r="S460" s="90"/>
      <c r="T460" s="90"/>
      <c r="U460" s="90"/>
      <c r="V460" s="90"/>
      <c r="W460" s="90"/>
      <c r="X460" s="90"/>
      <c r="Y460" s="90"/>
      <c r="Z460" s="90"/>
      <c r="AA460" s="90"/>
      <c r="AB460" s="90"/>
    </row>
    <row r="461" spans="1:28" ht="16">
      <c r="A461" s="125"/>
      <c r="B461" s="91" t="s">
        <v>1283</v>
      </c>
      <c r="C461" s="97">
        <f>C434-C432</f>
        <v>1.8000000000000114</v>
      </c>
      <c r="D461" s="98" t="s">
        <v>727</v>
      </c>
      <c r="E461" s="99"/>
      <c r="F461" s="92" t="str">
        <f t="shared" si="18"/>
        <v>dz_L10_I_FB1_IN</v>
      </c>
      <c r="G461" s="93" t="b">
        <v>1</v>
      </c>
      <c r="H461" s="93" t="s">
        <v>1261</v>
      </c>
      <c r="I461" s="90" t="str">
        <f t="shared" si="19"/>
        <v>1.80000000000001 mm</v>
      </c>
      <c r="J461" s="90"/>
      <c r="K461" s="90"/>
      <c r="L461" s="90"/>
      <c r="M461" s="90"/>
      <c r="N461" s="90"/>
      <c r="O461" s="90"/>
      <c r="P461" s="90"/>
      <c r="Q461" s="90"/>
      <c r="R461" s="90"/>
      <c r="S461" s="90"/>
      <c r="T461" s="90"/>
      <c r="U461" s="90"/>
      <c r="V461" s="90"/>
      <c r="W461" s="90"/>
      <c r="X461" s="90"/>
      <c r="Y461" s="90"/>
      <c r="Z461" s="90"/>
      <c r="AA461" s="90"/>
      <c r="AB461" s="90"/>
    </row>
    <row r="462" spans="1:28" ht="16">
      <c r="A462" s="125"/>
      <c r="B462" s="87" t="s">
        <v>1262</v>
      </c>
      <c r="C462" s="94">
        <f>C437-C435</f>
        <v>11.677</v>
      </c>
      <c r="D462" s="95" t="s">
        <v>727</v>
      </c>
      <c r="E462" s="96"/>
      <c r="F462" s="88" t="str">
        <f t="shared" si="18"/>
        <v>dz_FB1_OUT_L9_P</v>
      </c>
      <c r="G462" s="89" t="b">
        <v>1</v>
      </c>
      <c r="H462" s="89" t="s">
        <v>1263</v>
      </c>
      <c r="I462" s="90" t="str">
        <f t="shared" si="19"/>
        <v>11.677 mm</v>
      </c>
      <c r="J462" s="90"/>
      <c r="K462" s="90"/>
      <c r="L462" s="90"/>
      <c r="M462" s="90"/>
      <c r="N462" s="90"/>
      <c r="O462" s="90"/>
      <c r="P462" s="90"/>
      <c r="Q462" s="90"/>
      <c r="R462" s="90"/>
      <c r="S462" s="90"/>
      <c r="T462" s="90"/>
      <c r="U462" s="90"/>
      <c r="V462" s="90"/>
      <c r="W462" s="90"/>
      <c r="X462" s="90"/>
      <c r="Y462" s="90"/>
      <c r="Z462" s="90"/>
      <c r="AA462" s="90"/>
      <c r="AB462" s="90"/>
    </row>
    <row r="463" spans="1:28" ht="16">
      <c r="A463" s="125"/>
      <c r="B463" s="91" t="s">
        <v>1264</v>
      </c>
      <c r="C463" s="97">
        <f>C439-C437</f>
        <v>50</v>
      </c>
      <c r="D463" s="98" t="s">
        <v>727</v>
      </c>
      <c r="E463" s="99"/>
      <c r="F463" s="92" t="str">
        <f t="shared" si="18"/>
        <v>dz_L9_P_PL1_P</v>
      </c>
      <c r="G463" s="93" t="b">
        <v>1</v>
      </c>
      <c r="H463" s="93" t="s">
        <v>1265</v>
      </c>
      <c r="I463" s="90" t="str">
        <f t="shared" si="19"/>
        <v>50 mm</v>
      </c>
      <c r="J463" s="90"/>
      <c r="K463" s="90"/>
      <c r="L463" s="90"/>
      <c r="M463" s="90"/>
      <c r="N463" s="90"/>
      <c r="O463" s="90"/>
      <c r="P463" s="90"/>
      <c r="Q463" s="90"/>
      <c r="R463" s="90"/>
      <c r="S463" s="90"/>
      <c r="T463" s="90"/>
      <c r="U463" s="90"/>
      <c r="V463" s="90"/>
      <c r="W463" s="90"/>
      <c r="X463" s="90"/>
      <c r="Y463" s="90"/>
      <c r="Z463" s="90"/>
      <c r="AA463" s="90"/>
      <c r="AB463" s="90"/>
    </row>
    <row r="464" spans="1:28" ht="16">
      <c r="A464" s="125"/>
      <c r="B464" s="87" t="s">
        <v>1266</v>
      </c>
      <c r="C464" s="94">
        <f>C442-C440</f>
        <v>75</v>
      </c>
      <c r="D464" s="95" t="s">
        <v>727</v>
      </c>
      <c r="E464" s="96"/>
      <c r="F464" s="88" t="str">
        <f t="shared" si="18"/>
        <v>dz_PL1_I_L8_P</v>
      </c>
      <c r="G464" s="89" t="b">
        <v>1</v>
      </c>
      <c r="H464" s="89" t="s">
        <v>1267</v>
      </c>
      <c r="I464" s="90" t="str">
        <f t="shared" si="19"/>
        <v>75 mm</v>
      </c>
      <c r="J464" s="90"/>
      <c r="K464" s="90"/>
      <c r="L464" s="90"/>
      <c r="M464" s="90"/>
      <c r="N464" s="90"/>
      <c r="O464" s="90"/>
      <c r="P464" s="90"/>
      <c r="Q464" s="90"/>
      <c r="R464" s="90"/>
      <c r="S464" s="90"/>
      <c r="T464" s="90"/>
      <c r="U464" s="90"/>
      <c r="V464" s="90"/>
      <c r="W464" s="90"/>
      <c r="X464" s="90"/>
      <c r="Y464" s="90"/>
      <c r="Z464" s="90"/>
      <c r="AA464" s="90"/>
      <c r="AB464" s="90"/>
    </row>
    <row r="465" spans="1:28" ht="16">
      <c r="A465" s="125"/>
      <c r="B465" s="91" t="s">
        <v>1268</v>
      </c>
      <c r="C465" s="97">
        <f>C445-C443</f>
        <v>170.10000000000002</v>
      </c>
      <c r="D465" s="98" t="s">
        <v>727</v>
      </c>
      <c r="E465" s="99"/>
      <c r="F465" s="92" t="str">
        <f t="shared" si="18"/>
        <v>dz_L8_I_L7_I</v>
      </c>
      <c r="G465" s="93" t="b">
        <v>1</v>
      </c>
      <c r="H465" s="93" t="s">
        <v>1269</v>
      </c>
      <c r="I465" s="90" t="str">
        <f t="shared" si="19"/>
        <v>170.1 mm</v>
      </c>
      <c r="J465" s="90"/>
      <c r="K465" s="90"/>
      <c r="L465" s="90"/>
      <c r="M465" s="90"/>
      <c r="N465" s="90"/>
      <c r="O465" s="90"/>
      <c r="P465" s="90"/>
      <c r="Q465" s="90"/>
      <c r="R465" s="90"/>
      <c r="S465" s="90"/>
      <c r="T465" s="90"/>
      <c r="U465" s="90"/>
      <c r="V465" s="90"/>
      <c r="W465" s="90"/>
      <c r="X465" s="90"/>
      <c r="Y465" s="90"/>
      <c r="Z465" s="90"/>
      <c r="AA465" s="90"/>
      <c r="AB465" s="90"/>
    </row>
    <row r="466" spans="1:28" ht="16">
      <c r="A466" s="125"/>
      <c r="B466" s="87" t="s">
        <v>1270</v>
      </c>
      <c r="C466" s="94">
        <f>C448-C446</f>
        <v>100</v>
      </c>
      <c r="D466" s="95" t="s">
        <v>727</v>
      </c>
      <c r="E466" s="96"/>
      <c r="F466" s="88" t="str">
        <f t="shared" si="18"/>
        <v>dz_L7_P_GV1</v>
      </c>
      <c r="G466" s="89" t="b">
        <v>1</v>
      </c>
      <c r="H466" s="89" t="s">
        <v>1271</v>
      </c>
      <c r="I466" s="90" t="str">
        <f t="shared" si="19"/>
        <v>100 mm</v>
      </c>
      <c r="J466" s="90"/>
      <c r="K466" s="90"/>
      <c r="L466" s="90"/>
      <c r="M466" s="90"/>
      <c r="N466" s="90"/>
      <c r="O466" s="90"/>
      <c r="P466" s="90"/>
      <c r="Q466" s="90"/>
      <c r="R466" s="90"/>
      <c r="S466" s="90"/>
      <c r="T466" s="90"/>
      <c r="U466" s="90"/>
      <c r="V466" s="90"/>
      <c r="W466" s="90"/>
      <c r="X466" s="90"/>
      <c r="Y466" s="90"/>
      <c r="Z466" s="90"/>
      <c r="AA466" s="90"/>
      <c r="AB466" s="90"/>
    </row>
    <row r="467" spans="1:28" ht="16">
      <c r="A467" s="125"/>
      <c r="B467" s="91" t="s">
        <v>1272</v>
      </c>
      <c r="C467" s="97">
        <f>C449-C448</f>
        <v>58</v>
      </c>
      <c r="D467" s="98" t="s">
        <v>727</v>
      </c>
      <c r="E467" s="99"/>
      <c r="F467" s="92" t="str">
        <f t="shared" si="18"/>
        <v>dz_GV1_L6_P</v>
      </c>
      <c r="G467" s="93" t="b">
        <v>1</v>
      </c>
      <c r="H467" s="93" t="s">
        <v>1273</v>
      </c>
      <c r="I467" s="90" t="str">
        <f t="shared" si="19"/>
        <v>58 mm</v>
      </c>
      <c r="J467" s="90"/>
      <c r="K467" s="90"/>
      <c r="L467" s="90"/>
      <c r="M467" s="90"/>
      <c r="N467" s="90"/>
      <c r="O467" s="90"/>
      <c r="P467" s="90"/>
      <c r="Q467" s="90"/>
      <c r="R467" s="90"/>
      <c r="S467" s="90"/>
      <c r="T467" s="90"/>
      <c r="U467" s="90"/>
      <c r="V467" s="90"/>
      <c r="W467" s="90"/>
      <c r="X467" s="90"/>
      <c r="Y467" s="90"/>
      <c r="Z467" s="90"/>
      <c r="AA467" s="90"/>
      <c r="AB467" s="90"/>
    </row>
    <row r="468" spans="1:28" ht="16">
      <c r="A468" s="125"/>
      <c r="B468" s="87" t="s">
        <v>1274</v>
      </c>
      <c r="C468" s="94">
        <f>C452-C450</f>
        <v>60</v>
      </c>
      <c r="D468" s="95" t="s">
        <v>727</v>
      </c>
      <c r="E468" s="96"/>
      <c r="F468" s="88" t="str">
        <f t="shared" si="18"/>
        <v>dz_L6_I_MSK1</v>
      </c>
      <c r="G468" s="89" t="b">
        <v>1</v>
      </c>
      <c r="H468" s="89" t="s">
        <v>1275</v>
      </c>
      <c r="I468" s="90" t="str">
        <f t="shared" si="19"/>
        <v>60 mm</v>
      </c>
      <c r="J468" s="90"/>
      <c r="K468" s="90"/>
      <c r="L468" s="90"/>
      <c r="M468" s="90"/>
      <c r="N468" s="90"/>
      <c r="O468" s="90"/>
      <c r="P468" s="90"/>
      <c r="Q468" s="90"/>
      <c r="R468" s="90"/>
      <c r="S468" s="90"/>
      <c r="T468" s="90"/>
      <c r="U468" s="90"/>
      <c r="V468" s="90"/>
      <c r="W468" s="90"/>
      <c r="X468" s="90"/>
      <c r="Y468" s="90"/>
      <c r="Z468" s="90"/>
      <c r="AA468" s="90"/>
      <c r="AB468" s="90"/>
    </row>
    <row r="469" spans="1:28" ht="16">
      <c r="A469" s="125"/>
      <c r="B469" s="91" t="s">
        <v>1276</v>
      </c>
      <c r="C469" s="97">
        <f>C453-C452</f>
        <v>148</v>
      </c>
      <c r="D469" s="98" t="s">
        <v>727</v>
      </c>
      <c r="E469" s="99"/>
      <c r="F469" s="92" t="str">
        <f t="shared" si="18"/>
        <v>dz_MSK1_L5_I</v>
      </c>
      <c r="G469" s="93" t="b">
        <v>1</v>
      </c>
      <c r="H469" s="93" t="s">
        <v>1277</v>
      </c>
      <c r="I469" s="90" t="str">
        <f t="shared" si="19"/>
        <v>148 mm</v>
      </c>
      <c r="J469" s="90"/>
      <c r="K469" s="90"/>
      <c r="L469" s="90"/>
      <c r="M469" s="90"/>
      <c r="N469" s="90"/>
      <c r="O469" s="90"/>
      <c r="P469" s="90"/>
      <c r="Q469" s="90"/>
      <c r="R469" s="90"/>
      <c r="S469" s="90"/>
      <c r="T469" s="90"/>
      <c r="U469" s="90"/>
      <c r="V469" s="90"/>
      <c r="W469" s="90"/>
      <c r="X469" s="90"/>
      <c r="Y469" s="90"/>
      <c r="Z469" s="90"/>
      <c r="AA469" s="90"/>
      <c r="AB469" s="90"/>
    </row>
    <row r="470" spans="1:28" ht="16">
      <c r="A470" s="125"/>
      <c r="B470" s="87" t="s">
        <v>1278</v>
      </c>
      <c r="C470" s="94">
        <f>C456-C454</f>
        <v>160</v>
      </c>
      <c r="D470" s="95" t="s">
        <v>727</v>
      </c>
      <c r="E470" s="96"/>
      <c r="F470" s="88" t="str">
        <f t="shared" si="18"/>
        <v>dz_L5_P_OL4_P</v>
      </c>
      <c r="G470" s="89" t="b">
        <v>1</v>
      </c>
      <c r="H470" s="89" t="s">
        <v>1279</v>
      </c>
      <c r="I470" s="90" t="str">
        <f t="shared" si="19"/>
        <v>160 mm</v>
      </c>
      <c r="J470" s="90"/>
      <c r="K470" s="90"/>
      <c r="L470" s="90"/>
      <c r="M470" s="90"/>
      <c r="N470" s="90"/>
      <c r="O470" s="90"/>
      <c r="P470" s="90"/>
      <c r="Q470" s="90"/>
      <c r="R470" s="90"/>
      <c r="S470" s="90"/>
      <c r="T470" s="90"/>
      <c r="U470" s="90"/>
      <c r="V470" s="90"/>
      <c r="W470" s="90"/>
      <c r="X470" s="90"/>
      <c r="Y470" s="90"/>
      <c r="Z470" s="90"/>
      <c r="AA470" s="90"/>
      <c r="AB470" s="90"/>
    </row>
    <row r="471" spans="1:28" ht="16">
      <c r="A471" s="129"/>
      <c r="B471" s="91" t="s">
        <v>1280</v>
      </c>
      <c r="C471" s="97">
        <f>C458-C457</f>
        <v>20</v>
      </c>
      <c r="D471" s="98" t="s">
        <v>727</v>
      </c>
      <c r="E471" s="99"/>
      <c r="F471" s="92" t="str">
        <f t="shared" si="18"/>
        <v>dz_OL4_I_SAM</v>
      </c>
      <c r="G471" s="93" t="b">
        <v>1</v>
      </c>
      <c r="H471" s="93" t="s">
        <v>1281</v>
      </c>
      <c r="I471" s="90" t="str">
        <f t="shared" si="19"/>
        <v>20 mm</v>
      </c>
      <c r="J471" s="90"/>
      <c r="K471" s="90"/>
      <c r="L471" s="90"/>
      <c r="M471" s="90"/>
      <c r="N471" s="90"/>
      <c r="O471" s="90"/>
      <c r="P471" s="90"/>
      <c r="Q471" s="90"/>
      <c r="R471" s="90"/>
      <c r="S471" s="90"/>
      <c r="T471" s="90"/>
      <c r="U471" s="90"/>
      <c r="V471" s="90"/>
      <c r="W471" s="90"/>
      <c r="X471" s="90"/>
      <c r="Y471" s="90"/>
      <c r="Z471" s="90"/>
      <c r="AA471" s="90"/>
      <c r="AB471" s="90"/>
    </row>
    <row r="472" spans="1:28" ht="16">
      <c r="A472" s="100"/>
      <c r="B472" s="87"/>
      <c r="C472" s="94"/>
      <c r="D472" s="95"/>
      <c r="E472" s="96"/>
      <c r="F472" s="88"/>
      <c r="G472" s="89" t="b">
        <v>0</v>
      </c>
      <c r="H472" s="89"/>
      <c r="I472" s="90"/>
      <c r="J472" s="90"/>
      <c r="K472" s="90"/>
      <c r="L472" s="90"/>
      <c r="M472" s="90"/>
      <c r="N472" s="90"/>
      <c r="O472" s="90"/>
      <c r="P472" s="90"/>
      <c r="Q472" s="90"/>
      <c r="R472" s="90"/>
      <c r="S472" s="90"/>
      <c r="T472" s="90"/>
      <c r="U472" s="90"/>
      <c r="V472" s="90"/>
      <c r="W472" s="90"/>
      <c r="X472" s="90"/>
      <c r="Y472" s="90"/>
      <c r="Z472" s="90"/>
      <c r="AA472" s="90"/>
      <c r="AB472" s="90"/>
    </row>
    <row r="473" spans="1:28" ht="16">
      <c r="A473" s="100"/>
      <c r="B473" s="91"/>
      <c r="C473" s="97"/>
      <c r="D473" s="98"/>
      <c r="E473" s="99"/>
      <c r="F473" s="92"/>
      <c r="G473" s="93" t="b">
        <v>0</v>
      </c>
      <c r="H473" s="93"/>
      <c r="I473" s="90"/>
      <c r="J473" s="90"/>
      <c r="K473" s="90"/>
      <c r="L473" s="90"/>
      <c r="M473" s="90"/>
      <c r="N473" s="90"/>
      <c r="O473" s="90"/>
      <c r="P473" s="90"/>
      <c r="Q473" s="90"/>
      <c r="R473" s="90"/>
      <c r="S473" s="90"/>
      <c r="T473" s="90"/>
      <c r="U473" s="90"/>
      <c r="V473" s="90"/>
      <c r="W473" s="90"/>
      <c r="X473" s="90"/>
      <c r="Y473" s="90"/>
      <c r="Z473" s="90"/>
      <c r="AA473" s="90"/>
      <c r="AB473" s="90"/>
    </row>
    <row r="474" spans="1:28" ht="16">
      <c r="A474" s="100"/>
      <c r="B474" s="87"/>
      <c r="C474" s="94"/>
      <c r="D474" s="95"/>
      <c r="E474" s="96"/>
      <c r="F474" s="88"/>
      <c r="G474" s="89" t="b">
        <v>0</v>
      </c>
      <c r="H474" s="89"/>
      <c r="I474" s="90"/>
      <c r="J474" s="90"/>
      <c r="K474" s="90"/>
      <c r="L474" s="90"/>
      <c r="M474" s="90"/>
      <c r="N474" s="90"/>
      <c r="O474" s="90"/>
      <c r="P474" s="90"/>
      <c r="Q474" s="90"/>
      <c r="R474" s="90"/>
      <c r="S474" s="90"/>
      <c r="T474" s="90"/>
      <c r="U474" s="90"/>
      <c r="V474" s="90"/>
      <c r="W474" s="90"/>
      <c r="X474" s="90"/>
      <c r="Y474" s="90"/>
      <c r="Z474" s="90"/>
      <c r="AA474" s="90"/>
      <c r="AB474" s="90"/>
    </row>
    <row r="475" spans="1:28" ht="16">
      <c r="A475" s="100"/>
      <c r="B475" s="91"/>
      <c r="C475" s="97"/>
      <c r="D475" s="98"/>
      <c r="E475" s="99"/>
      <c r="F475" s="92"/>
      <c r="G475" s="93" t="b">
        <v>0</v>
      </c>
      <c r="H475" s="93"/>
      <c r="I475" s="90"/>
      <c r="J475" s="90"/>
      <c r="K475" s="90"/>
      <c r="L475" s="90"/>
      <c r="M475" s="90"/>
      <c r="N475" s="90"/>
      <c r="O475" s="90"/>
      <c r="P475" s="90"/>
      <c r="Q475" s="90"/>
      <c r="R475" s="90"/>
      <c r="S475" s="90"/>
      <c r="T475" s="90"/>
      <c r="U475" s="90"/>
      <c r="V475" s="90"/>
      <c r="W475" s="90"/>
      <c r="X475" s="90"/>
      <c r="Y475" s="90"/>
      <c r="Z475" s="90"/>
      <c r="AA475" s="90"/>
      <c r="AB475" s="90"/>
    </row>
    <row r="476" spans="1:28" ht="16">
      <c r="A476" s="100"/>
      <c r="B476" s="87"/>
      <c r="C476" s="94"/>
      <c r="D476" s="95"/>
      <c r="E476" s="96"/>
      <c r="F476" s="88"/>
      <c r="G476" s="89" t="b">
        <v>0</v>
      </c>
      <c r="H476" s="89"/>
      <c r="I476" s="90"/>
      <c r="J476" s="90"/>
      <c r="K476" s="90"/>
      <c r="L476" s="90"/>
      <c r="M476" s="90"/>
      <c r="N476" s="90"/>
      <c r="O476" s="90"/>
      <c r="P476" s="90"/>
      <c r="Q476" s="90"/>
      <c r="R476" s="90"/>
      <c r="S476" s="90"/>
      <c r="T476" s="90"/>
      <c r="U476" s="90"/>
      <c r="V476" s="90"/>
      <c r="W476" s="90"/>
      <c r="X476" s="90"/>
      <c r="Y476" s="90"/>
      <c r="Z476" s="90"/>
      <c r="AA476" s="90"/>
      <c r="AB476" s="90"/>
    </row>
    <row r="477" spans="1:28" ht="16">
      <c r="A477" s="100"/>
      <c r="B477" s="91"/>
      <c r="C477" s="97"/>
      <c r="D477" s="98"/>
      <c r="E477" s="99"/>
      <c r="F477" s="92"/>
      <c r="G477" s="93" t="b">
        <v>0</v>
      </c>
      <c r="H477" s="93"/>
      <c r="I477" s="90"/>
      <c r="J477" s="90"/>
      <c r="K477" s="90"/>
      <c r="L477" s="90"/>
      <c r="M477" s="90"/>
      <c r="N477" s="90"/>
      <c r="O477" s="90"/>
      <c r="P477" s="90"/>
      <c r="Q477" s="90"/>
      <c r="R477" s="90"/>
      <c r="S477" s="90"/>
      <c r="T477" s="90"/>
      <c r="U477" s="90"/>
      <c r="V477" s="90"/>
      <c r="W477" s="90"/>
      <c r="X477" s="90"/>
      <c r="Y477" s="90"/>
      <c r="Z477" s="90"/>
      <c r="AA477" s="90"/>
      <c r="AB477" s="90"/>
    </row>
    <row r="478" spans="1:28" ht="16">
      <c r="A478" s="100"/>
      <c r="B478" s="87"/>
      <c r="C478" s="94"/>
      <c r="D478" s="95"/>
      <c r="E478" s="96"/>
      <c r="F478" s="88"/>
      <c r="G478" s="89" t="b">
        <v>0</v>
      </c>
      <c r="H478" s="89"/>
      <c r="I478" s="90"/>
      <c r="J478" s="90"/>
      <c r="K478" s="90"/>
      <c r="L478" s="90"/>
      <c r="M478" s="90"/>
      <c r="N478" s="90"/>
      <c r="O478" s="90"/>
      <c r="P478" s="90"/>
      <c r="Q478" s="90"/>
      <c r="R478" s="90"/>
      <c r="S478" s="90"/>
      <c r="T478" s="90"/>
      <c r="U478" s="90"/>
      <c r="V478" s="90"/>
      <c r="W478" s="90"/>
      <c r="X478" s="90"/>
      <c r="Y478" s="90"/>
      <c r="Z478" s="90"/>
      <c r="AA478" s="90"/>
      <c r="AB478" s="90"/>
    </row>
    <row r="479" spans="1:28" ht="16">
      <c r="A479" s="100"/>
      <c r="B479" s="91"/>
      <c r="C479" s="97"/>
      <c r="D479" s="98"/>
      <c r="E479" s="99"/>
      <c r="F479" s="92"/>
      <c r="G479" s="93" t="b">
        <v>0</v>
      </c>
      <c r="H479" s="93"/>
      <c r="I479" s="90"/>
      <c r="J479" s="90"/>
      <c r="K479" s="90"/>
      <c r="L479" s="90"/>
      <c r="M479" s="90"/>
      <c r="N479" s="90"/>
      <c r="O479" s="90"/>
      <c r="P479" s="90"/>
      <c r="Q479" s="90"/>
      <c r="R479" s="90"/>
      <c r="S479" s="90"/>
      <c r="T479" s="90"/>
      <c r="U479" s="90"/>
      <c r="V479" s="90"/>
      <c r="W479" s="90"/>
      <c r="X479" s="90"/>
      <c r="Y479" s="90"/>
      <c r="Z479" s="90"/>
      <c r="AA479" s="90"/>
      <c r="AB479" s="90"/>
    </row>
    <row r="480" spans="1:28" ht="16">
      <c r="A480" s="100"/>
      <c r="B480" s="87"/>
      <c r="C480" s="94"/>
      <c r="D480" s="95"/>
      <c r="E480" s="96"/>
      <c r="F480" s="88"/>
      <c r="G480" s="89" t="b">
        <v>0</v>
      </c>
      <c r="H480" s="89"/>
      <c r="I480" s="90"/>
      <c r="J480" s="90"/>
      <c r="K480" s="90"/>
      <c r="L480" s="90"/>
      <c r="M480" s="90"/>
      <c r="N480" s="90"/>
      <c r="O480" s="90"/>
      <c r="P480" s="90"/>
      <c r="Q480" s="90"/>
      <c r="R480" s="90"/>
      <c r="S480" s="90"/>
      <c r="T480" s="90"/>
      <c r="U480" s="90"/>
      <c r="V480" s="90"/>
      <c r="W480" s="90"/>
      <c r="X480" s="90"/>
      <c r="Y480" s="90"/>
      <c r="Z480" s="90"/>
      <c r="AA480" s="90"/>
      <c r="AB480" s="90"/>
    </row>
    <row r="481" spans="1:28" ht="16">
      <c r="A481" s="100"/>
      <c r="B481" s="91"/>
      <c r="C481" s="97"/>
      <c r="D481" s="98"/>
      <c r="E481" s="99"/>
      <c r="F481" s="92"/>
      <c r="G481" s="93" t="b">
        <v>0</v>
      </c>
      <c r="H481" s="93"/>
      <c r="I481" s="90"/>
      <c r="J481" s="90"/>
      <c r="K481" s="90"/>
      <c r="L481" s="90"/>
      <c r="M481" s="90"/>
      <c r="N481" s="90"/>
      <c r="O481" s="90"/>
      <c r="P481" s="90"/>
      <c r="Q481" s="90"/>
      <c r="R481" s="90"/>
      <c r="S481" s="90"/>
      <c r="T481" s="90"/>
      <c r="U481" s="90"/>
      <c r="V481" s="90"/>
      <c r="W481" s="90"/>
      <c r="X481" s="90"/>
      <c r="Y481" s="90"/>
      <c r="Z481" s="90"/>
      <c r="AA481" s="90"/>
      <c r="AB481" s="90"/>
    </row>
    <row r="482" spans="1:28" ht="16">
      <c r="A482" s="100"/>
      <c r="B482" s="87"/>
      <c r="C482" s="94"/>
      <c r="D482" s="95"/>
      <c r="E482" s="96"/>
      <c r="F482" s="88"/>
      <c r="G482" s="89" t="b">
        <v>0</v>
      </c>
      <c r="H482" s="89"/>
      <c r="I482" s="90"/>
      <c r="J482" s="90"/>
      <c r="K482" s="90"/>
      <c r="L482" s="90"/>
      <c r="M482" s="90"/>
      <c r="N482" s="90"/>
      <c r="O482" s="90"/>
      <c r="P482" s="90"/>
      <c r="Q482" s="90"/>
      <c r="R482" s="90"/>
      <c r="S482" s="90"/>
      <c r="T482" s="90"/>
      <c r="U482" s="90"/>
      <c r="V482" s="90"/>
      <c r="W482" s="90"/>
      <c r="X482" s="90"/>
      <c r="Y482" s="90"/>
      <c r="Z482" s="90"/>
      <c r="AA482" s="90"/>
      <c r="AB482" s="90"/>
    </row>
    <row r="483" spans="1:28" ht="16">
      <c r="A483" s="100"/>
      <c r="B483" s="91"/>
      <c r="C483" s="97"/>
      <c r="D483" s="98"/>
      <c r="E483" s="99"/>
      <c r="F483" s="92"/>
      <c r="G483" s="93" t="b">
        <v>0</v>
      </c>
      <c r="H483" s="93"/>
      <c r="I483" s="90"/>
      <c r="J483" s="90"/>
      <c r="K483" s="90"/>
      <c r="L483" s="90"/>
      <c r="M483" s="90"/>
      <c r="N483" s="90"/>
      <c r="O483" s="90"/>
      <c r="P483" s="90"/>
      <c r="Q483" s="90"/>
      <c r="R483" s="90"/>
      <c r="S483" s="90"/>
      <c r="T483" s="90"/>
      <c r="U483" s="90"/>
      <c r="V483" s="90"/>
      <c r="W483" s="90"/>
      <c r="X483" s="90"/>
      <c r="Y483" s="90"/>
      <c r="Z483" s="90"/>
      <c r="AA483" s="90"/>
      <c r="AB483" s="90"/>
    </row>
    <row r="484" spans="1:28" ht="16">
      <c r="A484" s="100"/>
      <c r="B484" s="87"/>
      <c r="C484" s="94"/>
      <c r="D484" s="95"/>
      <c r="E484" s="96"/>
      <c r="F484" s="88"/>
      <c r="G484" s="89" t="b">
        <v>0</v>
      </c>
      <c r="H484" s="89"/>
      <c r="I484" s="90"/>
      <c r="J484" s="90"/>
      <c r="K484" s="90"/>
      <c r="L484" s="90"/>
      <c r="M484" s="90"/>
      <c r="N484" s="90"/>
      <c r="O484" s="90"/>
      <c r="P484" s="90"/>
      <c r="Q484" s="90"/>
      <c r="R484" s="90"/>
      <c r="S484" s="90"/>
      <c r="T484" s="90"/>
      <c r="U484" s="90"/>
      <c r="V484" s="90"/>
      <c r="W484" s="90"/>
      <c r="X484" s="90"/>
      <c r="Y484" s="90"/>
      <c r="Z484" s="90"/>
      <c r="AA484" s="90"/>
      <c r="AB484" s="90"/>
    </row>
    <row r="485" spans="1:28" ht="16">
      <c r="A485" s="100"/>
      <c r="B485" s="91"/>
      <c r="C485" s="97"/>
      <c r="D485" s="98"/>
      <c r="E485" s="99"/>
      <c r="F485" s="92"/>
      <c r="G485" s="93" t="b">
        <v>0</v>
      </c>
      <c r="H485" s="93"/>
      <c r="I485" s="90"/>
      <c r="J485" s="90"/>
      <c r="K485" s="90"/>
      <c r="L485" s="90"/>
      <c r="M485" s="90"/>
      <c r="N485" s="90"/>
      <c r="O485" s="90"/>
      <c r="P485" s="90"/>
      <c r="Q485" s="90"/>
      <c r="R485" s="90"/>
      <c r="S485" s="90"/>
      <c r="T485" s="90"/>
      <c r="U485" s="90"/>
      <c r="V485" s="90"/>
      <c r="W485" s="90"/>
      <c r="X485" s="90"/>
      <c r="Y485" s="90"/>
      <c r="Z485" s="90"/>
      <c r="AA485" s="90"/>
      <c r="AB485" s="90"/>
    </row>
    <row r="486" spans="1:28" ht="16">
      <c r="A486" s="100"/>
      <c r="B486" s="87"/>
      <c r="C486" s="94"/>
      <c r="D486" s="95"/>
      <c r="E486" s="96"/>
      <c r="F486" s="88"/>
      <c r="G486" s="89" t="b">
        <v>0</v>
      </c>
      <c r="H486" s="89"/>
      <c r="I486" s="90"/>
      <c r="J486" s="90"/>
      <c r="K486" s="90"/>
      <c r="L486" s="90"/>
      <c r="M486" s="90"/>
      <c r="N486" s="90"/>
      <c r="O486" s="90"/>
      <c r="P486" s="90"/>
      <c r="Q486" s="90"/>
      <c r="R486" s="90"/>
      <c r="S486" s="90"/>
      <c r="T486" s="90"/>
      <c r="U486" s="90"/>
      <c r="V486" s="90"/>
      <c r="W486" s="90"/>
      <c r="X486" s="90"/>
      <c r="Y486" s="90"/>
      <c r="Z486" s="90"/>
      <c r="AA486" s="90"/>
      <c r="AB486" s="90"/>
    </row>
    <row r="487" spans="1:28" ht="16">
      <c r="A487" s="100"/>
      <c r="B487" s="91"/>
      <c r="C487" s="97"/>
      <c r="D487" s="98"/>
      <c r="E487" s="99"/>
      <c r="F487" s="92"/>
      <c r="G487" s="93" t="b">
        <v>0</v>
      </c>
      <c r="H487" s="93"/>
      <c r="I487" s="90"/>
      <c r="J487" s="90"/>
      <c r="K487" s="90"/>
      <c r="L487" s="90"/>
      <c r="M487" s="90"/>
      <c r="N487" s="90"/>
      <c r="O487" s="90"/>
      <c r="P487" s="90"/>
      <c r="Q487" s="90"/>
      <c r="R487" s="90"/>
      <c r="S487" s="90"/>
      <c r="T487" s="90"/>
      <c r="U487" s="90"/>
      <c r="V487" s="90"/>
      <c r="W487" s="90"/>
      <c r="X487" s="90"/>
      <c r="Y487" s="90"/>
      <c r="Z487" s="90"/>
      <c r="AA487" s="90"/>
      <c r="AB487" s="90"/>
    </row>
    <row r="488" spans="1:28" ht="16">
      <c r="A488" s="100"/>
      <c r="B488" s="87"/>
      <c r="C488" s="94"/>
      <c r="D488" s="95"/>
      <c r="E488" s="96"/>
      <c r="F488" s="88"/>
      <c r="G488" s="89" t="b">
        <v>0</v>
      </c>
      <c r="H488" s="89"/>
      <c r="I488" s="90"/>
      <c r="J488" s="90"/>
      <c r="K488" s="90"/>
      <c r="L488" s="90"/>
      <c r="M488" s="90"/>
      <c r="N488" s="90"/>
      <c r="O488" s="90"/>
      <c r="P488" s="90"/>
      <c r="Q488" s="90"/>
      <c r="R488" s="90"/>
      <c r="S488" s="90"/>
      <c r="T488" s="90"/>
      <c r="U488" s="90"/>
      <c r="V488" s="90"/>
      <c r="W488" s="90"/>
      <c r="X488" s="90"/>
      <c r="Y488" s="90"/>
      <c r="Z488" s="90"/>
      <c r="AA488" s="90"/>
      <c r="AB488" s="90"/>
    </row>
    <row r="489" spans="1:28" ht="16">
      <c r="A489" s="100"/>
      <c r="B489" s="91"/>
      <c r="C489" s="97"/>
      <c r="D489" s="98"/>
      <c r="E489" s="99"/>
      <c r="F489" s="92"/>
      <c r="G489" s="93" t="b">
        <v>0</v>
      </c>
      <c r="H489" s="93"/>
      <c r="I489" s="90"/>
      <c r="J489" s="90"/>
      <c r="K489" s="90"/>
      <c r="L489" s="90"/>
      <c r="M489" s="90"/>
      <c r="N489" s="90"/>
      <c r="O489" s="90"/>
      <c r="P489" s="90"/>
      <c r="Q489" s="90"/>
      <c r="R489" s="90"/>
      <c r="S489" s="90"/>
      <c r="T489" s="90"/>
      <c r="U489" s="90"/>
      <c r="V489" s="90"/>
      <c r="W489" s="90"/>
      <c r="X489" s="90"/>
      <c r="Y489" s="90"/>
      <c r="Z489" s="90"/>
      <c r="AA489" s="90"/>
      <c r="AB489" s="90"/>
    </row>
    <row r="490" spans="1:28" ht="16">
      <c r="A490" s="100"/>
      <c r="B490" s="87"/>
      <c r="C490" s="94"/>
      <c r="D490" s="95"/>
      <c r="E490" s="96"/>
      <c r="F490" s="88"/>
      <c r="G490" s="89" t="b">
        <v>0</v>
      </c>
      <c r="H490" s="89"/>
      <c r="I490" s="90"/>
      <c r="J490" s="90"/>
      <c r="K490" s="90"/>
      <c r="L490" s="90"/>
      <c r="M490" s="90"/>
      <c r="N490" s="90"/>
      <c r="O490" s="90"/>
      <c r="P490" s="90"/>
      <c r="Q490" s="90"/>
      <c r="R490" s="90"/>
      <c r="S490" s="90"/>
      <c r="T490" s="90"/>
      <c r="U490" s="90"/>
      <c r="V490" s="90"/>
      <c r="W490" s="90"/>
      <c r="X490" s="90"/>
      <c r="Y490" s="90"/>
      <c r="Z490" s="90"/>
      <c r="AA490" s="90"/>
      <c r="AB490" s="90"/>
    </row>
    <row r="491" spans="1:28" ht="16">
      <c r="A491" s="100"/>
      <c r="B491" s="91"/>
      <c r="C491" s="97"/>
      <c r="D491" s="98"/>
      <c r="E491" s="99"/>
      <c r="F491" s="92"/>
      <c r="G491" s="93" t="b">
        <v>0</v>
      </c>
      <c r="H491" s="93"/>
      <c r="I491" s="90"/>
      <c r="J491" s="90"/>
      <c r="K491" s="90"/>
      <c r="L491" s="90"/>
      <c r="M491" s="90"/>
      <c r="N491" s="90"/>
      <c r="O491" s="90"/>
      <c r="P491" s="90"/>
      <c r="Q491" s="90"/>
      <c r="R491" s="90"/>
      <c r="S491" s="90"/>
      <c r="T491" s="90"/>
      <c r="U491" s="90"/>
      <c r="V491" s="90"/>
      <c r="W491" s="90"/>
      <c r="X491" s="90"/>
      <c r="Y491" s="90"/>
      <c r="Z491" s="90"/>
      <c r="AA491" s="90"/>
      <c r="AB491" s="90"/>
    </row>
    <row r="492" spans="1:28" ht="16">
      <c r="A492" s="100"/>
      <c r="B492" s="87"/>
      <c r="C492" s="94"/>
      <c r="D492" s="95"/>
      <c r="E492" s="96"/>
      <c r="F492" s="88"/>
      <c r="G492" s="89" t="b">
        <v>0</v>
      </c>
      <c r="H492" s="89"/>
      <c r="I492" s="90"/>
      <c r="J492" s="90"/>
      <c r="K492" s="90"/>
      <c r="L492" s="90"/>
      <c r="M492" s="90"/>
      <c r="N492" s="90"/>
      <c r="O492" s="90"/>
      <c r="P492" s="90"/>
      <c r="Q492" s="90"/>
      <c r="R492" s="90"/>
      <c r="S492" s="90"/>
      <c r="T492" s="90"/>
      <c r="U492" s="90"/>
      <c r="V492" s="90"/>
      <c r="W492" s="90"/>
      <c r="X492" s="90"/>
      <c r="Y492" s="90"/>
      <c r="Z492" s="90"/>
      <c r="AA492" s="90"/>
      <c r="AB492" s="90"/>
    </row>
    <row r="493" spans="1:28" ht="16">
      <c r="A493" s="100"/>
      <c r="B493" s="91"/>
      <c r="C493" s="97"/>
      <c r="D493" s="98"/>
      <c r="E493" s="99"/>
      <c r="F493" s="92"/>
      <c r="G493" s="93" t="b">
        <v>0</v>
      </c>
      <c r="H493" s="93"/>
      <c r="I493" s="90"/>
      <c r="J493" s="90"/>
      <c r="K493" s="90"/>
      <c r="L493" s="90"/>
      <c r="M493" s="90"/>
      <c r="N493" s="90"/>
      <c r="O493" s="90"/>
      <c r="P493" s="90"/>
      <c r="Q493" s="90"/>
      <c r="R493" s="90"/>
      <c r="S493" s="90"/>
      <c r="T493" s="90"/>
      <c r="U493" s="90"/>
      <c r="V493" s="90"/>
      <c r="W493" s="90"/>
      <c r="X493" s="90"/>
      <c r="Y493" s="90"/>
      <c r="Z493" s="90"/>
      <c r="AA493" s="90"/>
      <c r="AB493" s="90"/>
    </row>
    <row r="494" spans="1:28" ht="16">
      <c r="A494" s="100"/>
      <c r="B494" s="87"/>
      <c r="C494" s="94"/>
      <c r="D494" s="95"/>
      <c r="E494" s="96"/>
      <c r="F494" s="88"/>
      <c r="G494" s="89" t="b">
        <v>0</v>
      </c>
      <c r="H494" s="89"/>
      <c r="I494" s="90"/>
      <c r="J494" s="90"/>
      <c r="K494" s="90"/>
      <c r="L494" s="90"/>
      <c r="M494" s="90"/>
      <c r="N494" s="90"/>
      <c r="O494" s="90"/>
      <c r="P494" s="90"/>
      <c r="Q494" s="90"/>
      <c r="R494" s="90"/>
      <c r="S494" s="90"/>
      <c r="T494" s="90"/>
      <c r="U494" s="90"/>
      <c r="V494" s="90"/>
      <c r="W494" s="90"/>
      <c r="X494" s="90"/>
      <c r="Y494" s="90"/>
      <c r="Z494" s="90"/>
      <c r="AA494" s="90"/>
      <c r="AB494" s="90"/>
    </row>
    <row r="495" spans="1:28" ht="16">
      <c r="A495" s="100"/>
      <c r="B495" s="91"/>
      <c r="C495" s="97"/>
      <c r="D495" s="98"/>
      <c r="E495" s="99"/>
      <c r="F495" s="92"/>
      <c r="G495" s="93" t="b">
        <v>0</v>
      </c>
      <c r="H495" s="93"/>
      <c r="I495" s="90"/>
      <c r="J495" s="90"/>
      <c r="K495" s="90"/>
      <c r="L495" s="90"/>
      <c r="M495" s="90"/>
      <c r="N495" s="90"/>
      <c r="O495" s="90"/>
      <c r="P495" s="90"/>
      <c r="Q495" s="90"/>
      <c r="R495" s="90"/>
      <c r="S495" s="90"/>
      <c r="T495" s="90"/>
      <c r="U495" s="90"/>
      <c r="V495" s="90"/>
      <c r="W495" s="90"/>
      <c r="X495" s="90"/>
      <c r="Y495" s="90"/>
      <c r="Z495" s="90"/>
      <c r="AA495" s="90"/>
      <c r="AB495" s="90"/>
    </row>
    <row r="496" spans="1:28" ht="16">
      <c r="A496" s="100"/>
      <c r="B496" s="87"/>
      <c r="C496" s="94"/>
      <c r="D496" s="95"/>
      <c r="E496" s="96"/>
      <c r="F496" s="88"/>
      <c r="G496" s="89" t="b">
        <v>0</v>
      </c>
      <c r="H496" s="89"/>
      <c r="I496" s="90"/>
      <c r="J496" s="90"/>
      <c r="K496" s="90"/>
      <c r="L496" s="90"/>
      <c r="M496" s="90"/>
      <c r="N496" s="90"/>
      <c r="O496" s="90"/>
      <c r="P496" s="90"/>
      <c r="Q496" s="90"/>
      <c r="R496" s="90"/>
      <c r="S496" s="90"/>
      <c r="T496" s="90"/>
      <c r="U496" s="90"/>
      <c r="V496" s="90"/>
      <c r="W496" s="90"/>
      <c r="X496" s="90"/>
      <c r="Y496" s="90"/>
      <c r="Z496" s="90"/>
      <c r="AA496" s="90"/>
      <c r="AB496" s="90"/>
    </row>
    <row r="497" spans="1:28" ht="16">
      <c r="A497" s="100"/>
      <c r="B497" s="91"/>
      <c r="C497" s="97"/>
      <c r="D497" s="98"/>
      <c r="E497" s="99"/>
      <c r="F497" s="92"/>
      <c r="G497" s="93" t="b">
        <v>0</v>
      </c>
      <c r="H497" s="93"/>
      <c r="I497" s="90"/>
      <c r="J497" s="90"/>
      <c r="K497" s="90"/>
      <c r="L497" s="90"/>
      <c r="M497" s="90"/>
      <c r="N497" s="90"/>
      <c r="O497" s="90"/>
      <c r="P497" s="90"/>
      <c r="Q497" s="90"/>
      <c r="R497" s="90"/>
      <c r="S497" s="90"/>
      <c r="T497" s="90"/>
      <c r="U497" s="90"/>
      <c r="V497" s="90"/>
      <c r="W497" s="90"/>
      <c r="X497" s="90"/>
      <c r="Y497" s="90"/>
      <c r="Z497" s="90"/>
      <c r="AA497" s="90"/>
      <c r="AB497" s="90"/>
    </row>
    <row r="498" spans="1:28" ht="16">
      <c r="A498" s="100"/>
      <c r="B498" s="87"/>
      <c r="C498" s="94"/>
      <c r="D498" s="95"/>
      <c r="E498" s="96"/>
      <c r="F498" s="88"/>
      <c r="G498" s="89" t="b">
        <v>0</v>
      </c>
      <c r="H498" s="89"/>
      <c r="I498" s="90"/>
      <c r="J498" s="90"/>
      <c r="K498" s="90"/>
      <c r="L498" s="90"/>
      <c r="M498" s="90"/>
      <c r="N498" s="90"/>
      <c r="O498" s="90"/>
      <c r="P498" s="90"/>
      <c r="Q498" s="90"/>
      <c r="R498" s="90"/>
      <c r="S498" s="90"/>
      <c r="T498" s="90"/>
      <c r="U498" s="90"/>
      <c r="V498" s="90"/>
      <c r="W498" s="90"/>
      <c r="X498" s="90"/>
      <c r="Y498" s="90"/>
      <c r="Z498" s="90"/>
      <c r="AA498" s="90"/>
      <c r="AB498" s="90"/>
    </row>
    <row r="499" spans="1:28" ht="16">
      <c r="A499" s="100"/>
      <c r="B499" s="91"/>
      <c r="C499" s="97"/>
      <c r="D499" s="98"/>
      <c r="E499" s="99"/>
      <c r="F499" s="92"/>
      <c r="G499" s="93" t="b">
        <v>0</v>
      </c>
      <c r="H499" s="93"/>
      <c r="I499" s="90"/>
      <c r="J499" s="90"/>
      <c r="K499" s="90"/>
      <c r="L499" s="90"/>
      <c r="M499" s="90"/>
      <c r="N499" s="90"/>
      <c r="O499" s="90"/>
      <c r="P499" s="90"/>
      <c r="Q499" s="90"/>
      <c r="R499" s="90"/>
      <c r="S499" s="90"/>
      <c r="T499" s="90"/>
      <c r="U499" s="90"/>
      <c r="V499" s="90"/>
      <c r="W499" s="90"/>
      <c r="X499" s="90"/>
      <c r="Y499" s="90"/>
      <c r="Z499" s="90"/>
      <c r="AA499" s="90"/>
      <c r="AB499" s="90"/>
    </row>
    <row r="500" spans="1:28" ht="16">
      <c r="A500" s="100"/>
      <c r="B500" s="87"/>
      <c r="C500" s="94"/>
      <c r="D500" s="95"/>
      <c r="E500" s="96"/>
      <c r="F500" s="88"/>
      <c r="G500" s="89" t="b">
        <v>0</v>
      </c>
      <c r="H500" s="89"/>
      <c r="I500" s="90"/>
      <c r="J500" s="90"/>
      <c r="K500" s="90"/>
      <c r="L500" s="90"/>
      <c r="M500" s="90"/>
      <c r="N500" s="90"/>
      <c r="O500" s="90"/>
      <c r="P500" s="90"/>
      <c r="Q500" s="90"/>
      <c r="R500" s="90"/>
      <c r="S500" s="90"/>
      <c r="T500" s="90"/>
      <c r="U500" s="90"/>
      <c r="V500" s="90"/>
      <c r="W500" s="90"/>
      <c r="X500" s="90"/>
      <c r="Y500" s="90"/>
      <c r="Z500" s="90"/>
      <c r="AA500" s="90"/>
      <c r="AB500" s="90"/>
    </row>
    <row r="501" spans="1:28" ht="16">
      <c r="A501" s="100"/>
      <c r="B501" s="91"/>
      <c r="C501" s="97"/>
      <c r="D501" s="98"/>
      <c r="E501" s="99"/>
      <c r="F501" s="92"/>
      <c r="G501" s="93" t="b">
        <v>0</v>
      </c>
      <c r="H501" s="93"/>
      <c r="I501" s="90"/>
      <c r="J501" s="90"/>
      <c r="K501" s="90"/>
      <c r="L501" s="90"/>
      <c r="M501" s="90"/>
      <c r="N501" s="90"/>
      <c r="O501" s="90"/>
      <c r="P501" s="90"/>
      <c r="Q501" s="90"/>
      <c r="R501" s="90"/>
      <c r="S501" s="90"/>
      <c r="T501" s="90"/>
      <c r="U501" s="90"/>
      <c r="V501" s="90"/>
      <c r="W501" s="90"/>
      <c r="X501" s="90"/>
      <c r="Y501" s="90"/>
      <c r="Z501" s="90"/>
      <c r="AA501" s="90"/>
      <c r="AB501" s="90"/>
    </row>
    <row r="502" spans="1:28" ht="16">
      <c r="A502" s="100"/>
      <c r="B502" s="87"/>
      <c r="C502" s="94"/>
      <c r="D502" s="95"/>
      <c r="E502" s="96"/>
      <c r="F502" s="88"/>
      <c r="G502" s="89" t="b">
        <v>0</v>
      </c>
      <c r="H502" s="89"/>
      <c r="I502" s="90"/>
      <c r="J502" s="90"/>
      <c r="K502" s="90"/>
      <c r="L502" s="90"/>
      <c r="M502" s="90"/>
      <c r="N502" s="90"/>
      <c r="O502" s="90"/>
      <c r="P502" s="90"/>
      <c r="Q502" s="90"/>
      <c r="R502" s="90"/>
      <c r="S502" s="90"/>
      <c r="T502" s="90"/>
      <c r="U502" s="90"/>
      <c r="V502" s="90"/>
      <c r="W502" s="90"/>
      <c r="X502" s="90"/>
      <c r="Y502" s="90"/>
      <c r="Z502" s="90"/>
      <c r="AA502" s="90"/>
      <c r="AB502" s="90"/>
    </row>
    <row r="503" spans="1:28" ht="16">
      <c r="A503" s="100"/>
      <c r="B503" s="91"/>
      <c r="C503" s="97"/>
      <c r="D503" s="98"/>
      <c r="E503" s="99"/>
      <c r="F503" s="92"/>
      <c r="G503" s="93" t="b">
        <v>0</v>
      </c>
      <c r="H503" s="93"/>
      <c r="I503" s="90"/>
      <c r="J503" s="90"/>
      <c r="K503" s="90"/>
      <c r="L503" s="90"/>
      <c r="M503" s="90"/>
      <c r="N503" s="90"/>
      <c r="O503" s="90"/>
      <c r="P503" s="90"/>
      <c r="Q503" s="90"/>
      <c r="R503" s="90"/>
      <c r="S503" s="90"/>
      <c r="T503" s="90"/>
      <c r="U503" s="90"/>
      <c r="V503" s="90"/>
      <c r="W503" s="90"/>
      <c r="X503" s="90"/>
      <c r="Y503" s="90"/>
      <c r="Z503" s="90"/>
      <c r="AA503" s="90"/>
      <c r="AB503" s="90"/>
    </row>
    <row r="504" spans="1:28" ht="16">
      <c r="A504" s="100"/>
      <c r="B504" s="87"/>
      <c r="C504" s="94"/>
      <c r="D504" s="95"/>
      <c r="E504" s="96"/>
      <c r="F504" s="88"/>
      <c r="G504" s="89" t="b">
        <v>0</v>
      </c>
      <c r="H504" s="89"/>
      <c r="I504" s="90"/>
      <c r="J504" s="90"/>
      <c r="K504" s="90"/>
      <c r="L504" s="90"/>
      <c r="M504" s="90"/>
      <c r="N504" s="90"/>
      <c r="O504" s="90"/>
      <c r="P504" s="90"/>
      <c r="Q504" s="90"/>
      <c r="R504" s="90"/>
      <c r="S504" s="90"/>
      <c r="T504" s="90"/>
      <c r="U504" s="90"/>
      <c r="V504" s="90"/>
      <c r="W504" s="90"/>
      <c r="X504" s="90"/>
      <c r="Y504" s="90"/>
      <c r="Z504" s="90"/>
      <c r="AA504" s="90"/>
      <c r="AB504" s="90"/>
    </row>
    <row r="505" spans="1:28" ht="16">
      <c r="A505" s="100"/>
      <c r="B505" s="91"/>
      <c r="C505" s="97"/>
      <c r="D505" s="98"/>
      <c r="E505" s="99"/>
      <c r="F505" s="92"/>
      <c r="G505" s="93" t="b">
        <v>0</v>
      </c>
      <c r="H505" s="93"/>
      <c r="I505" s="90"/>
      <c r="J505" s="90"/>
      <c r="K505" s="90"/>
      <c r="L505" s="90"/>
      <c r="M505" s="90"/>
      <c r="N505" s="90"/>
      <c r="O505" s="90"/>
      <c r="P505" s="90"/>
      <c r="Q505" s="90"/>
      <c r="R505" s="90"/>
      <c r="S505" s="90"/>
      <c r="T505" s="90"/>
      <c r="U505" s="90"/>
      <c r="V505" s="90"/>
      <c r="W505" s="90"/>
      <c r="X505" s="90"/>
      <c r="Y505" s="90"/>
      <c r="Z505" s="90"/>
      <c r="AA505" s="90"/>
      <c r="AB505" s="90"/>
    </row>
    <row r="506" spans="1:28" ht="16">
      <c r="A506" s="100"/>
      <c r="B506" s="87"/>
      <c r="C506" s="94"/>
      <c r="D506" s="95"/>
      <c r="E506" s="96"/>
      <c r="F506" s="88"/>
      <c r="G506" s="89" t="b">
        <v>0</v>
      </c>
      <c r="H506" s="89"/>
      <c r="I506" s="90"/>
      <c r="J506" s="90"/>
      <c r="K506" s="90"/>
      <c r="L506" s="90"/>
      <c r="M506" s="90"/>
      <c r="N506" s="90"/>
      <c r="O506" s="90"/>
      <c r="P506" s="90"/>
      <c r="Q506" s="90"/>
      <c r="R506" s="90"/>
      <c r="S506" s="90"/>
      <c r="T506" s="90"/>
      <c r="U506" s="90"/>
      <c r="V506" s="90"/>
      <c r="W506" s="90"/>
      <c r="X506" s="90"/>
      <c r="Y506" s="90"/>
      <c r="Z506" s="90"/>
      <c r="AA506" s="90"/>
      <c r="AB506" s="90"/>
    </row>
    <row r="507" spans="1:28" ht="16">
      <c r="A507" s="100"/>
      <c r="B507" s="91"/>
      <c r="C507" s="97"/>
      <c r="D507" s="98"/>
      <c r="E507" s="99"/>
      <c r="F507" s="92"/>
      <c r="G507" s="93" t="b">
        <v>0</v>
      </c>
      <c r="H507" s="93"/>
      <c r="I507" s="90"/>
      <c r="J507" s="90"/>
      <c r="K507" s="90"/>
      <c r="L507" s="90"/>
      <c r="M507" s="90"/>
      <c r="N507" s="90"/>
      <c r="O507" s="90"/>
      <c r="P507" s="90"/>
      <c r="Q507" s="90"/>
      <c r="R507" s="90"/>
      <c r="S507" s="90"/>
      <c r="T507" s="90"/>
      <c r="U507" s="90"/>
      <c r="V507" s="90"/>
      <c r="W507" s="90"/>
      <c r="X507" s="90"/>
      <c r="Y507" s="90"/>
      <c r="Z507" s="90"/>
      <c r="AA507" s="90"/>
      <c r="AB507" s="90"/>
    </row>
    <row r="508" spans="1:28" ht="16">
      <c r="A508" s="100"/>
      <c r="B508" s="87"/>
      <c r="C508" s="94"/>
      <c r="D508" s="95"/>
      <c r="E508" s="96"/>
      <c r="F508" s="88"/>
      <c r="G508" s="89" t="b">
        <v>0</v>
      </c>
      <c r="H508" s="89"/>
      <c r="I508" s="90"/>
      <c r="J508" s="90"/>
      <c r="K508" s="90"/>
      <c r="L508" s="90"/>
      <c r="M508" s="90"/>
      <c r="N508" s="90"/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  <c r="AA508" s="90"/>
      <c r="AB508" s="90"/>
    </row>
    <row r="509" spans="1:28" ht="16">
      <c r="A509" s="100"/>
      <c r="B509" s="91"/>
      <c r="C509" s="97"/>
      <c r="D509" s="98"/>
      <c r="E509" s="99"/>
      <c r="F509" s="92"/>
      <c r="G509" s="93" t="b">
        <v>0</v>
      </c>
      <c r="H509" s="93"/>
      <c r="I509" s="90"/>
      <c r="J509" s="90"/>
      <c r="K509" s="90"/>
      <c r="L509" s="90"/>
      <c r="M509" s="90"/>
      <c r="N509" s="90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  <c r="AA509" s="90"/>
      <c r="AB509" s="90"/>
    </row>
    <row r="510" spans="1:28" ht="16">
      <c r="A510" s="100"/>
      <c r="B510" s="87"/>
      <c r="C510" s="94"/>
      <c r="D510" s="95"/>
      <c r="E510" s="96"/>
      <c r="F510" s="88"/>
      <c r="G510" s="89" t="b">
        <v>0</v>
      </c>
      <c r="H510" s="89"/>
      <c r="I510" s="90"/>
      <c r="J510" s="90"/>
      <c r="K510" s="90"/>
      <c r="L510" s="90"/>
      <c r="M510" s="90"/>
      <c r="N510" s="90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</row>
    <row r="511" spans="1:28" ht="16">
      <c r="A511" s="100"/>
      <c r="B511" s="91"/>
      <c r="C511" s="97"/>
      <c r="D511" s="98"/>
      <c r="E511" s="99"/>
      <c r="F511" s="92"/>
      <c r="G511" s="93" t="b">
        <v>0</v>
      </c>
      <c r="H511" s="93"/>
      <c r="I511" s="90"/>
      <c r="J511" s="90"/>
      <c r="K511" s="90"/>
      <c r="L511" s="90"/>
      <c r="M511" s="90"/>
      <c r="N511" s="90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</row>
    <row r="512" spans="1:28" ht="16">
      <c r="A512" s="100"/>
      <c r="B512" s="87"/>
      <c r="C512" s="94"/>
      <c r="D512" s="95"/>
      <c r="E512" s="96"/>
      <c r="F512" s="88"/>
      <c r="G512" s="89" t="b">
        <v>0</v>
      </c>
      <c r="H512" s="89"/>
      <c r="I512" s="90"/>
      <c r="J512" s="90"/>
      <c r="K512" s="90"/>
      <c r="L512" s="90"/>
      <c r="M512" s="90"/>
      <c r="N512" s="90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</row>
    <row r="513" spans="1:28" ht="16">
      <c r="A513" s="100"/>
      <c r="B513" s="91"/>
      <c r="C513" s="97"/>
      <c r="D513" s="98"/>
      <c r="E513" s="99"/>
      <c r="F513" s="92"/>
      <c r="G513" s="93" t="b">
        <v>0</v>
      </c>
      <c r="H513" s="93"/>
      <c r="I513" s="90"/>
      <c r="J513" s="90"/>
      <c r="K513" s="90"/>
      <c r="L513" s="90"/>
      <c r="M513" s="90"/>
      <c r="N513" s="90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</row>
    <row r="514" spans="1:28" ht="16">
      <c r="A514" s="100"/>
      <c r="B514" s="87"/>
      <c r="C514" s="94"/>
      <c r="D514" s="95"/>
      <c r="E514" s="96"/>
      <c r="F514" s="88"/>
      <c r="G514" s="89" t="b">
        <v>0</v>
      </c>
      <c r="H514" s="89"/>
      <c r="I514" s="90"/>
      <c r="J514" s="90"/>
      <c r="K514" s="90"/>
      <c r="L514" s="90"/>
      <c r="M514" s="90"/>
      <c r="N514" s="90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</row>
    <row r="515" spans="1:28" ht="16">
      <c r="A515" s="100"/>
      <c r="B515" s="91"/>
      <c r="C515" s="97"/>
      <c r="D515" s="98"/>
      <c r="E515" s="99"/>
      <c r="F515" s="92"/>
      <c r="G515" s="93" t="b">
        <v>0</v>
      </c>
      <c r="H515" s="93"/>
      <c r="I515" s="90"/>
      <c r="J515" s="90"/>
      <c r="K515" s="90"/>
      <c r="L515" s="90"/>
      <c r="M515" s="90"/>
      <c r="N515" s="90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</row>
    <row r="516" spans="1:28" ht="16">
      <c r="A516" s="100"/>
      <c r="B516" s="87"/>
      <c r="C516" s="94"/>
      <c r="D516" s="95"/>
      <c r="E516" s="96"/>
      <c r="F516" s="88"/>
      <c r="G516" s="89" t="b">
        <v>0</v>
      </c>
      <c r="H516" s="89"/>
      <c r="I516" s="90"/>
      <c r="J516" s="90"/>
      <c r="K516" s="90"/>
      <c r="L516" s="90"/>
      <c r="M516" s="90"/>
      <c r="N516" s="90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</row>
    <row r="517" spans="1:28" ht="16">
      <c r="A517" s="100"/>
      <c r="B517" s="91"/>
      <c r="C517" s="97"/>
      <c r="D517" s="98"/>
      <c r="E517" s="99"/>
      <c r="F517" s="92"/>
      <c r="G517" s="93" t="b">
        <v>0</v>
      </c>
      <c r="H517" s="93"/>
      <c r="I517" s="90"/>
      <c r="J517" s="90"/>
      <c r="K517" s="90"/>
      <c r="L517" s="90"/>
      <c r="M517" s="90"/>
      <c r="N517" s="90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  <c r="AA517" s="90"/>
      <c r="AB517" s="90"/>
    </row>
    <row r="518" spans="1:28" ht="16">
      <c r="A518" s="100"/>
      <c r="B518" s="87"/>
      <c r="C518" s="94"/>
      <c r="D518" s="95"/>
      <c r="E518" s="96"/>
      <c r="F518" s="88"/>
      <c r="G518" s="89" t="b">
        <v>0</v>
      </c>
      <c r="H518" s="89"/>
      <c r="I518" s="90"/>
      <c r="J518" s="90"/>
      <c r="K518" s="90"/>
      <c r="L518" s="90"/>
      <c r="M518" s="90"/>
      <c r="N518" s="90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</row>
    <row r="519" spans="1:28" ht="16">
      <c r="A519" s="100"/>
      <c r="B519" s="91"/>
      <c r="C519" s="97"/>
      <c r="D519" s="98"/>
      <c r="E519" s="99"/>
      <c r="F519" s="92"/>
      <c r="G519" s="93" t="b">
        <v>0</v>
      </c>
      <c r="H519" s="93"/>
      <c r="I519" s="90"/>
      <c r="J519" s="90"/>
      <c r="K519" s="90"/>
      <c r="L519" s="90"/>
      <c r="M519" s="90"/>
      <c r="N519" s="90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</row>
    <row r="520" spans="1:28" ht="16">
      <c r="A520" s="100"/>
      <c r="B520" s="87"/>
      <c r="C520" s="94"/>
      <c r="D520" s="95"/>
      <c r="E520" s="96"/>
      <c r="F520" s="88"/>
      <c r="G520" s="89" t="b">
        <v>0</v>
      </c>
      <c r="H520" s="89"/>
      <c r="I520" s="90"/>
      <c r="J520" s="90"/>
      <c r="K520" s="90"/>
      <c r="L520" s="90"/>
      <c r="M520" s="90"/>
      <c r="N520" s="90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</row>
    <row r="521" spans="1:28" ht="16">
      <c r="A521" s="100"/>
      <c r="B521" s="91"/>
      <c r="C521" s="97"/>
      <c r="D521" s="98"/>
      <c r="E521" s="99"/>
      <c r="F521" s="92"/>
      <c r="G521" s="93" t="b">
        <v>0</v>
      </c>
      <c r="H521" s="93"/>
      <c r="I521" s="90"/>
      <c r="J521" s="90"/>
      <c r="K521" s="90"/>
      <c r="L521" s="90"/>
      <c r="M521" s="90"/>
      <c r="N521" s="90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</row>
    <row r="522" spans="1:28" ht="16">
      <c r="A522" s="100"/>
      <c r="B522" s="87"/>
      <c r="C522" s="94"/>
      <c r="D522" s="95"/>
      <c r="E522" s="96"/>
      <c r="F522" s="88"/>
      <c r="G522" s="89" t="b">
        <v>0</v>
      </c>
      <c r="H522" s="89"/>
      <c r="I522" s="90"/>
      <c r="J522" s="90"/>
      <c r="K522" s="90"/>
      <c r="L522" s="90"/>
      <c r="M522" s="90"/>
      <c r="N522" s="90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</row>
    <row r="523" spans="1:28" ht="16">
      <c r="A523" s="100"/>
      <c r="B523" s="91"/>
      <c r="C523" s="97"/>
      <c r="D523" s="98"/>
      <c r="E523" s="99"/>
      <c r="F523" s="92"/>
      <c r="G523" s="93" t="b">
        <v>0</v>
      </c>
      <c r="H523" s="93"/>
      <c r="I523" s="90"/>
      <c r="J523" s="90"/>
      <c r="K523" s="90"/>
      <c r="L523" s="90"/>
      <c r="M523" s="90"/>
      <c r="N523" s="90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</row>
    <row r="524" spans="1:28" ht="16">
      <c r="A524" s="100"/>
      <c r="B524" s="87"/>
      <c r="C524" s="94"/>
      <c r="D524" s="95"/>
      <c r="E524" s="96"/>
      <c r="F524" s="88"/>
      <c r="G524" s="89" t="b">
        <v>0</v>
      </c>
      <c r="H524" s="89"/>
      <c r="I524" s="90"/>
      <c r="J524" s="90"/>
      <c r="K524" s="90"/>
      <c r="L524" s="90"/>
      <c r="M524" s="90"/>
      <c r="N524" s="90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</row>
    <row r="525" spans="1:28" ht="16">
      <c r="A525" s="100"/>
      <c r="B525" s="91"/>
      <c r="C525" s="97"/>
      <c r="D525" s="98"/>
      <c r="E525" s="99"/>
      <c r="F525" s="92"/>
      <c r="G525" s="93" t="b">
        <v>0</v>
      </c>
      <c r="H525" s="93"/>
      <c r="I525" s="90"/>
      <c r="J525" s="90"/>
      <c r="K525" s="90"/>
      <c r="L525" s="90"/>
      <c r="M525" s="90"/>
      <c r="N525" s="90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</row>
    <row r="526" spans="1:28" ht="16">
      <c r="A526" s="100"/>
      <c r="B526" s="87"/>
      <c r="C526" s="94"/>
      <c r="D526" s="95"/>
      <c r="E526" s="96"/>
      <c r="F526" s="88"/>
      <c r="G526" s="89" t="b">
        <v>0</v>
      </c>
      <c r="H526" s="89"/>
      <c r="I526" s="90"/>
      <c r="J526" s="90"/>
      <c r="K526" s="90"/>
      <c r="L526" s="90"/>
      <c r="M526" s="90"/>
      <c r="N526" s="90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</row>
    <row r="527" spans="1:28" ht="16">
      <c r="A527" s="100"/>
      <c r="B527" s="91"/>
      <c r="C527" s="97"/>
      <c r="D527" s="98"/>
      <c r="E527" s="99"/>
      <c r="F527" s="92"/>
      <c r="G527" s="93" t="b">
        <v>0</v>
      </c>
      <c r="H527" s="93"/>
      <c r="I527" s="90"/>
      <c r="J527" s="90"/>
      <c r="K527" s="90"/>
      <c r="L527" s="90"/>
      <c r="M527" s="90"/>
      <c r="N527" s="90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</row>
    <row r="528" spans="1:28" ht="16">
      <c r="A528" s="100"/>
      <c r="B528" s="87"/>
      <c r="C528" s="94"/>
      <c r="D528" s="95"/>
      <c r="E528" s="96"/>
      <c r="F528" s="88"/>
      <c r="G528" s="89" t="b">
        <v>0</v>
      </c>
      <c r="H528" s="89"/>
      <c r="I528" s="90"/>
      <c r="J528" s="90"/>
      <c r="K528" s="90"/>
      <c r="L528" s="90"/>
      <c r="M528" s="90"/>
      <c r="N528" s="90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</row>
    <row r="529" spans="1:28" ht="16">
      <c r="A529" s="100"/>
      <c r="B529" s="91"/>
      <c r="C529" s="97"/>
      <c r="D529" s="98"/>
      <c r="E529" s="99"/>
      <c r="F529" s="92"/>
      <c r="G529" s="93" t="b">
        <v>0</v>
      </c>
      <c r="H529" s="93"/>
      <c r="I529" s="90"/>
      <c r="J529" s="90"/>
      <c r="K529" s="90"/>
      <c r="L529" s="90"/>
      <c r="M529" s="90"/>
      <c r="N529" s="90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</row>
    <row r="530" spans="1:28" ht="16">
      <c r="A530" s="100"/>
      <c r="B530" s="87"/>
      <c r="C530" s="94"/>
      <c r="D530" s="95"/>
      <c r="E530" s="96"/>
      <c r="F530" s="88"/>
      <c r="G530" s="89" t="b">
        <v>0</v>
      </c>
      <c r="H530" s="89"/>
      <c r="I530" s="90"/>
      <c r="J530" s="90"/>
      <c r="K530" s="90"/>
      <c r="L530" s="90"/>
      <c r="M530" s="90"/>
      <c r="N530" s="90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</row>
    <row r="531" spans="1:28" ht="16">
      <c r="A531" s="100"/>
      <c r="B531" s="91"/>
      <c r="C531" s="97"/>
      <c r="D531" s="98"/>
      <c r="E531" s="99"/>
      <c r="F531" s="92"/>
      <c r="G531" s="93" t="b">
        <v>0</v>
      </c>
      <c r="H531" s="93"/>
      <c r="I531" s="90"/>
      <c r="J531" s="90"/>
      <c r="K531" s="90"/>
      <c r="L531" s="90"/>
      <c r="M531" s="90"/>
      <c r="N531" s="90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</row>
    <row r="532" spans="1:28" ht="16">
      <c r="A532" s="100"/>
      <c r="B532" s="87"/>
      <c r="C532" s="94"/>
      <c r="D532" s="95"/>
      <c r="E532" s="96"/>
      <c r="F532" s="88"/>
      <c r="G532" s="89" t="b">
        <v>0</v>
      </c>
      <c r="H532" s="89"/>
      <c r="I532" s="90"/>
      <c r="J532" s="90"/>
      <c r="K532" s="90"/>
      <c r="L532" s="90"/>
      <c r="M532" s="90"/>
      <c r="N532" s="90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</row>
    <row r="533" spans="1:28" ht="16">
      <c r="A533" s="100"/>
      <c r="B533" s="91"/>
      <c r="C533" s="97"/>
      <c r="D533" s="98"/>
      <c r="E533" s="99"/>
      <c r="F533" s="92"/>
      <c r="G533" s="93" t="b">
        <v>0</v>
      </c>
      <c r="H533" s="93"/>
      <c r="I533" s="90"/>
      <c r="J533" s="90"/>
      <c r="K533" s="90"/>
      <c r="L533" s="90"/>
      <c r="M533" s="90"/>
      <c r="N533" s="90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</row>
    <row r="534" spans="1:28" ht="16">
      <c r="A534" s="100"/>
      <c r="B534" s="87"/>
      <c r="C534" s="94"/>
      <c r="D534" s="95"/>
      <c r="E534" s="96"/>
      <c r="F534" s="88"/>
      <c r="G534" s="89" t="b">
        <v>0</v>
      </c>
      <c r="H534" s="89"/>
      <c r="I534" s="90"/>
      <c r="J534" s="90"/>
      <c r="K534" s="90"/>
      <c r="L534" s="90"/>
      <c r="M534" s="90"/>
      <c r="N534" s="90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</row>
    <row r="535" spans="1:28" ht="16">
      <c r="A535" s="100"/>
      <c r="B535" s="91"/>
      <c r="C535" s="97"/>
      <c r="D535" s="98"/>
      <c r="E535" s="99"/>
      <c r="F535" s="92"/>
      <c r="G535" s="93" t="b">
        <v>0</v>
      </c>
      <c r="H535" s="93"/>
      <c r="I535" s="90"/>
      <c r="J535" s="90"/>
      <c r="K535" s="90"/>
      <c r="L535" s="90"/>
      <c r="M535" s="90"/>
      <c r="N535" s="90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</row>
    <row r="536" spans="1:28" ht="16">
      <c r="A536" s="100"/>
      <c r="B536" s="87"/>
      <c r="C536" s="94"/>
      <c r="D536" s="95"/>
      <c r="E536" s="96"/>
      <c r="F536" s="88"/>
      <c r="G536" s="89" t="b">
        <v>0</v>
      </c>
      <c r="H536" s="89"/>
      <c r="I536" s="90"/>
      <c r="J536" s="90"/>
      <c r="K536" s="90"/>
      <c r="L536" s="90"/>
      <c r="M536" s="90"/>
      <c r="N536" s="90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</row>
    <row r="537" spans="1:28" ht="16">
      <c r="A537" s="100"/>
      <c r="B537" s="91"/>
      <c r="C537" s="97"/>
      <c r="D537" s="98"/>
      <c r="E537" s="99"/>
      <c r="F537" s="92"/>
      <c r="G537" s="93" t="b">
        <v>0</v>
      </c>
      <c r="H537" s="93"/>
      <c r="I537" s="90"/>
      <c r="J537" s="90"/>
      <c r="K537" s="90"/>
      <c r="L537" s="90"/>
      <c r="M537" s="90"/>
      <c r="N537" s="90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</row>
    <row r="538" spans="1:28" ht="16">
      <c r="A538" s="100"/>
      <c r="B538" s="87"/>
      <c r="C538" s="94"/>
      <c r="D538" s="95"/>
      <c r="E538" s="96"/>
      <c r="F538" s="88"/>
      <c r="G538" s="89" t="b">
        <v>0</v>
      </c>
      <c r="H538" s="89"/>
      <c r="I538" s="90"/>
      <c r="J538" s="90"/>
      <c r="K538" s="90"/>
      <c r="L538" s="90"/>
      <c r="M538" s="90"/>
      <c r="N538" s="90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</row>
    <row r="539" spans="1:28" ht="16">
      <c r="A539" s="100"/>
      <c r="B539" s="91"/>
      <c r="C539" s="97"/>
      <c r="D539" s="98"/>
      <c r="E539" s="99"/>
      <c r="F539" s="92"/>
      <c r="G539" s="93" t="b">
        <v>0</v>
      </c>
      <c r="H539" s="93"/>
      <c r="I539" s="90"/>
      <c r="J539" s="90"/>
      <c r="K539" s="90"/>
      <c r="L539" s="90"/>
      <c r="M539" s="90"/>
      <c r="N539" s="90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</row>
    <row r="540" spans="1:28" ht="16">
      <c r="A540" s="100"/>
      <c r="B540" s="87"/>
      <c r="C540" s="94"/>
      <c r="D540" s="95"/>
      <c r="E540" s="96"/>
      <c r="F540" s="88"/>
      <c r="G540" s="89" t="b">
        <v>0</v>
      </c>
      <c r="H540" s="89"/>
      <c r="I540" s="90"/>
      <c r="J540" s="90"/>
      <c r="K540" s="90"/>
      <c r="L540" s="90"/>
      <c r="M540" s="90"/>
      <c r="N540" s="90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</row>
    <row r="541" spans="1:28" ht="16">
      <c r="A541" s="100"/>
      <c r="B541" s="91"/>
      <c r="C541" s="97"/>
      <c r="D541" s="98"/>
      <c r="E541" s="99"/>
      <c r="F541" s="92"/>
      <c r="G541" s="93" t="b">
        <v>0</v>
      </c>
      <c r="H541" s="93"/>
      <c r="I541" s="90"/>
      <c r="J541" s="90"/>
      <c r="K541" s="90"/>
      <c r="L541" s="90"/>
      <c r="M541" s="90"/>
      <c r="N541" s="90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</row>
    <row r="542" spans="1:28" ht="16">
      <c r="A542" s="100"/>
      <c r="B542" s="87"/>
      <c r="C542" s="94"/>
      <c r="D542" s="95"/>
      <c r="E542" s="96"/>
      <c r="F542" s="88"/>
      <c r="G542" s="89" t="b">
        <v>0</v>
      </c>
      <c r="H542" s="89"/>
      <c r="I542" s="90"/>
      <c r="J542" s="90"/>
      <c r="K542" s="90"/>
      <c r="L542" s="90"/>
      <c r="M542" s="90"/>
      <c r="N542" s="90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</row>
    <row r="543" spans="1:28" ht="16">
      <c r="A543" s="100"/>
      <c r="B543" s="91"/>
      <c r="C543" s="97"/>
      <c r="D543" s="98"/>
      <c r="E543" s="99"/>
      <c r="F543" s="92"/>
      <c r="G543" s="93" t="b">
        <v>0</v>
      </c>
      <c r="H543" s="93"/>
      <c r="I543" s="90"/>
      <c r="J543" s="90"/>
      <c r="K543" s="90"/>
      <c r="L543" s="90"/>
      <c r="M543" s="90"/>
      <c r="N543" s="90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</row>
    <row r="544" spans="1:28" ht="16">
      <c r="A544" s="100"/>
      <c r="B544" s="87"/>
      <c r="C544" s="94"/>
      <c r="D544" s="95"/>
      <c r="E544" s="96"/>
      <c r="F544" s="88"/>
      <c r="G544" s="89" t="b">
        <v>0</v>
      </c>
      <c r="H544" s="89"/>
      <c r="I544" s="90"/>
      <c r="J544" s="90"/>
      <c r="K544" s="90"/>
      <c r="L544" s="90"/>
      <c r="M544" s="90"/>
      <c r="N544" s="90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</row>
    <row r="545" spans="1:28" ht="16">
      <c r="A545" s="100"/>
      <c r="B545" s="91"/>
      <c r="C545" s="97"/>
      <c r="D545" s="98"/>
      <c r="E545" s="99"/>
      <c r="F545" s="92"/>
      <c r="G545" s="93" t="b">
        <v>0</v>
      </c>
      <c r="H545" s="93"/>
      <c r="I545" s="90"/>
      <c r="J545" s="90"/>
      <c r="K545" s="90"/>
      <c r="L545" s="90"/>
      <c r="M545" s="90"/>
      <c r="N545" s="90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</row>
    <row r="546" spans="1:28" ht="16">
      <c r="A546" s="100"/>
      <c r="B546" s="87"/>
      <c r="C546" s="94"/>
      <c r="D546" s="95"/>
      <c r="E546" s="96"/>
      <c r="F546" s="88"/>
      <c r="G546" s="89" t="b">
        <v>0</v>
      </c>
      <c r="H546" s="89"/>
      <c r="I546" s="90"/>
      <c r="J546" s="90"/>
      <c r="K546" s="90"/>
      <c r="L546" s="90"/>
      <c r="M546" s="90"/>
      <c r="N546" s="90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</row>
    <row r="547" spans="1:28" ht="16">
      <c r="A547" s="100"/>
      <c r="B547" s="91"/>
      <c r="C547" s="97"/>
      <c r="D547" s="98"/>
      <c r="E547" s="99"/>
      <c r="F547" s="92"/>
      <c r="G547" s="93" t="b">
        <v>0</v>
      </c>
      <c r="H547" s="93"/>
      <c r="I547" s="90"/>
      <c r="J547" s="90"/>
      <c r="K547" s="90"/>
      <c r="L547" s="90"/>
      <c r="M547" s="90"/>
      <c r="N547" s="90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</row>
    <row r="548" spans="1:28" ht="16">
      <c r="A548" s="100"/>
      <c r="B548" s="87"/>
      <c r="C548" s="94"/>
      <c r="D548" s="95"/>
      <c r="E548" s="96"/>
      <c r="F548" s="88"/>
      <c r="G548" s="89" t="b">
        <v>0</v>
      </c>
      <c r="H548" s="89"/>
      <c r="I548" s="90"/>
      <c r="J548" s="90"/>
      <c r="K548" s="90"/>
      <c r="L548" s="90"/>
      <c r="M548" s="90"/>
      <c r="N548" s="90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</row>
    <row r="549" spans="1:28" ht="16">
      <c r="A549" s="100"/>
      <c r="B549" s="91"/>
      <c r="C549" s="97"/>
      <c r="D549" s="98"/>
      <c r="E549" s="99"/>
      <c r="F549" s="92"/>
      <c r="G549" s="93" t="b">
        <v>0</v>
      </c>
      <c r="H549" s="93"/>
      <c r="I549" s="90"/>
      <c r="J549" s="90"/>
      <c r="K549" s="90"/>
      <c r="L549" s="90"/>
      <c r="M549" s="90"/>
      <c r="N549" s="90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</row>
    <row r="550" spans="1:28" ht="16">
      <c r="A550" s="100"/>
      <c r="B550" s="87"/>
      <c r="C550" s="94"/>
      <c r="D550" s="95"/>
      <c r="E550" s="96"/>
      <c r="F550" s="88"/>
      <c r="G550" s="89" t="b">
        <v>0</v>
      </c>
      <c r="H550" s="89"/>
      <c r="I550" s="90"/>
      <c r="J550" s="90"/>
      <c r="K550" s="90"/>
      <c r="L550" s="90"/>
      <c r="M550" s="90"/>
      <c r="N550" s="90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</row>
    <row r="551" spans="1:28" ht="16">
      <c r="A551" s="100"/>
      <c r="B551" s="91"/>
      <c r="C551" s="97"/>
      <c r="D551" s="98"/>
      <c r="E551" s="99"/>
      <c r="F551" s="92"/>
      <c r="G551" s="93" t="b">
        <v>0</v>
      </c>
      <c r="H551" s="93"/>
      <c r="I551" s="90"/>
      <c r="J551" s="90"/>
      <c r="K551" s="90"/>
      <c r="L551" s="90"/>
      <c r="M551" s="90"/>
      <c r="N551" s="90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</row>
    <row r="552" spans="1:28" ht="16">
      <c r="A552" s="100"/>
      <c r="B552" s="87"/>
      <c r="C552" s="94"/>
      <c r="D552" s="95"/>
      <c r="E552" s="96"/>
      <c r="F552" s="88"/>
      <c r="G552" s="89" t="b">
        <v>0</v>
      </c>
      <c r="H552" s="89"/>
      <c r="I552" s="90"/>
      <c r="J552" s="90"/>
      <c r="K552" s="90"/>
      <c r="L552" s="90"/>
      <c r="M552" s="90"/>
      <c r="N552" s="90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</row>
    <row r="553" spans="1:28" ht="16">
      <c r="A553" s="100"/>
      <c r="B553" s="91"/>
      <c r="C553" s="97"/>
      <c r="D553" s="98"/>
      <c r="E553" s="99"/>
      <c r="F553" s="92"/>
      <c r="G553" s="93" t="b">
        <v>0</v>
      </c>
      <c r="H553" s="93"/>
      <c r="I553" s="90"/>
      <c r="J553" s="90"/>
      <c r="K553" s="90"/>
      <c r="L553" s="90"/>
      <c r="M553" s="90"/>
      <c r="N553" s="90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</row>
    <row r="554" spans="1:28" ht="16">
      <c r="A554" s="100"/>
      <c r="B554" s="87"/>
      <c r="C554" s="94"/>
      <c r="D554" s="95"/>
      <c r="E554" s="96"/>
      <c r="F554" s="88"/>
      <c r="G554" s="89" t="b">
        <v>0</v>
      </c>
      <c r="H554" s="89"/>
      <c r="I554" s="90"/>
      <c r="J554" s="90"/>
      <c r="K554" s="90"/>
      <c r="L554" s="90"/>
      <c r="M554" s="90"/>
      <c r="N554" s="90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</row>
    <row r="555" spans="1:28" ht="16">
      <c r="A555" s="100"/>
      <c r="B555" s="91"/>
      <c r="C555" s="97"/>
      <c r="D555" s="98"/>
      <c r="E555" s="99"/>
      <c r="F555" s="92"/>
      <c r="G555" s="93" t="b">
        <v>0</v>
      </c>
      <c r="H555" s="93"/>
      <c r="I555" s="90"/>
      <c r="J555" s="90"/>
      <c r="K555" s="90"/>
      <c r="L555" s="90"/>
      <c r="M555" s="90"/>
      <c r="N555" s="90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</row>
    <row r="556" spans="1:28" ht="16">
      <c r="A556" s="100"/>
      <c r="B556" s="87"/>
      <c r="C556" s="94"/>
      <c r="D556" s="95"/>
      <c r="E556" s="96"/>
      <c r="F556" s="88"/>
      <c r="G556" s="89" t="b">
        <v>0</v>
      </c>
      <c r="H556" s="89"/>
      <c r="I556" s="90"/>
      <c r="J556" s="90"/>
      <c r="K556" s="90"/>
      <c r="L556" s="90"/>
      <c r="M556" s="90"/>
      <c r="N556" s="90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</row>
    <row r="557" spans="1:28" ht="16">
      <c r="A557" s="100"/>
      <c r="B557" s="91"/>
      <c r="C557" s="97"/>
      <c r="D557" s="98"/>
      <c r="E557" s="99"/>
      <c r="F557" s="92"/>
      <c r="G557" s="93" t="b">
        <v>0</v>
      </c>
      <c r="H557" s="93"/>
      <c r="I557" s="90"/>
      <c r="J557" s="90"/>
      <c r="K557" s="90"/>
      <c r="L557" s="90"/>
      <c r="M557" s="90"/>
      <c r="N557" s="90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</row>
    <row r="558" spans="1:28" ht="16">
      <c r="A558" s="100"/>
      <c r="B558" s="87"/>
      <c r="C558" s="94"/>
      <c r="D558" s="95"/>
      <c r="E558" s="96"/>
      <c r="F558" s="88"/>
      <c r="G558" s="89" t="b">
        <v>0</v>
      </c>
      <c r="H558" s="89"/>
      <c r="I558" s="90"/>
      <c r="J558" s="90"/>
      <c r="K558" s="90"/>
      <c r="L558" s="90"/>
      <c r="M558" s="90"/>
      <c r="N558" s="90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</row>
    <row r="559" spans="1:28" ht="16">
      <c r="A559" s="100"/>
      <c r="B559" s="91"/>
      <c r="C559" s="97"/>
      <c r="D559" s="98"/>
      <c r="E559" s="99"/>
      <c r="F559" s="92"/>
      <c r="G559" s="93" t="b">
        <v>0</v>
      </c>
      <c r="H559" s="93"/>
      <c r="I559" s="90"/>
      <c r="J559" s="90"/>
      <c r="K559" s="90"/>
      <c r="L559" s="90"/>
      <c r="M559" s="90"/>
      <c r="N559" s="90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</row>
    <row r="560" spans="1:28" ht="16">
      <c r="A560" s="100"/>
      <c r="B560" s="87"/>
      <c r="C560" s="94"/>
      <c r="D560" s="95"/>
      <c r="E560" s="96"/>
      <c r="F560" s="88"/>
      <c r="G560" s="89" t="b">
        <v>0</v>
      </c>
      <c r="H560" s="89"/>
      <c r="I560" s="90"/>
      <c r="J560" s="90"/>
      <c r="K560" s="90"/>
      <c r="L560" s="90"/>
      <c r="M560" s="90"/>
      <c r="N560" s="90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</row>
    <row r="561" spans="1:28" ht="16">
      <c r="A561" s="100"/>
      <c r="B561" s="91"/>
      <c r="C561" s="97"/>
      <c r="D561" s="98"/>
      <c r="E561" s="99"/>
      <c r="F561" s="92"/>
      <c r="G561" s="93" t="b">
        <v>0</v>
      </c>
      <c r="H561" s="93"/>
      <c r="I561" s="90"/>
      <c r="J561" s="90"/>
      <c r="K561" s="90"/>
      <c r="L561" s="90"/>
      <c r="M561" s="90"/>
      <c r="N561" s="90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</row>
    <row r="562" spans="1:28" ht="16">
      <c r="A562" s="100"/>
      <c r="B562" s="87"/>
      <c r="C562" s="94"/>
      <c r="D562" s="95"/>
      <c r="E562" s="96"/>
      <c r="F562" s="88"/>
      <c r="G562" s="89" t="b">
        <v>0</v>
      </c>
      <c r="H562" s="89"/>
      <c r="I562" s="90"/>
      <c r="J562" s="90"/>
      <c r="K562" s="90"/>
      <c r="L562" s="90"/>
      <c r="M562" s="90"/>
      <c r="N562" s="90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</row>
    <row r="563" spans="1:28" ht="16">
      <c r="A563" s="100"/>
      <c r="B563" s="91"/>
      <c r="C563" s="97"/>
      <c r="D563" s="98"/>
      <c r="E563" s="99"/>
      <c r="F563" s="92"/>
      <c r="G563" s="93" t="b">
        <v>0</v>
      </c>
      <c r="H563" s="93"/>
      <c r="I563" s="90"/>
      <c r="J563" s="90"/>
      <c r="K563" s="90"/>
      <c r="L563" s="90"/>
      <c r="M563" s="90"/>
      <c r="N563" s="90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</row>
    <row r="564" spans="1:28" ht="16">
      <c r="A564" s="100"/>
      <c r="B564" s="87"/>
      <c r="C564" s="94"/>
      <c r="D564" s="95"/>
      <c r="E564" s="96"/>
      <c r="F564" s="88"/>
      <c r="G564" s="89" t="b">
        <v>0</v>
      </c>
      <c r="H564" s="89"/>
      <c r="I564" s="90"/>
      <c r="J564" s="90"/>
      <c r="K564" s="90"/>
      <c r="L564" s="90"/>
      <c r="M564" s="90"/>
      <c r="N564" s="90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</row>
    <row r="565" spans="1:28" ht="16">
      <c r="A565" s="100"/>
      <c r="B565" s="91"/>
      <c r="C565" s="97"/>
      <c r="D565" s="98"/>
      <c r="E565" s="99"/>
      <c r="F565" s="92"/>
      <c r="G565" s="93" t="b">
        <v>0</v>
      </c>
      <c r="H565" s="93"/>
      <c r="I565" s="90"/>
      <c r="J565" s="90"/>
      <c r="K565" s="90"/>
      <c r="L565" s="90"/>
      <c r="M565" s="90"/>
      <c r="N565" s="90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</row>
    <row r="566" spans="1:28" ht="16">
      <c r="A566" s="100"/>
      <c r="B566" s="87"/>
      <c r="C566" s="94"/>
      <c r="D566" s="95"/>
      <c r="E566" s="96"/>
      <c r="F566" s="88"/>
      <c r="G566" s="89" t="b">
        <v>0</v>
      </c>
      <c r="H566" s="89"/>
      <c r="I566" s="90"/>
      <c r="J566" s="90"/>
      <c r="K566" s="90"/>
      <c r="L566" s="90"/>
      <c r="M566" s="90"/>
      <c r="N566" s="90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</row>
    <row r="567" spans="1:28" ht="16">
      <c r="A567" s="100"/>
      <c r="B567" s="91"/>
      <c r="C567" s="97"/>
      <c r="D567" s="98"/>
      <c r="E567" s="99"/>
      <c r="F567" s="92"/>
      <c r="G567" s="93" t="b">
        <v>0</v>
      </c>
      <c r="H567" s="93"/>
      <c r="I567" s="90"/>
      <c r="J567" s="90"/>
      <c r="K567" s="90"/>
      <c r="L567" s="90"/>
      <c r="M567" s="90"/>
      <c r="N567" s="90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</row>
    <row r="568" spans="1:28" ht="16">
      <c r="A568" s="100"/>
      <c r="B568" s="87"/>
      <c r="C568" s="94"/>
      <c r="D568" s="95"/>
      <c r="E568" s="96"/>
      <c r="F568" s="88"/>
      <c r="G568" s="89" t="b">
        <v>0</v>
      </c>
      <c r="H568" s="89"/>
      <c r="I568" s="90"/>
      <c r="J568" s="90"/>
      <c r="K568" s="90"/>
      <c r="L568" s="90"/>
      <c r="M568" s="90"/>
      <c r="N568" s="90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</row>
    <row r="569" spans="1:28" ht="16">
      <c r="A569" s="100"/>
      <c r="B569" s="91"/>
      <c r="C569" s="97"/>
      <c r="D569" s="98"/>
      <c r="E569" s="99"/>
      <c r="F569" s="92"/>
      <c r="G569" s="93" t="b">
        <v>0</v>
      </c>
      <c r="H569" s="93"/>
      <c r="I569" s="90"/>
      <c r="J569" s="90"/>
      <c r="K569" s="90"/>
      <c r="L569" s="90"/>
      <c r="M569" s="90"/>
      <c r="N569" s="90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</row>
    <row r="570" spans="1:28" ht="16">
      <c r="A570" s="100"/>
      <c r="B570" s="87"/>
      <c r="C570" s="94"/>
      <c r="D570" s="95"/>
      <c r="E570" s="96"/>
      <c r="F570" s="88"/>
      <c r="G570" s="89" t="b">
        <v>0</v>
      </c>
      <c r="H570" s="89"/>
      <c r="I570" s="90"/>
      <c r="J570" s="90"/>
      <c r="K570" s="90"/>
      <c r="L570" s="90"/>
      <c r="M570" s="90"/>
      <c r="N570" s="90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</row>
    <row r="571" spans="1:28" ht="16">
      <c r="A571" s="100"/>
      <c r="B571" s="91"/>
      <c r="C571" s="97"/>
      <c r="D571" s="98"/>
      <c r="E571" s="99"/>
      <c r="F571" s="92"/>
      <c r="G571" s="93" t="b">
        <v>0</v>
      </c>
      <c r="H571" s="93"/>
      <c r="I571" s="90"/>
      <c r="J571" s="90"/>
      <c r="K571" s="90"/>
      <c r="L571" s="90"/>
      <c r="M571" s="90"/>
      <c r="N571" s="90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</row>
    <row r="572" spans="1:28" ht="16">
      <c r="A572" s="100"/>
      <c r="B572" s="87"/>
      <c r="C572" s="94"/>
      <c r="D572" s="95"/>
      <c r="E572" s="96"/>
      <c r="F572" s="88"/>
      <c r="G572" s="89" t="b">
        <v>0</v>
      </c>
      <c r="H572" s="89"/>
      <c r="I572" s="90"/>
      <c r="J572" s="90"/>
      <c r="K572" s="90"/>
      <c r="L572" s="90"/>
      <c r="M572" s="90"/>
      <c r="N572" s="90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</row>
    <row r="573" spans="1:28" ht="16">
      <c r="A573" s="100"/>
      <c r="B573" s="91"/>
      <c r="C573" s="97"/>
      <c r="D573" s="98"/>
      <c r="E573" s="99"/>
      <c r="F573" s="92"/>
      <c r="G573" s="93" t="b">
        <v>0</v>
      </c>
      <c r="H573" s="93"/>
      <c r="I573" s="90"/>
      <c r="J573" s="90"/>
      <c r="K573" s="90"/>
      <c r="L573" s="90"/>
      <c r="M573" s="90"/>
      <c r="N573" s="90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</row>
    <row r="574" spans="1:28" ht="16">
      <c r="A574" s="100"/>
      <c r="B574" s="87"/>
      <c r="C574" s="94"/>
      <c r="D574" s="95"/>
      <c r="E574" s="96"/>
      <c r="F574" s="88"/>
      <c r="G574" s="89" t="b">
        <v>0</v>
      </c>
      <c r="H574" s="89"/>
      <c r="I574" s="90"/>
      <c r="J574" s="90"/>
      <c r="K574" s="90"/>
      <c r="L574" s="90"/>
      <c r="M574" s="90"/>
      <c r="N574" s="90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</row>
    <row r="575" spans="1:28" ht="16">
      <c r="A575" s="100"/>
      <c r="B575" s="91"/>
      <c r="C575" s="97"/>
      <c r="D575" s="98"/>
      <c r="E575" s="99"/>
      <c r="F575" s="92"/>
      <c r="G575" s="93" t="b">
        <v>0</v>
      </c>
      <c r="H575" s="93"/>
      <c r="I575" s="90"/>
      <c r="J575" s="90"/>
      <c r="K575" s="90"/>
      <c r="L575" s="90"/>
      <c r="M575" s="90"/>
      <c r="N575" s="90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</row>
    <row r="576" spans="1:28" ht="16">
      <c r="A576" s="100"/>
      <c r="B576" s="87"/>
      <c r="C576" s="94"/>
      <c r="D576" s="95"/>
      <c r="E576" s="96"/>
      <c r="F576" s="88"/>
      <c r="G576" s="89" t="b">
        <v>0</v>
      </c>
      <c r="H576" s="89"/>
      <c r="I576" s="90"/>
      <c r="J576" s="90"/>
      <c r="K576" s="90"/>
      <c r="L576" s="90"/>
      <c r="M576" s="90"/>
      <c r="N576" s="90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</row>
    <row r="577" spans="1:28" ht="16">
      <c r="A577" s="100"/>
      <c r="B577" s="91"/>
      <c r="C577" s="97"/>
      <c r="D577" s="98"/>
      <c r="E577" s="99"/>
      <c r="F577" s="92"/>
      <c r="G577" s="93" t="b">
        <v>0</v>
      </c>
      <c r="H577" s="93"/>
      <c r="I577" s="90"/>
      <c r="J577" s="90"/>
      <c r="K577" s="90"/>
      <c r="L577" s="90"/>
      <c r="M577" s="90"/>
      <c r="N577" s="90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</row>
    <row r="578" spans="1:28" ht="16">
      <c r="A578" s="100"/>
      <c r="B578" s="87"/>
      <c r="C578" s="94"/>
      <c r="D578" s="95"/>
      <c r="E578" s="96"/>
      <c r="F578" s="88"/>
      <c r="G578" s="89" t="b">
        <v>0</v>
      </c>
      <c r="H578" s="89"/>
      <c r="I578" s="90"/>
      <c r="J578" s="90"/>
      <c r="K578" s="90"/>
      <c r="L578" s="90"/>
      <c r="M578" s="90"/>
      <c r="N578" s="90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</row>
    <row r="579" spans="1:28" ht="16">
      <c r="A579" s="100"/>
      <c r="B579" s="91"/>
      <c r="C579" s="97"/>
      <c r="D579" s="98"/>
      <c r="E579" s="99"/>
      <c r="F579" s="92"/>
      <c r="G579" s="93" t="b">
        <v>0</v>
      </c>
      <c r="H579" s="93"/>
      <c r="I579" s="90"/>
      <c r="J579" s="90"/>
      <c r="K579" s="90"/>
      <c r="L579" s="90"/>
      <c r="M579" s="90"/>
      <c r="N579" s="90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</row>
    <row r="580" spans="1:28" ht="16">
      <c r="A580" s="100"/>
      <c r="B580" s="87"/>
      <c r="C580" s="94"/>
      <c r="D580" s="95"/>
      <c r="E580" s="96"/>
      <c r="F580" s="88"/>
      <c r="G580" s="89" t="b">
        <v>0</v>
      </c>
      <c r="H580" s="89"/>
      <c r="I580" s="90"/>
      <c r="J580" s="90"/>
      <c r="K580" s="90"/>
      <c r="L580" s="90"/>
      <c r="M580" s="90"/>
      <c r="N580" s="90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</row>
    <row r="581" spans="1:28" ht="16">
      <c r="A581" s="100"/>
      <c r="B581" s="91"/>
      <c r="C581" s="97"/>
      <c r="D581" s="98"/>
      <c r="E581" s="99"/>
      <c r="F581" s="92"/>
      <c r="G581" s="93" t="b">
        <v>0</v>
      </c>
      <c r="H581" s="93"/>
      <c r="I581" s="90"/>
      <c r="J581" s="90"/>
      <c r="K581" s="90"/>
      <c r="L581" s="90"/>
      <c r="M581" s="90"/>
      <c r="N581" s="90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</row>
    <row r="582" spans="1:28" ht="16">
      <c r="A582" s="100"/>
      <c r="B582" s="87"/>
      <c r="C582" s="94"/>
      <c r="D582" s="95"/>
      <c r="E582" s="96"/>
      <c r="F582" s="88"/>
      <c r="G582" s="89" t="b">
        <v>0</v>
      </c>
      <c r="H582" s="89"/>
      <c r="I582" s="90"/>
      <c r="J582" s="90"/>
      <c r="K582" s="90"/>
      <c r="L582" s="90"/>
      <c r="M582" s="90"/>
      <c r="N582" s="90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</row>
    <row r="583" spans="1:28" ht="16">
      <c r="A583" s="100"/>
      <c r="B583" s="91"/>
      <c r="C583" s="97"/>
      <c r="D583" s="98"/>
      <c r="E583" s="99"/>
      <c r="F583" s="92"/>
      <c r="G583" s="93" t="b">
        <v>0</v>
      </c>
      <c r="H583" s="93"/>
      <c r="I583" s="90"/>
      <c r="J583" s="90"/>
      <c r="K583" s="90"/>
      <c r="L583" s="90"/>
      <c r="M583" s="90"/>
      <c r="N583" s="90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</row>
    <row r="584" spans="1:28" ht="16">
      <c r="A584" s="100"/>
      <c r="B584" s="87"/>
      <c r="C584" s="94"/>
      <c r="D584" s="95"/>
      <c r="E584" s="96"/>
      <c r="F584" s="88"/>
      <c r="G584" s="89" t="b">
        <v>0</v>
      </c>
      <c r="H584" s="89"/>
      <c r="I584" s="90"/>
      <c r="J584" s="90"/>
      <c r="K584" s="90"/>
      <c r="L584" s="90"/>
      <c r="M584" s="90"/>
      <c r="N584" s="90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</row>
    <row r="585" spans="1:28" ht="16">
      <c r="A585" s="100"/>
      <c r="B585" s="91"/>
      <c r="C585" s="97"/>
      <c r="D585" s="98"/>
      <c r="E585" s="99"/>
      <c r="F585" s="92"/>
      <c r="G585" s="93" t="b">
        <v>0</v>
      </c>
      <c r="H585" s="93"/>
      <c r="I585" s="90"/>
      <c r="J585" s="90"/>
      <c r="K585" s="90"/>
      <c r="L585" s="90"/>
      <c r="M585" s="90"/>
      <c r="N585" s="90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</row>
    <row r="586" spans="1:28" ht="16">
      <c r="A586" s="100"/>
      <c r="B586" s="87"/>
      <c r="C586" s="94"/>
      <c r="D586" s="95"/>
      <c r="E586" s="96"/>
      <c r="F586" s="88"/>
      <c r="G586" s="89" t="b">
        <v>0</v>
      </c>
      <c r="H586" s="89"/>
      <c r="I586" s="90"/>
      <c r="J586" s="90"/>
      <c r="K586" s="90"/>
      <c r="L586" s="90"/>
      <c r="M586" s="90"/>
      <c r="N586" s="90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</row>
    <row r="587" spans="1:28" ht="16">
      <c r="A587" s="100"/>
      <c r="B587" s="91"/>
      <c r="C587" s="97"/>
      <c r="D587" s="98"/>
      <c r="E587" s="99"/>
      <c r="F587" s="92"/>
      <c r="G587" s="93" t="b">
        <v>0</v>
      </c>
      <c r="H587" s="93"/>
      <c r="I587" s="90"/>
      <c r="J587" s="90"/>
      <c r="K587" s="90"/>
      <c r="L587" s="90"/>
      <c r="M587" s="90"/>
      <c r="N587" s="90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</row>
    <row r="588" spans="1:28" ht="16">
      <c r="A588" s="100"/>
      <c r="B588" s="87"/>
      <c r="C588" s="94"/>
      <c r="D588" s="95"/>
      <c r="E588" s="96"/>
      <c r="F588" s="88"/>
      <c r="G588" s="89" t="b">
        <v>0</v>
      </c>
      <c r="H588" s="89"/>
      <c r="I588" s="90"/>
      <c r="J588" s="90"/>
      <c r="K588" s="90"/>
      <c r="L588" s="90"/>
      <c r="M588" s="90"/>
      <c r="N588" s="90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</row>
    <row r="589" spans="1:28" ht="16">
      <c r="A589" s="100"/>
      <c r="B589" s="91"/>
      <c r="C589" s="97"/>
      <c r="D589" s="98"/>
      <c r="E589" s="99"/>
      <c r="F589" s="92"/>
      <c r="G589" s="93" t="b">
        <v>0</v>
      </c>
      <c r="H589" s="93"/>
      <c r="I589" s="90"/>
      <c r="J589" s="90"/>
      <c r="K589" s="90"/>
      <c r="L589" s="90"/>
      <c r="M589" s="90"/>
      <c r="N589" s="90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</row>
    <row r="590" spans="1:28" ht="16">
      <c r="A590" s="100"/>
      <c r="B590" s="87"/>
      <c r="C590" s="94"/>
      <c r="D590" s="95"/>
      <c r="E590" s="96"/>
      <c r="F590" s="88"/>
      <c r="G590" s="89" t="b">
        <v>0</v>
      </c>
      <c r="H590" s="89"/>
      <c r="I590" s="90"/>
      <c r="J590" s="90"/>
      <c r="K590" s="90"/>
      <c r="L590" s="90"/>
      <c r="M590" s="90"/>
      <c r="N590" s="90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</row>
    <row r="591" spans="1:28" ht="16">
      <c r="A591" s="100"/>
      <c r="B591" s="91"/>
      <c r="C591" s="97"/>
      <c r="D591" s="98"/>
      <c r="E591" s="99"/>
      <c r="F591" s="92"/>
      <c r="G591" s="93" t="b">
        <v>0</v>
      </c>
      <c r="H591" s="93"/>
      <c r="I591" s="90"/>
      <c r="J591" s="90"/>
      <c r="K591" s="90"/>
      <c r="L591" s="90"/>
      <c r="M591" s="90"/>
      <c r="N591" s="90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</row>
    <row r="592" spans="1:28" ht="16">
      <c r="A592" s="100"/>
      <c r="B592" s="87"/>
      <c r="C592" s="94"/>
      <c r="D592" s="95"/>
      <c r="E592" s="96"/>
      <c r="F592" s="88"/>
      <c r="G592" s="89" t="b">
        <v>0</v>
      </c>
      <c r="H592" s="89"/>
      <c r="I592" s="90"/>
      <c r="J592" s="90"/>
      <c r="K592" s="90"/>
      <c r="L592" s="90"/>
      <c r="M592" s="90"/>
      <c r="N592" s="90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</row>
    <row r="593" spans="1:28" ht="16">
      <c r="A593" s="100"/>
      <c r="B593" s="91"/>
      <c r="C593" s="97"/>
      <c r="D593" s="98"/>
      <c r="E593" s="99"/>
      <c r="F593" s="92"/>
      <c r="G593" s="93" t="b">
        <v>0</v>
      </c>
      <c r="H593" s="93"/>
      <c r="I593" s="90"/>
      <c r="J593" s="90"/>
      <c r="K593" s="90"/>
      <c r="L593" s="90"/>
      <c r="M593" s="90"/>
      <c r="N593" s="90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</row>
    <row r="594" spans="1:28" ht="16">
      <c r="A594" s="100"/>
      <c r="B594" s="87"/>
      <c r="C594" s="94"/>
      <c r="D594" s="95"/>
      <c r="E594" s="96"/>
      <c r="F594" s="88"/>
      <c r="G594" s="89" t="b">
        <v>0</v>
      </c>
      <c r="H594" s="89"/>
      <c r="I594" s="90"/>
      <c r="J594" s="90"/>
      <c r="K594" s="90"/>
      <c r="L594" s="90"/>
      <c r="M594" s="90"/>
      <c r="N594" s="90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</row>
    <row r="595" spans="1:28" ht="16">
      <c r="A595" s="100"/>
      <c r="B595" s="91"/>
      <c r="C595" s="97"/>
      <c r="D595" s="98"/>
      <c r="E595" s="99"/>
      <c r="F595" s="92"/>
      <c r="G595" s="93" t="b">
        <v>0</v>
      </c>
      <c r="H595" s="93"/>
      <c r="I595" s="90"/>
      <c r="J595" s="90"/>
      <c r="K595" s="90"/>
      <c r="L595" s="90"/>
      <c r="M595" s="90"/>
      <c r="N595" s="90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</row>
    <row r="596" spans="1:28" ht="16">
      <c r="A596" s="100"/>
      <c r="B596" s="87"/>
      <c r="C596" s="94"/>
      <c r="D596" s="95"/>
      <c r="E596" s="96"/>
      <c r="F596" s="88"/>
      <c r="G596" s="89" t="b">
        <v>0</v>
      </c>
      <c r="H596" s="89"/>
      <c r="I596" s="90"/>
      <c r="J596" s="90"/>
      <c r="K596" s="90"/>
      <c r="L596" s="90"/>
      <c r="M596" s="90"/>
      <c r="N596" s="90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</row>
    <row r="597" spans="1:28" ht="16">
      <c r="A597" s="100"/>
      <c r="B597" s="91"/>
      <c r="C597" s="97"/>
      <c r="D597" s="98"/>
      <c r="E597" s="99"/>
      <c r="F597" s="92"/>
      <c r="G597" s="93" t="b">
        <v>0</v>
      </c>
      <c r="H597" s="93"/>
      <c r="I597" s="90"/>
      <c r="J597" s="90"/>
      <c r="K597" s="90"/>
      <c r="L597" s="90"/>
      <c r="M597" s="90"/>
      <c r="N597" s="90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</row>
    <row r="598" spans="1:28" ht="16">
      <c r="A598" s="100"/>
      <c r="B598" s="87"/>
      <c r="C598" s="94"/>
      <c r="D598" s="95"/>
      <c r="E598" s="96"/>
      <c r="F598" s="88"/>
      <c r="G598" s="89" t="b">
        <v>0</v>
      </c>
      <c r="H598" s="89"/>
      <c r="I598" s="90"/>
      <c r="J598" s="90"/>
      <c r="K598" s="90"/>
      <c r="L598" s="90"/>
      <c r="M598" s="90"/>
      <c r="N598" s="90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</row>
    <row r="599" spans="1:28" ht="16">
      <c r="A599" s="100"/>
      <c r="B599" s="91"/>
      <c r="C599" s="97"/>
      <c r="D599" s="98"/>
      <c r="E599" s="99"/>
      <c r="F599" s="92"/>
      <c r="G599" s="93" t="b">
        <v>0</v>
      </c>
      <c r="H599" s="93"/>
      <c r="I599" s="90"/>
      <c r="J599" s="90"/>
      <c r="K599" s="90"/>
      <c r="L599" s="90"/>
      <c r="M599" s="90"/>
      <c r="N599" s="90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</row>
    <row r="600" spans="1:28" ht="16">
      <c r="A600" s="100"/>
      <c r="B600" s="87"/>
      <c r="C600" s="94"/>
      <c r="D600" s="95"/>
      <c r="E600" s="96"/>
      <c r="F600" s="88"/>
      <c r="G600" s="89" t="b">
        <v>0</v>
      </c>
      <c r="H600" s="89"/>
      <c r="I600" s="90"/>
      <c r="J600" s="90"/>
      <c r="K600" s="90"/>
      <c r="L600" s="90"/>
      <c r="M600" s="90"/>
      <c r="N600" s="90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</row>
    <row r="601" spans="1:28" ht="16">
      <c r="A601" s="100"/>
      <c r="B601" s="91"/>
      <c r="C601" s="97"/>
      <c r="D601" s="98"/>
      <c r="E601" s="99"/>
      <c r="F601" s="92"/>
      <c r="G601" s="93" t="b">
        <v>0</v>
      </c>
      <c r="H601" s="93"/>
      <c r="I601" s="90"/>
      <c r="J601" s="90"/>
      <c r="K601" s="90"/>
      <c r="L601" s="90"/>
      <c r="M601" s="90"/>
      <c r="N601" s="90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</row>
    <row r="602" spans="1:28" ht="16">
      <c r="A602" s="100"/>
      <c r="B602" s="87"/>
      <c r="C602" s="94"/>
      <c r="D602" s="95"/>
      <c r="E602" s="96"/>
      <c r="F602" s="88"/>
      <c r="G602" s="89" t="b">
        <v>0</v>
      </c>
      <c r="H602" s="89"/>
      <c r="I602" s="90"/>
      <c r="J602" s="90"/>
      <c r="K602" s="90"/>
      <c r="L602" s="90"/>
      <c r="M602" s="90"/>
      <c r="N602" s="90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</row>
    <row r="603" spans="1:28" ht="16">
      <c r="A603" s="100"/>
      <c r="B603" s="91"/>
      <c r="C603" s="97"/>
      <c r="D603" s="98"/>
      <c r="E603" s="99"/>
      <c r="F603" s="92"/>
      <c r="G603" s="93" t="b">
        <v>0</v>
      </c>
      <c r="H603" s="93"/>
      <c r="I603" s="90"/>
      <c r="J603" s="90"/>
      <c r="K603" s="90"/>
      <c r="L603" s="90"/>
      <c r="M603" s="90"/>
      <c r="N603" s="90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</row>
    <row r="604" spans="1:28" ht="16">
      <c r="A604" s="100"/>
      <c r="B604" s="87"/>
      <c r="C604" s="94"/>
      <c r="D604" s="95"/>
      <c r="E604" s="96"/>
      <c r="F604" s="88"/>
      <c r="G604" s="89" t="b">
        <v>0</v>
      </c>
      <c r="H604" s="89"/>
      <c r="I604" s="90"/>
      <c r="J604" s="90"/>
      <c r="K604" s="90"/>
      <c r="L604" s="90"/>
      <c r="M604" s="90"/>
      <c r="N604" s="90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</row>
    <row r="605" spans="1:28" ht="16">
      <c r="A605" s="100"/>
      <c r="B605" s="91"/>
      <c r="C605" s="97"/>
      <c r="D605" s="98"/>
      <c r="E605" s="99"/>
      <c r="F605" s="92"/>
      <c r="G605" s="93" t="b">
        <v>0</v>
      </c>
      <c r="H605" s="93"/>
      <c r="I605" s="90"/>
      <c r="J605" s="90"/>
      <c r="K605" s="90"/>
      <c r="L605" s="90"/>
      <c r="M605" s="90"/>
      <c r="N605" s="90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</row>
    <row r="606" spans="1:28" ht="16">
      <c r="A606" s="100"/>
      <c r="B606" s="87"/>
      <c r="C606" s="94"/>
      <c r="D606" s="95"/>
      <c r="E606" s="96"/>
      <c r="F606" s="88"/>
      <c r="G606" s="89" t="b">
        <v>0</v>
      </c>
      <c r="H606" s="89"/>
      <c r="I606" s="90"/>
      <c r="J606" s="90"/>
      <c r="K606" s="90"/>
      <c r="L606" s="90"/>
      <c r="M606" s="90"/>
      <c r="N606" s="90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</row>
    <row r="607" spans="1:28" ht="16">
      <c r="A607" s="100"/>
      <c r="B607" s="91"/>
      <c r="C607" s="97"/>
      <c r="D607" s="98"/>
      <c r="E607" s="99"/>
      <c r="F607" s="92"/>
      <c r="G607" s="93" t="b">
        <v>0</v>
      </c>
      <c r="H607" s="93"/>
      <c r="I607" s="90"/>
      <c r="J607" s="90"/>
      <c r="K607" s="90"/>
      <c r="L607" s="90"/>
      <c r="M607" s="90"/>
      <c r="N607" s="90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</row>
    <row r="608" spans="1:28" ht="16">
      <c r="A608" s="100"/>
      <c r="B608" s="87"/>
      <c r="C608" s="94"/>
      <c r="D608" s="95"/>
      <c r="E608" s="96"/>
      <c r="F608" s="88"/>
      <c r="G608" s="89" t="b">
        <v>0</v>
      </c>
      <c r="H608" s="89"/>
      <c r="I608" s="90"/>
      <c r="J608" s="90"/>
      <c r="K608" s="90"/>
      <c r="L608" s="90"/>
      <c r="M608" s="90"/>
      <c r="N608" s="90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</row>
    <row r="609" spans="1:28" ht="16">
      <c r="A609" s="100"/>
      <c r="B609" s="91"/>
      <c r="C609" s="97"/>
      <c r="D609" s="98"/>
      <c r="E609" s="99"/>
      <c r="F609" s="92"/>
      <c r="G609" s="93" t="b">
        <v>0</v>
      </c>
      <c r="H609" s="93"/>
      <c r="I609" s="90"/>
      <c r="J609" s="90"/>
      <c r="K609" s="90"/>
      <c r="L609" s="90"/>
      <c r="M609" s="90"/>
      <c r="N609" s="90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</row>
    <row r="610" spans="1:28" ht="16">
      <c r="A610" s="100"/>
      <c r="B610" s="87"/>
      <c r="C610" s="94"/>
      <c r="D610" s="95"/>
      <c r="E610" s="96"/>
      <c r="F610" s="88"/>
      <c r="G610" s="89" t="b">
        <v>0</v>
      </c>
      <c r="H610" s="89"/>
      <c r="I610" s="90"/>
      <c r="J610" s="90"/>
      <c r="K610" s="90"/>
      <c r="L610" s="90"/>
      <c r="M610" s="90"/>
      <c r="N610" s="90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</row>
    <row r="611" spans="1:28" ht="16">
      <c r="A611" s="100"/>
      <c r="B611" s="91"/>
      <c r="C611" s="97"/>
      <c r="D611" s="98"/>
      <c r="E611" s="99"/>
      <c r="F611" s="92"/>
      <c r="G611" s="93" t="b">
        <v>0</v>
      </c>
      <c r="H611" s="93"/>
      <c r="I611" s="90"/>
      <c r="J611" s="90"/>
      <c r="K611" s="90"/>
      <c r="L611" s="90"/>
      <c r="M611" s="90"/>
      <c r="N611" s="90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</row>
    <row r="612" spans="1:28" ht="16">
      <c r="A612" s="100"/>
      <c r="B612" s="87"/>
      <c r="C612" s="94"/>
      <c r="D612" s="95"/>
      <c r="E612" s="96"/>
      <c r="F612" s="88"/>
      <c r="G612" s="89" t="b">
        <v>0</v>
      </c>
      <c r="H612" s="89"/>
      <c r="I612" s="90"/>
      <c r="J612" s="90"/>
      <c r="K612" s="90"/>
      <c r="L612" s="90"/>
      <c r="M612" s="90"/>
      <c r="N612" s="90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</row>
    <row r="613" spans="1:28" ht="16">
      <c r="A613" s="100"/>
      <c r="B613" s="91"/>
      <c r="C613" s="97"/>
      <c r="D613" s="98"/>
      <c r="E613" s="99"/>
      <c r="F613" s="92"/>
      <c r="G613" s="93" t="b">
        <v>0</v>
      </c>
      <c r="H613" s="93"/>
      <c r="I613" s="90"/>
      <c r="J613" s="90"/>
      <c r="K613" s="90"/>
      <c r="L613" s="90"/>
      <c r="M613" s="90"/>
      <c r="N613" s="90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</row>
    <row r="614" spans="1:28" ht="16">
      <c r="A614" s="100"/>
      <c r="B614" s="87"/>
      <c r="C614" s="94"/>
      <c r="D614" s="95"/>
      <c r="E614" s="96"/>
      <c r="F614" s="88"/>
      <c r="G614" s="89" t="b">
        <v>0</v>
      </c>
      <c r="H614" s="89"/>
      <c r="I614" s="90"/>
      <c r="J614" s="90"/>
      <c r="K614" s="90"/>
      <c r="L614" s="90"/>
      <c r="M614" s="90"/>
      <c r="N614" s="90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</row>
    <row r="615" spans="1:28" ht="16">
      <c r="A615" s="100"/>
      <c r="B615" s="91"/>
      <c r="C615" s="97"/>
      <c r="D615" s="98"/>
      <c r="E615" s="99"/>
      <c r="F615" s="92"/>
      <c r="G615" s="93" t="b">
        <v>0</v>
      </c>
      <c r="H615" s="93"/>
      <c r="I615" s="90"/>
      <c r="J615" s="90"/>
      <c r="K615" s="90"/>
      <c r="L615" s="90"/>
      <c r="M615" s="90"/>
      <c r="N615" s="90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</row>
    <row r="616" spans="1:28" ht="16">
      <c r="A616" s="100"/>
      <c r="B616" s="87"/>
      <c r="C616" s="94"/>
      <c r="D616" s="95"/>
      <c r="E616" s="96"/>
      <c r="F616" s="88"/>
      <c r="G616" s="89" t="b">
        <v>0</v>
      </c>
      <c r="H616" s="89"/>
      <c r="I616" s="90"/>
      <c r="J616" s="90"/>
      <c r="K616" s="90"/>
      <c r="L616" s="90"/>
      <c r="M616" s="90"/>
      <c r="N616" s="90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</row>
    <row r="617" spans="1:28" ht="16">
      <c r="A617" s="100"/>
      <c r="B617" s="91"/>
      <c r="C617" s="97"/>
      <c r="D617" s="98"/>
      <c r="E617" s="99"/>
      <c r="F617" s="92"/>
      <c r="G617" s="93" t="b">
        <v>0</v>
      </c>
      <c r="H617" s="93"/>
      <c r="I617" s="90"/>
      <c r="J617" s="90"/>
      <c r="K617" s="90"/>
      <c r="L617" s="90"/>
      <c r="M617" s="90"/>
      <c r="N617" s="90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</row>
    <row r="618" spans="1:28" ht="16">
      <c r="A618" s="100"/>
      <c r="B618" s="87"/>
      <c r="C618" s="94"/>
      <c r="D618" s="95"/>
      <c r="E618" s="96"/>
      <c r="F618" s="88"/>
      <c r="G618" s="89" t="b">
        <v>0</v>
      </c>
      <c r="H618" s="89"/>
      <c r="I618" s="90"/>
      <c r="J618" s="90"/>
      <c r="K618" s="90"/>
      <c r="L618" s="90"/>
      <c r="M618" s="90"/>
      <c r="N618" s="90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</row>
    <row r="619" spans="1:28" ht="16">
      <c r="A619" s="100"/>
      <c r="B619" s="91"/>
      <c r="C619" s="97"/>
      <c r="D619" s="98"/>
      <c r="E619" s="99"/>
      <c r="F619" s="92"/>
      <c r="G619" s="93" t="b">
        <v>0</v>
      </c>
      <c r="H619" s="93"/>
      <c r="I619" s="90"/>
      <c r="J619" s="90"/>
      <c r="K619" s="90"/>
      <c r="L619" s="90"/>
      <c r="M619" s="90"/>
      <c r="N619" s="90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</row>
    <row r="620" spans="1:28" ht="16">
      <c r="A620" s="100"/>
      <c r="B620" s="87"/>
      <c r="C620" s="94"/>
      <c r="D620" s="95"/>
      <c r="E620" s="96"/>
      <c r="F620" s="88"/>
      <c r="G620" s="89" t="b">
        <v>0</v>
      </c>
      <c r="H620" s="89"/>
      <c r="I620" s="90"/>
      <c r="J620" s="90"/>
      <c r="K620" s="90"/>
      <c r="L620" s="90"/>
      <c r="M620" s="90"/>
      <c r="N620" s="90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</row>
    <row r="621" spans="1:28" ht="16">
      <c r="A621" s="100"/>
      <c r="B621" s="91"/>
      <c r="C621" s="97"/>
      <c r="D621" s="98"/>
      <c r="E621" s="99"/>
      <c r="F621" s="92"/>
      <c r="G621" s="93" t="b">
        <v>0</v>
      </c>
      <c r="H621" s="93"/>
      <c r="I621" s="90"/>
      <c r="J621" s="90"/>
      <c r="K621" s="90"/>
      <c r="L621" s="90"/>
      <c r="M621" s="90"/>
      <c r="N621" s="90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</row>
    <row r="622" spans="1:28" ht="16">
      <c r="A622" s="100"/>
      <c r="B622" s="87"/>
      <c r="C622" s="94"/>
      <c r="D622" s="95"/>
      <c r="E622" s="96"/>
      <c r="F622" s="88"/>
      <c r="G622" s="89" t="b">
        <v>0</v>
      </c>
      <c r="H622" s="89"/>
      <c r="I622" s="90"/>
      <c r="J622" s="90"/>
      <c r="K622" s="90"/>
      <c r="L622" s="90"/>
      <c r="M622" s="90"/>
      <c r="N622" s="90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</row>
    <row r="623" spans="1:28" ht="16">
      <c r="A623" s="100"/>
      <c r="B623" s="91"/>
      <c r="C623" s="97"/>
      <c r="D623" s="98"/>
      <c r="E623" s="99"/>
      <c r="F623" s="92"/>
      <c r="G623" s="93" t="b">
        <v>0</v>
      </c>
      <c r="H623" s="93"/>
      <c r="I623" s="90"/>
      <c r="J623" s="90"/>
      <c r="K623" s="90"/>
      <c r="L623" s="90"/>
      <c r="M623" s="90"/>
      <c r="N623" s="90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</row>
    <row r="624" spans="1:28" ht="16">
      <c r="A624" s="100"/>
      <c r="B624" s="87"/>
      <c r="C624" s="94"/>
      <c r="D624" s="95"/>
      <c r="E624" s="96"/>
      <c r="F624" s="88"/>
      <c r="G624" s="89" t="b">
        <v>0</v>
      </c>
      <c r="H624" s="89"/>
      <c r="I624" s="90"/>
      <c r="J624" s="90"/>
      <c r="K624" s="90"/>
      <c r="L624" s="90"/>
      <c r="M624" s="90"/>
      <c r="N624" s="90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  <c r="AA624" s="90"/>
      <c r="AB624" s="90"/>
    </row>
    <row r="625" spans="1:28" ht="16">
      <c r="A625" s="100"/>
      <c r="B625" s="91"/>
      <c r="C625" s="97"/>
      <c r="D625" s="98"/>
      <c r="E625" s="99"/>
      <c r="F625" s="92"/>
      <c r="G625" s="93" t="b">
        <v>0</v>
      </c>
      <c r="H625" s="93"/>
      <c r="I625" s="90"/>
      <c r="J625" s="90"/>
      <c r="K625" s="90"/>
      <c r="L625" s="90"/>
      <c r="M625" s="90"/>
      <c r="N625" s="90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  <c r="Z625" s="90"/>
      <c r="AA625" s="90"/>
      <c r="AB625" s="90"/>
    </row>
    <row r="626" spans="1:28" ht="16">
      <c r="A626" s="100"/>
      <c r="B626" s="87"/>
      <c r="C626" s="94"/>
      <c r="D626" s="95"/>
      <c r="E626" s="96"/>
      <c r="F626" s="88"/>
      <c r="G626" s="89" t="b">
        <v>0</v>
      </c>
      <c r="H626" s="89"/>
      <c r="I626" s="90"/>
      <c r="J626" s="90"/>
      <c r="K626" s="90"/>
      <c r="L626" s="90"/>
      <c r="M626" s="90"/>
      <c r="N626" s="90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  <c r="AA626" s="90"/>
      <c r="AB626" s="90"/>
    </row>
    <row r="627" spans="1:28" ht="16">
      <c r="A627" s="100"/>
      <c r="B627" s="91"/>
      <c r="C627" s="97"/>
      <c r="D627" s="98"/>
      <c r="E627" s="99"/>
      <c r="F627" s="92"/>
      <c r="G627" s="93" t="b">
        <v>0</v>
      </c>
      <c r="H627" s="93"/>
      <c r="I627" s="90"/>
      <c r="J627" s="90"/>
      <c r="K627" s="90"/>
      <c r="L627" s="90"/>
      <c r="M627" s="90"/>
      <c r="N627" s="90"/>
      <c r="O627" s="90"/>
      <c r="P627" s="90"/>
      <c r="Q627" s="90"/>
      <c r="R627" s="90"/>
      <c r="S627" s="90"/>
      <c r="T627" s="90"/>
      <c r="U627" s="90"/>
      <c r="V627" s="90"/>
      <c r="W627" s="90"/>
      <c r="X627" s="90"/>
      <c r="Y627" s="90"/>
      <c r="Z627" s="90"/>
      <c r="AA627" s="90"/>
      <c r="AB627" s="90"/>
    </row>
    <row r="628" spans="1:28" ht="16">
      <c r="A628" s="100"/>
      <c r="B628" s="87"/>
      <c r="C628" s="94"/>
      <c r="D628" s="95"/>
      <c r="E628" s="96"/>
      <c r="F628" s="88"/>
      <c r="G628" s="89" t="b">
        <v>0</v>
      </c>
      <c r="H628" s="89"/>
      <c r="I628" s="90"/>
      <c r="J628" s="90"/>
      <c r="K628" s="90"/>
      <c r="L628" s="90"/>
      <c r="M628" s="90"/>
      <c r="N628" s="90"/>
      <c r="O628" s="90"/>
      <c r="P628" s="90"/>
      <c r="Q628" s="90"/>
      <c r="R628" s="90"/>
      <c r="S628" s="90"/>
      <c r="T628" s="90"/>
      <c r="U628" s="90"/>
      <c r="V628" s="90"/>
      <c r="W628" s="90"/>
      <c r="X628" s="90"/>
      <c r="Y628" s="90"/>
      <c r="Z628" s="90"/>
      <c r="AA628" s="90"/>
      <c r="AB628" s="90"/>
    </row>
    <row r="629" spans="1:28" ht="16">
      <c r="A629" s="100"/>
      <c r="B629" s="91"/>
      <c r="C629" s="97"/>
      <c r="D629" s="98"/>
      <c r="E629" s="99"/>
      <c r="F629" s="92"/>
      <c r="G629" s="93" t="b">
        <v>0</v>
      </c>
      <c r="H629" s="93"/>
      <c r="I629" s="90"/>
      <c r="J629" s="90"/>
      <c r="K629" s="90"/>
      <c r="L629" s="90"/>
      <c r="M629" s="90"/>
      <c r="N629" s="90"/>
      <c r="O629" s="90"/>
      <c r="P629" s="90"/>
      <c r="Q629" s="90"/>
      <c r="R629" s="90"/>
      <c r="S629" s="90"/>
      <c r="T629" s="90"/>
      <c r="U629" s="90"/>
      <c r="V629" s="90"/>
      <c r="W629" s="90"/>
      <c r="X629" s="90"/>
      <c r="Y629" s="90"/>
      <c r="Z629" s="90"/>
      <c r="AA629" s="90"/>
      <c r="AB629" s="90"/>
    </row>
    <row r="630" spans="1:28" ht="16">
      <c r="A630" s="100"/>
      <c r="B630" s="87"/>
      <c r="C630" s="94"/>
      <c r="D630" s="95"/>
      <c r="E630" s="96"/>
      <c r="F630" s="88"/>
      <c r="G630" s="89" t="b">
        <v>0</v>
      </c>
      <c r="H630" s="89"/>
      <c r="I630" s="90"/>
      <c r="J630" s="90"/>
      <c r="K630" s="90"/>
      <c r="L630" s="90"/>
      <c r="M630" s="90"/>
      <c r="N630" s="90"/>
      <c r="O630" s="90"/>
      <c r="P630" s="90"/>
      <c r="Q630" s="90"/>
      <c r="R630" s="90"/>
      <c r="S630" s="90"/>
      <c r="T630" s="90"/>
      <c r="U630" s="90"/>
      <c r="V630" s="90"/>
      <c r="W630" s="90"/>
      <c r="X630" s="90"/>
      <c r="Y630" s="90"/>
      <c r="Z630" s="90"/>
      <c r="AA630" s="90"/>
      <c r="AB630" s="90"/>
    </row>
    <row r="631" spans="1:28" ht="16">
      <c r="A631" s="100"/>
      <c r="B631" s="91"/>
      <c r="C631" s="97"/>
      <c r="D631" s="98"/>
      <c r="E631" s="99"/>
      <c r="F631" s="92"/>
      <c r="G631" s="93" t="b">
        <v>0</v>
      </c>
      <c r="H631" s="93"/>
      <c r="I631" s="90"/>
      <c r="J631" s="90"/>
      <c r="K631" s="90"/>
      <c r="L631" s="90"/>
      <c r="M631" s="90"/>
      <c r="N631" s="90"/>
      <c r="O631" s="90"/>
      <c r="P631" s="90"/>
      <c r="Q631" s="90"/>
      <c r="R631" s="90"/>
      <c r="S631" s="90"/>
      <c r="T631" s="90"/>
      <c r="U631" s="90"/>
      <c r="V631" s="90"/>
      <c r="W631" s="90"/>
      <c r="X631" s="90"/>
      <c r="Y631" s="90"/>
      <c r="Z631" s="90"/>
      <c r="AA631" s="90"/>
      <c r="AB631" s="90"/>
    </row>
    <row r="632" spans="1:28" ht="16">
      <c r="A632" s="100"/>
      <c r="B632" s="87"/>
      <c r="C632" s="94"/>
      <c r="D632" s="95"/>
      <c r="E632" s="96"/>
      <c r="F632" s="88"/>
      <c r="G632" s="89" t="b">
        <v>0</v>
      </c>
      <c r="H632" s="89"/>
      <c r="I632" s="90"/>
      <c r="J632" s="90"/>
      <c r="K632" s="90"/>
      <c r="L632" s="90"/>
      <c r="M632" s="90"/>
      <c r="N632" s="90"/>
      <c r="O632" s="90"/>
      <c r="P632" s="90"/>
      <c r="Q632" s="90"/>
      <c r="R632" s="90"/>
      <c r="S632" s="90"/>
      <c r="T632" s="90"/>
      <c r="U632" s="90"/>
      <c r="V632" s="90"/>
      <c r="W632" s="90"/>
      <c r="X632" s="90"/>
      <c r="Y632" s="90"/>
      <c r="Z632" s="90"/>
      <c r="AA632" s="90"/>
      <c r="AB632" s="90"/>
    </row>
    <row r="633" spans="1:28" ht="16">
      <c r="A633" s="100"/>
      <c r="B633" s="91"/>
      <c r="C633" s="97"/>
      <c r="D633" s="98"/>
      <c r="E633" s="99"/>
      <c r="F633" s="92"/>
      <c r="G633" s="93" t="b">
        <v>0</v>
      </c>
      <c r="H633" s="93"/>
      <c r="I633" s="90"/>
      <c r="J633" s="90"/>
      <c r="K633" s="90"/>
      <c r="L633" s="90"/>
      <c r="M633" s="90"/>
      <c r="N633" s="90"/>
      <c r="O633" s="90"/>
      <c r="P633" s="90"/>
      <c r="Q633" s="90"/>
      <c r="R633" s="90"/>
      <c r="S633" s="90"/>
      <c r="T633" s="90"/>
      <c r="U633" s="90"/>
      <c r="V633" s="90"/>
      <c r="W633" s="90"/>
      <c r="X633" s="90"/>
      <c r="Y633" s="90"/>
      <c r="Z633" s="90"/>
      <c r="AA633" s="90"/>
      <c r="AB633" s="90"/>
    </row>
    <row r="634" spans="1:28" ht="16">
      <c r="A634" s="100"/>
      <c r="B634" s="87"/>
      <c r="C634" s="94"/>
      <c r="D634" s="95"/>
      <c r="E634" s="96"/>
      <c r="F634" s="88"/>
      <c r="G634" s="89" t="b">
        <v>0</v>
      </c>
      <c r="H634" s="89"/>
      <c r="I634" s="90"/>
      <c r="J634" s="90"/>
      <c r="K634" s="90"/>
      <c r="L634" s="90"/>
      <c r="M634" s="90"/>
      <c r="N634" s="90"/>
      <c r="O634" s="90"/>
      <c r="P634" s="90"/>
      <c r="Q634" s="90"/>
      <c r="R634" s="90"/>
      <c r="S634" s="90"/>
      <c r="T634" s="90"/>
      <c r="U634" s="90"/>
      <c r="V634" s="90"/>
      <c r="W634" s="90"/>
      <c r="X634" s="90"/>
      <c r="Y634" s="90"/>
      <c r="Z634" s="90"/>
      <c r="AA634" s="90"/>
      <c r="AB634" s="90"/>
    </row>
    <row r="635" spans="1:28" ht="16">
      <c r="A635" s="100"/>
      <c r="B635" s="91"/>
      <c r="C635" s="97"/>
      <c r="D635" s="98"/>
      <c r="E635" s="99"/>
      <c r="F635" s="92"/>
      <c r="G635" s="93" t="b">
        <v>0</v>
      </c>
      <c r="H635" s="93"/>
      <c r="I635" s="90"/>
      <c r="J635" s="90"/>
      <c r="K635" s="90"/>
      <c r="L635" s="90"/>
      <c r="M635" s="90"/>
      <c r="N635" s="90"/>
      <c r="O635" s="90"/>
      <c r="P635" s="90"/>
      <c r="Q635" s="90"/>
      <c r="R635" s="90"/>
      <c r="S635" s="90"/>
      <c r="T635" s="90"/>
      <c r="U635" s="90"/>
      <c r="V635" s="90"/>
      <c r="W635" s="90"/>
      <c r="X635" s="90"/>
      <c r="Y635" s="90"/>
      <c r="Z635" s="90"/>
      <c r="AA635" s="90"/>
      <c r="AB635" s="90"/>
    </row>
    <row r="636" spans="1:28" ht="16">
      <c r="A636" s="100"/>
      <c r="B636" s="87"/>
      <c r="C636" s="94"/>
      <c r="D636" s="95"/>
      <c r="E636" s="96"/>
      <c r="F636" s="88"/>
      <c r="G636" s="89" t="b">
        <v>0</v>
      </c>
      <c r="H636" s="89"/>
      <c r="I636" s="90"/>
      <c r="J636" s="90"/>
      <c r="K636" s="90"/>
      <c r="L636" s="90"/>
      <c r="M636" s="90"/>
      <c r="N636" s="90"/>
      <c r="O636" s="90"/>
      <c r="P636" s="90"/>
      <c r="Q636" s="90"/>
      <c r="R636" s="90"/>
      <c r="S636" s="90"/>
      <c r="T636" s="90"/>
      <c r="U636" s="90"/>
      <c r="V636" s="90"/>
      <c r="W636" s="90"/>
      <c r="X636" s="90"/>
      <c r="Y636" s="90"/>
      <c r="Z636" s="90"/>
      <c r="AA636" s="90"/>
      <c r="AB636" s="90"/>
    </row>
    <row r="637" spans="1:28" ht="16">
      <c r="A637" s="100"/>
      <c r="B637" s="91"/>
      <c r="C637" s="97"/>
      <c r="D637" s="98"/>
      <c r="E637" s="99"/>
      <c r="F637" s="92"/>
      <c r="G637" s="93" t="b">
        <v>0</v>
      </c>
      <c r="H637" s="93"/>
      <c r="I637" s="90"/>
      <c r="J637" s="90"/>
      <c r="K637" s="90"/>
      <c r="L637" s="90"/>
      <c r="M637" s="90"/>
      <c r="N637" s="90"/>
      <c r="O637" s="90"/>
      <c r="P637" s="90"/>
      <c r="Q637" s="90"/>
      <c r="R637" s="90"/>
      <c r="S637" s="90"/>
      <c r="T637" s="90"/>
      <c r="U637" s="90"/>
      <c r="V637" s="90"/>
      <c r="W637" s="90"/>
      <c r="X637" s="90"/>
      <c r="Y637" s="90"/>
      <c r="Z637" s="90"/>
      <c r="AA637" s="90"/>
      <c r="AB637" s="90"/>
    </row>
    <row r="638" spans="1:28" ht="16">
      <c r="A638" s="100"/>
      <c r="B638" s="87"/>
      <c r="C638" s="94"/>
      <c r="D638" s="95"/>
      <c r="E638" s="96"/>
      <c r="F638" s="88"/>
      <c r="G638" s="89" t="b">
        <v>0</v>
      </c>
      <c r="H638" s="89"/>
      <c r="I638" s="90"/>
      <c r="J638" s="90"/>
      <c r="K638" s="90"/>
      <c r="L638" s="90"/>
      <c r="M638" s="90"/>
      <c r="N638" s="90"/>
      <c r="O638" s="90"/>
      <c r="P638" s="90"/>
      <c r="Q638" s="90"/>
      <c r="R638" s="90"/>
      <c r="S638" s="90"/>
      <c r="T638" s="90"/>
      <c r="U638" s="90"/>
      <c r="V638" s="90"/>
      <c r="W638" s="90"/>
      <c r="X638" s="90"/>
      <c r="Y638" s="90"/>
      <c r="Z638" s="90"/>
      <c r="AA638" s="90"/>
      <c r="AB638" s="90"/>
    </row>
    <row r="639" spans="1:28" ht="16">
      <c r="A639" s="100"/>
      <c r="B639" s="91"/>
      <c r="C639" s="97"/>
      <c r="D639" s="98"/>
      <c r="E639" s="99"/>
      <c r="F639" s="92"/>
      <c r="G639" s="93" t="b">
        <v>0</v>
      </c>
      <c r="H639" s="93"/>
      <c r="I639" s="90"/>
      <c r="J639" s="90"/>
      <c r="K639" s="90"/>
      <c r="L639" s="90"/>
      <c r="M639" s="90"/>
      <c r="N639" s="90"/>
      <c r="O639" s="90"/>
      <c r="P639" s="90"/>
      <c r="Q639" s="90"/>
      <c r="R639" s="90"/>
      <c r="S639" s="90"/>
      <c r="T639" s="90"/>
      <c r="U639" s="90"/>
      <c r="V639" s="90"/>
      <c r="W639" s="90"/>
      <c r="X639" s="90"/>
      <c r="Y639" s="90"/>
      <c r="Z639" s="90"/>
      <c r="AA639" s="90"/>
      <c r="AB639" s="90"/>
    </row>
    <row r="640" spans="1:28" ht="16">
      <c r="A640" s="100"/>
      <c r="B640" s="87"/>
      <c r="C640" s="94"/>
      <c r="D640" s="95"/>
      <c r="E640" s="96"/>
      <c r="F640" s="88"/>
      <c r="G640" s="89" t="b">
        <v>0</v>
      </c>
      <c r="H640" s="89"/>
      <c r="I640" s="90"/>
      <c r="J640" s="90"/>
      <c r="K640" s="90"/>
      <c r="L640" s="90"/>
      <c r="M640" s="90"/>
      <c r="N640" s="90"/>
      <c r="O640" s="90"/>
      <c r="P640" s="90"/>
      <c r="Q640" s="90"/>
      <c r="R640" s="90"/>
      <c r="S640" s="90"/>
      <c r="T640" s="90"/>
      <c r="U640" s="90"/>
      <c r="V640" s="90"/>
      <c r="W640" s="90"/>
      <c r="X640" s="90"/>
      <c r="Y640" s="90"/>
      <c r="Z640" s="90"/>
      <c r="AA640" s="90"/>
      <c r="AB640" s="90"/>
    </row>
    <row r="641" spans="1:28" ht="16">
      <c r="A641" s="100"/>
      <c r="B641" s="91"/>
      <c r="C641" s="97"/>
      <c r="D641" s="98"/>
      <c r="E641" s="99"/>
      <c r="F641" s="92"/>
      <c r="G641" s="93" t="b">
        <v>0</v>
      </c>
      <c r="H641" s="93"/>
      <c r="I641" s="90"/>
      <c r="J641" s="90"/>
      <c r="K641" s="90"/>
      <c r="L641" s="90"/>
      <c r="M641" s="90"/>
      <c r="N641" s="90"/>
      <c r="O641" s="90"/>
      <c r="P641" s="90"/>
      <c r="Q641" s="90"/>
      <c r="R641" s="90"/>
      <c r="S641" s="90"/>
      <c r="T641" s="90"/>
      <c r="U641" s="90"/>
      <c r="V641" s="90"/>
      <c r="W641" s="90"/>
      <c r="X641" s="90"/>
      <c r="Y641" s="90"/>
      <c r="Z641" s="90"/>
      <c r="AA641" s="90"/>
      <c r="AB641" s="90"/>
    </row>
    <row r="642" spans="1:28" ht="16">
      <c r="A642" s="100"/>
      <c r="B642" s="87"/>
      <c r="C642" s="94"/>
      <c r="D642" s="95"/>
      <c r="E642" s="96"/>
      <c r="F642" s="88"/>
      <c r="G642" s="89" t="b">
        <v>0</v>
      </c>
      <c r="H642" s="89"/>
      <c r="I642" s="90"/>
      <c r="J642" s="90"/>
      <c r="K642" s="90"/>
      <c r="L642" s="90"/>
      <c r="M642" s="90"/>
      <c r="N642" s="90"/>
      <c r="O642" s="90"/>
      <c r="P642" s="90"/>
      <c r="Q642" s="90"/>
      <c r="R642" s="90"/>
      <c r="S642" s="90"/>
      <c r="T642" s="90"/>
      <c r="U642" s="90"/>
      <c r="V642" s="90"/>
      <c r="W642" s="90"/>
      <c r="X642" s="90"/>
      <c r="Y642" s="90"/>
      <c r="Z642" s="90"/>
      <c r="AA642" s="90"/>
      <c r="AB642" s="90"/>
    </row>
    <row r="643" spans="1:28" ht="16">
      <c r="A643" s="100"/>
      <c r="B643" s="91"/>
      <c r="C643" s="97"/>
      <c r="D643" s="98"/>
      <c r="E643" s="99"/>
      <c r="F643" s="92"/>
      <c r="G643" s="93" t="b">
        <v>0</v>
      </c>
      <c r="H643" s="93"/>
      <c r="I643" s="90"/>
      <c r="J643" s="90"/>
      <c r="K643" s="90"/>
      <c r="L643" s="90"/>
      <c r="M643" s="90"/>
      <c r="N643" s="90"/>
      <c r="O643" s="90"/>
      <c r="P643" s="90"/>
      <c r="Q643" s="90"/>
      <c r="R643" s="90"/>
      <c r="S643" s="90"/>
      <c r="T643" s="90"/>
      <c r="U643" s="90"/>
      <c r="V643" s="90"/>
      <c r="W643" s="90"/>
      <c r="X643" s="90"/>
      <c r="Y643" s="90"/>
      <c r="Z643" s="90"/>
      <c r="AA643" s="90"/>
      <c r="AB643" s="90"/>
    </row>
    <row r="644" spans="1:28" ht="16">
      <c r="A644" s="100"/>
      <c r="B644" s="87"/>
      <c r="C644" s="94"/>
      <c r="D644" s="95"/>
      <c r="E644" s="96"/>
      <c r="F644" s="88"/>
      <c r="G644" s="89" t="b">
        <v>0</v>
      </c>
      <c r="H644" s="89"/>
      <c r="I644" s="90"/>
      <c r="J644" s="90"/>
      <c r="K644" s="90"/>
      <c r="L644" s="90"/>
      <c r="M644" s="90"/>
      <c r="N644" s="90"/>
      <c r="O644" s="90"/>
      <c r="P644" s="90"/>
      <c r="Q644" s="90"/>
      <c r="R644" s="90"/>
      <c r="S644" s="90"/>
      <c r="T644" s="90"/>
      <c r="U644" s="90"/>
      <c r="V644" s="90"/>
      <c r="W644" s="90"/>
      <c r="X644" s="90"/>
      <c r="Y644" s="90"/>
      <c r="Z644" s="90"/>
      <c r="AA644" s="90"/>
      <c r="AB644" s="90"/>
    </row>
    <row r="645" spans="1:28" ht="16">
      <c r="A645" s="100"/>
      <c r="B645" s="91"/>
      <c r="C645" s="97"/>
      <c r="D645" s="98"/>
      <c r="E645" s="99"/>
      <c r="F645" s="92"/>
      <c r="G645" s="93" t="b">
        <v>0</v>
      </c>
      <c r="H645" s="93"/>
      <c r="I645" s="90"/>
      <c r="J645" s="90"/>
      <c r="K645" s="90"/>
      <c r="L645" s="90"/>
      <c r="M645" s="90"/>
      <c r="N645" s="90"/>
      <c r="O645" s="90"/>
      <c r="P645" s="90"/>
      <c r="Q645" s="90"/>
      <c r="R645" s="90"/>
      <c r="S645" s="90"/>
      <c r="T645" s="90"/>
      <c r="U645" s="90"/>
      <c r="V645" s="90"/>
      <c r="W645" s="90"/>
      <c r="X645" s="90"/>
      <c r="Y645" s="90"/>
      <c r="Z645" s="90"/>
      <c r="AA645" s="90"/>
      <c r="AB645" s="90"/>
    </row>
    <row r="646" spans="1:28" ht="16">
      <c r="A646" s="100"/>
      <c r="B646" s="87"/>
      <c r="C646" s="94"/>
      <c r="D646" s="95"/>
      <c r="E646" s="96"/>
      <c r="F646" s="88"/>
      <c r="G646" s="89" t="b">
        <v>0</v>
      </c>
      <c r="H646" s="89"/>
      <c r="I646" s="90"/>
      <c r="J646" s="90"/>
      <c r="K646" s="90"/>
      <c r="L646" s="90"/>
      <c r="M646" s="90"/>
      <c r="N646" s="90"/>
      <c r="O646" s="90"/>
      <c r="P646" s="90"/>
      <c r="Q646" s="90"/>
      <c r="R646" s="90"/>
      <c r="S646" s="90"/>
      <c r="T646" s="90"/>
      <c r="U646" s="90"/>
      <c r="V646" s="90"/>
      <c r="W646" s="90"/>
      <c r="X646" s="90"/>
      <c r="Y646" s="90"/>
      <c r="Z646" s="90"/>
      <c r="AA646" s="90"/>
      <c r="AB646" s="90"/>
    </row>
    <row r="647" spans="1:28" ht="16">
      <c r="A647" s="100"/>
      <c r="B647" s="91"/>
      <c r="C647" s="97"/>
      <c r="D647" s="98"/>
      <c r="E647" s="99"/>
      <c r="F647" s="92"/>
      <c r="G647" s="93" t="b">
        <v>0</v>
      </c>
      <c r="H647" s="93"/>
      <c r="I647" s="90"/>
      <c r="J647" s="90"/>
      <c r="K647" s="90"/>
      <c r="L647" s="90"/>
      <c r="M647" s="90"/>
      <c r="N647" s="90"/>
      <c r="O647" s="90"/>
      <c r="P647" s="90"/>
      <c r="Q647" s="90"/>
      <c r="R647" s="90"/>
      <c r="S647" s="90"/>
      <c r="T647" s="90"/>
      <c r="U647" s="90"/>
      <c r="V647" s="90"/>
      <c r="W647" s="90"/>
      <c r="X647" s="90"/>
      <c r="Y647" s="90"/>
      <c r="Z647" s="90"/>
      <c r="AA647" s="90"/>
      <c r="AB647" s="90"/>
    </row>
    <row r="648" spans="1:28" ht="16">
      <c r="A648" s="100"/>
      <c r="B648" s="87"/>
      <c r="C648" s="94"/>
      <c r="D648" s="95"/>
      <c r="E648" s="96"/>
      <c r="F648" s="88"/>
      <c r="G648" s="89" t="b">
        <v>0</v>
      </c>
      <c r="H648" s="89"/>
      <c r="I648" s="90"/>
      <c r="J648" s="90"/>
      <c r="K648" s="90"/>
      <c r="L648" s="90"/>
      <c r="M648" s="90"/>
      <c r="N648" s="90"/>
      <c r="O648" s="90"/>
      <c r="P648" s="90"/>
      <c r="Q648" s="90"/>
      <c r="R648" s="90"/>
      <c r="S648" s="90"/>
      <c r="T648" s="90"/>
      <c r="U648" s="90"/>
      <c r="V648" s="90"/>
      <c r="W648" s="90"/>
      <c r="X648" s="90"/>
      <c r="Y648" s="90"/>
      <c r="Z648" s="90"/>
      <c r="AA648" s="90"/>
      <c r="AB648" s="90"/>
    </row>
    <row r="649" spans="1:28" ht="16">
      <c r="A649" s="100"/>
      <c r="B649" s="91"/>
      <c r="C649" s="97"/>
      <c r="D649" s="98"/>
      <c r="E649" s="99"/>
      <c r="F649" s="92"/>
      <c r="G649" s="93" t="b">
        <v>0</v>
      </c>
      <c r="H649" s="93"/>
      <c r="I649" s="90"/>
      <c r="J649" s="90"/>
      <c r="K649" s="90"/>
      <c r="L649" s="90"/>
      <c r="M649" s="90"/>
      <c r="N649" s="90"/>
      <c r="O649" s="90"/>
      <c r="P649" s="90"/>
      <c r="Q649" s="90"/>
      <c r="R649" s="90"/>
      <c r="S649" s="90"/>
      <c r="T649" s="90"/>
      <c r="U649" s="90"/>
      <c r="V649" s="90"/>
      <c r="W649" s="90"/>
      <c r="X649" s="90"/>
      <c r="Y649" s="90"/>
      <c r="Z649" s="90"/>
      <c r="AA649" s="90"/>
      <c r="AB649" s="90"/>
    </row>
    <row r="650" spans="1:28" ht="16">
      <c r="A650" s="100"/>
      <c r="B650" s="87"/>
      <c r="C650" s="94"/>
      <c r="D650" s="95"/>
      <c r="E650" s="96"/>
      <c r="F650" s="88"/>
      <c r="G650" s="89" t="b">
        <v>0</v>
      </c>
      <c r="H650" s="89"/>
      <c r="I650" s="90"/>
      <c r="J650" s="90"/>
      <c r="K650" s="90"/>
      <c r="L650" s="90"/>
      <c r="M650" s="90"/>
      <c r="N650" s="90"/>
      <c r="O650" s="90"/>
      <c r="P650" s="90"/>
      <c r="Q650" s="90"/>
      <c r="R650" s="90"/>
      <c r="S650" s="90"/>
      <c r="T650" s="90"/>
      <c r="U650" s="90"/>
      <c r="V650" s="90"/>
      <c r="W650" s="90"/>
      <c r="X650" s="90"/>
      <c r="Y650" s="90"/>
      <c r="Z650" s="90"/>
      <c r="AA650" s="90"/>
      <c r="AB650" s="90"/>
    </row>
    <row r="651" spans="1:28" ht="16">
      <c r="A651" s="100"/>
      <c r="B651" s="91"/>
      <c r="C651" s="97"/>
      <c r="D651" s="98"/>
      <c r="E651" s="99"/>
      <c r="F651" s="92"/>
      <c r="G651" s="93" t="b">
        <v>0</v>
      </c>
      <c r="H651" s="93"/>
      <c r="I651" s="90"/>
      <c r="J651" s="90"/>
      <c r="K651" s="90"/>
      <c r="L651" s="90"/>
      <c r="M651" s="90"/>
      <c r="N651" s="90"/>
      <c r="O651" s="90"/>
      <c r="P651" s="90"/>
      <c r="Q651" s="90"/>
      <c r="R651" s="90"/>
      <c r="S651" s="90"/>
      <c r="T651" s="90"/>
      <c r="U651" s="90"/>
      <c r="V651" s="90"/>
      <c r="W651" s="90"/>
      <c r="X651" s="90"/>
      <c r="Y651" s="90"/>
      <c r="Z651" s="90"/>
      <c r="AA651" s="90"/>
      <c r="AB651" s="90"/>
    </row>
    <row r="652" spans="1:28" ht="16">
      <c r="A652" s="100"/>
      <c r="B652" s="87"/>
      <c r="C652" s="94"/>
      <c r="D652" s="95"/>
      <c r="E652" s="96"/>
      <c r="F652" s="88"/>
      <c r="G652" s="89" t="b">
        <v>0</v>
      </c>
      <c r="H652" s="89"/>
      <c r="I652" s="90"/>
      <c r="J652" s="90"/>
      <c r="K652" s="90"/>
      <c r="L652" s="90"/>
      <c r="M652" s="90"/>
      <c r="N652" s="90"/>
      <c r="O652" s="90"/>
      <c r="P652" s="90"/>
      <c r="Q652" s="90"/>
      <c r="R652" s="90"/>
      <c r="S652" s="90"/>
      <c r="T652" s="90"/>
      <c r="U652" s="90"/>
      <c r="V652" s="90"/>
      <c r="W652" s="90"/>
      <c r="X652" s="90"/>
      <c r="Y652" s="90"/>
      <c r="Z652" s="90"/>
      <c r="AA652" s="90"/>
      <c r="AB652" s="90"/>
    </row>
    <row r="653" spans="1:28" ht="16">
      <c r="A653" s="100"/>
      <c r="B653" s="91"/>
      <c r="C653" s="97"/>
      <c r="D653" s="98"/>
      <c r="E653" s="99"/>
      <c r="F653" s="92"/>
      <c r="G653" s="93" t="b">
        <v>0</v>
      </c>
      <c r="H653" s="93"/>
      <c r="I653" s="90"/>
      <c r="J653" s="90"/>
      <c r="K653" s="90"/>
      <c r="L653" s="90"/>
      <c r="M653" s="90"/>
      <c r="N653" s="90"/>
      <c r="O653" s="90"/>
      <c r="P653" s="90"/>
      <c r="Q653" s="90"/>
      <c r="R653" s="90"/>
      <c r="S653" s="90"/>
      <c r="T653" s="90"/>
      <c r="U653" s="90"/>
      <c r="V653" s="90"/>
      <c r="W653" s="90"/>
      <c r="X653" s="90"/>
      <c r="Y653" s="90"/>
      <c r="Z653" s="90"/>
      <c r="AA653" s="90"/>
      <c r="AB653" s="90"/>
    </row>
    <row r="654" spans="1:28" ht="16">
      <c r="A654" s="100"/>
      <c r="B654" s="87"/>
      <c r="C654" s="94"/>
      <c r="D654" s="95"/>
      <c r="E654" s="96"/>
      <c r="F654" s="88"/>
      <c r="G654" s="89" t="b">
        <v>0</v>
      </c>
      <c r="H654" s="89"/>
      <c r="I654" s="90"/>
      <c r="J654" s="90"/>
      <c r="K654" s="90"/>
      <c r="L654" s="90"/>
      <c r="M654" s="90"/>
      <c r="N654" s="90"/>
      <c r="O654" s="90"/>
      <c r="P654" s="90"/>
      <c r="Q654" s="90"/>
      <c r="R654" s="90"/>
      <c r="S654" s="90"/>
      <c r="T654" s="90"/>
      <c r="U654" s="90"/>
      <c r="V654" s="90"/>
      <c r="W654" s="90"/>
      <c r="X654" s="90"/>
      <c r="Y654" s="90"/>
      <c r="Z654" s="90"/>
      <c r="AA654" s="90"/>
      <c r="AB654" s="90"/>
    </row>
    <row r="655" spans="1:28" ht="16">
      <c r="A655" s="100"/>
      <c r="B655" s="91"/>
      <c r="C655" s="97"/>
      <c r="D655" s="98"/>
      <c r="E655" s="99"/>
      <c r="F655" s="92"/>
      <c r="G655" s="93" t="b">
        <v>0</v>
      </c>
      <c r="H655" s="93"/>
      <c r="I655" s="90"/>
      <c r="J655" s="90"/>
      <c r="K655" s="90"/>
      <c r="L655" s="90"/>
      <c r="M655" s="90"/>
      <c r="N655" s="90"/>
      <c r="O655" s="90"/>
      <c r="P655" s="90"/>
      <c r="Q655" s="90"/>
      <c r="R655" s="90"/>
      <c r="S655" s="90"/>
      <c r="T655" s="90"/>
      <c r="U655" s="90"/>
      <c r="V655" s="90"/>
      <c r="W655" s="90"/>
      <c r="X655" s="90"/>
      <c r="Y655" s="90"/>
      <c r="Z655" s="90"/>
      <c r="AA655" s="90"/>
      <c r="AB655" s="90"/>
    </row>
    <row r="656" spans="1:28" ht="16">
      <c r="A656" s="100"/>
      <c r="B656" s="87"/>
      <c r="C656" s="94"/>
      <c r="D656" s="95"/>
      <c r="E656" s="96"/>
      <c r="F656" s="88"/>
      <c r="G656" s="89" t="b">
        <v>0</v>
      </c>
      <c r="H656" s="89"/>
      <c r="I656" s="90"/>
      <c r="J656" s="90"/>
      <c r="K656" s="90"/>
      <c r="L656" s="90"/>
      <c r="M656" s="90"/>
      <c r="N656" s="90"/>
      <c r="O656" s="90"/>
      <c r="P656" s="90"/>
      <c r="Q656" s="90"/>
      <c r="R656" s="90"/>
      <c r="S656" s="90"/>
      <c r="T656" s="90"/>
      <c r="U656" s="90"/>
      <c r="V656" s="90"/>
      <c r="W656" s="90"/>
      <c r="X656" s="90"/>
      <c r="Y656" s="90"/>
      <c r="Z656" s="90"/>
      <c r="AA656" s="90"/>
      <c r="AB656" s="90"/>
    </row>
    <row r="657" spans="1:28" ht="16">
      <c r="A657" s="100"/>
      <c r="B657" s="91"/>
      <c r="C657" s="97"/>
      <c r="D657" s="98"/>
      <c r="E657" s="99"/>
      <c r="F657" s="92"/>
      <c r="G657" s="93" t="b">
        <v>0</v>
      </c>
      <c r="H657" s="93"/>
      <c r="I657" s="90"/>
      <c r="J657" s="90"/>
      <c r="K657" s="90"/>
      <c r="L657" s="90"/>
      <c r="M657" s="90"/>
      <c r="N657" s="90"/>
      <c r="O657" s="90"/>
      <c r="P657" s="90"/>
      <c r="Q657" s="90"/>
      <c r="R657" s="90"/>
      <c r="S657" s="90"/>
      <c r="T657" s="90"/>
      <c r="U657" s="90"/>
      <c r="V657" s="90"/>
      <c r="W657" s="90"/>
      <c r="X657" s="90"/>
      <c r="Y657" s="90"/>
      <c r="Z657" s="90"/>
      <c r="AA657" s="90"/>
      <c r="AB657" s="90"/>
    </row>
    <row r="658" spans="1:28" ht="16">
      <c r="A658" s="100"/>
      <c r="B658" s="87"/>
      <c r="C658" s="94"/>
      <c r="D658" s="95"/>
      <c r="E658" s="96"/>
      <c r="F658" s="88"/>
      <c r="G658" s="89" t="b">
        <v>0</v>
      </c>
      <c r="H658" s="89"/>
      <c r="I658" s="90"/>
      <c r="J658" s="90"/>
      <c r="K658" s="90"/>
      <c r="L658" s="90"/>
      <c r="M658" s="90"/>
      <c r="N658" s="90"/>
      <c r="O658" s="90"/>
      <c r="P658" s="90"/>
      <c r="Q658" s="90"/>
      <c r="R658" s="90"/>
      <c r="S658" s="90"/>
      <c r="T658" s="90"/>
      <c r="U658" s="90"/>
      <c r="V658" s="90"/>
      <c r="W658" s="90"/>
      <c r="X658" s="90"/>
      <c r="Y658" s="90"/>
      <c r="Z658" s="90"/>
      <c r="AA658" s="90"/>
      <c r="AB658" s="90"/>
    </row>
    <row r="659" spans="1:28" ht="16">
      <c r="A659" s="100"/>
      <c r="B659" s="91"/>
      <c r="C659" s="97"/>
      <c r="D659" s="98"/>
      <c r="E659" s="99"/>
      <c r="F659" s="92"/>
      <c r="G659" s="93" t="b">
        <v>0</v>
      </c>
      <c r="H659" s="93"/>
      <c r="I659" s="90"/>
      <c r="J659" s="90"/>
      <c r="K659" s="90"/>
      <c r="L659" s="90"/>
      <c r="M659" s="90"/>
      <c r="N659" s="90"/>
      <c r="O659" s="90"/>
      <c r="P659" s="90"/>
      <c r="Q659" s="90"/>
      <c r="R659" s="90"/>
      <c r="S659" s="90"/>
      <c r="T659" s="90"/>
      <c r="U659" s="90"/>
      <c r="V659" s="90"/>
      <c r="W659" s="90"/>
      <c r="X659" s="90"/>
      <c r="Y659" s="90"/>
      <c r="Z659" s="90"/>
      <c r="AA659" s="90"/>
      <c r="AB659" s="90"/>
    </row>
    <row r="660" spans="1:28" ht="16">
      <c r="A660" s="100"/>
      <c r="B660" s="87"/>
      <c r="C660" s="94"/>
      <c r="D660" s="95"/>
      <c r="E660" s="96"/>
      <c r="F660" s="88"/>
      <c r="G660" s="89" t="b">
        <v>0</v>
      </c>
      <c r="H660" s="89"/>
      <c r="I660" s="90"/>
      <c r="J660" s="90"/>
      <c r="K660" s="90"/>
      <c r="L660" s="90"/>
      <c r="M660" s="90"/>
      <c r="N660" s="90"/>
      <c r="O660" s="90"/>
      <c r="P660" s="90"/>
      <c r="Q660" s="90"/>
      <c r="R660" s="90"/>
      <c r="S660" s="90"/>
      <c r="T660" s="90"/>
      <c r="U660" s="90"/>
      <c r="V660" s="90"/>
      <c r="W660" s="90"/>
      <c r="X660" s="90"/>
      <c r="Y660" s="90"/>
      <c r="Z660" s="90"/>
      <c r="AA660" s="90"/>
      <c r="AB660" s="90"/>
    </row>
    <row r="661" spans="1:28" ht="16">
      <c r="A661" s="100"/>
      <c r="B661" s="91"/>
      <c r="C661" s="97"/>
      <c r="D661" s="98"/>
      <c r="E661" s="99"/>
      <c r="F661" s="92"/>
      <c r="G661" s="93" t="b">
        <v>0</v>
      </c>
      <c r="H661" s="93"/>
      <c r="I661" s="90"/>
      <c r="J661" s="90"/>
      <c r="K661" s="90"/>
      <c r="L661" s="90"/>
      <c r="M661" s="90"/>
      <c r="N661" s="90"/>
      <c r="O661" s="90"/>
      <c r="P661" s="90"/>
      <c r="Q661" s="90"/>
      <c r="R661" s="90"/>
      <c r="S661" s="90"/>
      <c r="T661" s="90"/>
      <c r="U661" s="90"/>
      <c r="V661" s="90"/>
      <c r="W661" s="90"/>
      <c r="X661" s="90"/>
      <c r="Y661" s="90"/>
      <c r="Z661" s="90"/>
      <c r="AA661" s="90"/>
      <c r="AB661" s="90"/>
    </row>
    <row r="662" spans="1:28" ht="16">
      <c r="A662" s="100"/>
      <c r="B662" s="87"/>
      <c r="C662" s="94"/>
      <c r="D662" s="95"/>
      <c r="E662" s="96"/>
      <c r="F662" s="88"/>
      <c r="G662" s="89" t="b">
        <v>0</v>
      </c>
      <c r="H662" s="89"/>
      <c r="I662" s="90"/>
      <c r="J662" s="90"/>
      <c r="K662" s="90"/>
      <c r="L662" s="90"/>
      <c r="M662" s="90"/>
      <c r="N662" s="90"/>
      <c r="O662" s="90"/>
      <c r="P662" s="90"/>
      <c r="Q662" s="90"/>
      <c r="R662" s="90"/>
      <c r="S662" s="90"/>
      <c r="T662" s="90"/>
      <c r="U662" s="90"/>
      <c r="V662" s="90"/>
      <c r="W662" s="90"/>
      <c r="X662" s="90"/>
      <c r="Y662" s="90"/>
      <c r="Z662" s="90"/>
      <c r="AA662" s="90"/>
      <c r="AB662" s="90"/>
    </row>
    <row r="663" spans="1:28" ht="16">
      <c r="A663" s="100"/>
      <c r="B663" s="91"/>
      <c r="C663" s="97"/>
      <c r="D663" s="98"/>
      <c r="E663" s="99"/>
      <c r="F663" s="92"/>
      <c r="G663" s="93" t="b">
        <v>0</v>
      </c>
      <c r="H663" s="93"/>
      <c r="I663" s="90"/>
      <c r="J663" s="90"/>
      <c r="K663" s="90"/>
      <c r="L663" s="90"/>
      <c r="M663" s="90"/>
      <c r="N663" s="90"/>
      <c r="O663" s="90"/>
      <c r="P663" s="90"/>
      <c r="Q663" s="90"/>
      <c r="R663" s="90"/>
      <c r="S663" s="90"/>
      <c r="T663" s="90"/>
      <c r="U663" s="90"/>
      <c r="V663" s="90"/>
      <c r="W663" s="90"/>
      <c r="X663" s="90"/>
      <c r="Y663" s="90"/>
      <c r="Z663" s="90"/>
      <c r="AA663" s="90"/>
      <c r="AB663" s="90"/>
    </row>
    <row r="664" spans="1:28" ht="16">
      <c r="A664" s="100"/>
      <c r="B664" s="87"/>
      <c r="C664" s="94"/>
      <c r="D664" s="95"/>
      <c r="E664" s="96"/>
      <c r="F664" s="88"/>
      <c r="G664" s="89" t="b">
        <v>0</v>
      </c>
      <c r="H664" s="89"/>
      <c r="I664" s="90"/>
      <c r="J664" s="90"/>
      <c r="K664" s="90"/>
      <c r="L664" s="90"/>
      <c r="M664" s="90"/>
      <c r="N664" s="90"/>
      <c r="O664" s="90"/>
      <c r="P664" s="90"/>
      <c r="Q664" s="90"/>
      <c r="R664" s="90"/>
      <c r="S664" s="90"/>
      <c r="T664" s="90"/>
      <c r="U664" s="90"/>
      <c r="V664" s="90"/>
      <c r="W664" s="90"/>
      <c r="X664" s="90"/>
      <c r="Y664" s="90"/>
      <c r="Z664" s="90"/>
      <c r="AA664" s="90"/>
      <c r="AB664" s="90"/>
    </row>
    <row r="665" spans="1:28" ht="16">
      <c r="A665" s="100"/>
      <c r="B665" s="91"/>
      <c r="C665" s="97"/>
      <c r="D665" s="98"/>
      <c r="E665" s="99"/>
      <c r="F665" s="92"/>
      <c r="G665" s="93" t="b">
        <v>0</v>
      </c>
      <c r="H665" s="93"/>
      <c r="I665" s="90"/>
      <c r="J665" s="90"/>
      <c r="K665" s="90"/>
      <c r="L665" s="90"/>
      <c r="M665" s="90"/>
      <c r="N665" s="90"/>
      <c r="O665" s="90"/>
      <c r="P665" s="90"/>
      <c r="Q665" s="90"/>
      <c r="R665" s="90"/>
      <c r="S665" s="90"/>
      <c r="T665" s="90"/>
      <c r="U665" s="90"/>
      <c r="V665" s="90"/>
      <c r="W665" s="90"/>
      <c r="X665" s="90"/>
      <c r="Y665" s="90"/>
      <c r="Z665" s="90"/>
      <c r="AA665" s="90"/>
      <c r="AB665" s="90"/>
    </row>
    <row r="666" spans="1:28" ht="16">
      <c r="A666" s="100"/>
      <c r="B666" s="87"/>
      <c r="C666" s="94"/>
      <c r="D666" s="95"/>
      <c r="E666" s="96"/>
      <c r="F666" s="88"/>
      <c r="G666" s="89" t="b">
        <v>0</v>
      </c>
      <c r="H666" s="89"/>
      <c r="I666" s="90"/>
      <c r="J666" s="90"/>
      <c r="K666" s="90"/>
      <c r="L666" s="90"/>
      <c r="M666" s="90"/>
      <c r="N666" s="90"/>
      <c r="O666" s="90"/>
      <c r="P666" s="90"/>
      <c r="Q666" s="90"/>
      <c r="R666" s="90"/>
      <c r="S666" s="90"/>
      <c r="T666" s="90"/>
      <c r="U666" s="90"/>
      <c r="V666" s="90"/>
      <c r="W666" s="90"/>
      <c r="X666" s="90"/>
      <c r="Y666" s="90"/>
      <c r="Z666" s="90"/>
      <c r="AA666" s="90"/>
      <c r="AB666" s="90"/>
    </row>
    <row r="667" spans="1:28" ht="16">
      <c r="A667" s="100"/>
      <c r="B667" s="91"/>
      <c r="C667" s="97"/>
      <c r="D667" s="98"/>
      <c r="E667" s="99"/>
      <c r="F667" s="92"/>
      <c r="G667" s="93" t="b">
        <v>0</v>
      </c>
      <c r="H667" s="93"/>
      <c r="I667" s="90"/>
      <c r="J667" s="90"/>
      <c r="K667" s="90"/>
      <c r="L667" s="90"/>
      <c r="M667" s="90"/>
      <c r="N667" s="90"/>
      <c r="O667" s="90"/>
      <c r="P667" s="90"/>
      <c r="Q667" s="90"/>
      <c r="R667" s="90"/>
      <c r="S667" s="90"/>
      <c r="T667" s="90"/>
      <c r="U667" s="90"/>
      <c r="V667" s="90"/>
      <c r="W667" s="90"/>
      <c r="X667" s="90"/>
      <c r="Y667" s="90"/>
      <c r="Z667" s="90"/>
      <c r="AA667" s="90"/>
      <c r="AB667" s="90"/>
    </row>
    <row r="668" spans="1:28" ht="16">
      <c r="A668" s="100"/>
      <c r="B668" s="87"/>
      <c r="C668" s="94"/>
      <c r="D668" s="95"/>
      <c r="E668" s="96"/>
      <c r="F668" s="88"/>
      <c r="G668" s="89" t="b">
        <v>0</v>
      </c>
      <c r="H668" s="89"/>
      <c r="I668" s="90"/>
      <c r="J668" s="90"/>
      <c r="K668" s="90"/>
      <c r="L668" s="90"/>
      <c r="M668" s="90"/>
      <c r="N668" s="90"/>
      <c r="O668" s="90"/>
      <c r="P668" s="90"/>
      <c r="Q668" s="90"/>
      <c r="R668" s="90"/>
      <c r="S668" s="90"/>
      <c r="T668" s="90"/>
      <c r="U668" s="90"/>
      <c r="V668" s="90"/>
      <c r="W668" s="90"/>
      <c r="X668" s="90"/>
      <c r="Y668" s="90"/>
      <c r="Z668" s="90"/>
      <c r="AA668" s="90"/>
      <c r="AB668" s="90"/>
    </row>
    <row r="669" spans="1:28" ht="16">
      <c r="A669" s="100"/>
      <c r="B669" s="91"/>
      <c r="C669" s="97"/>
      <c r="D669" s="98"/>
      <c r="E669" s="99"/>
      <c r="F669" s="92"/>
      <c r="G669" s="93" t="b">
        <v>0</v>
      </c>
      <c r="H669" s="93"/>
      <c r="I669" s="90"/>
      <c r="J669" s="90"/>
      <c r="K669" s="90"/>
      <c r="L669" s="90"/>
      <c r="M669" s="90"/>
      <c r="N669" s="90"/>
      <c r="O669" s="90"/>
      <c r="P669" s="90"/>
      <c r="Q669" s="90"/>
      <c r="R669" s="90"/>
      <c r="S669" s="90"/>
      <c r="T669" s="90"/>
      <c r="U669" s="90"/>
      <c r="V669" s="90"/>
      <c r="W669" s="90"/>
      <c r="X669" s="90"/>
      <c r="Y669" s="90"/>
      <c r="Z669" s="90"/>
      <c r="AA669" s="90"/>
      <c r="AB669" s="90"/>
    </row>
    <row r="670" spans="1:28" ht="16">
      <c r="A670" s="100"/>
      <c r="B670" s="87"/>
      <c r="C670" s="94"/>
      <c r="D670" s="95"/>
      <c r="E670" s="96"/>
      <c r="F670" s="88"/>
      <c r="G670" s="89" t="b">
        <v>0</v>
      </c>
      <c r="H670" s="89"/>
      <c r="I670" s="90"/>
      <c r="J670" s="90"/>
      <c r="K670" s="90"/>
      <c r="L670" s="90"/>
      <c r="M670" s="90"/>
      <c r="N670" s="90"/>
      <c r="O670" s="90"/>
      <c r="P670" s="90"/>
      <c r="Q670" s="90"/>
      <c r="R670" s="90"/>
      <c r="S670" s="90"/>
      <c r="T670" s="90"/>
      <c r="U670" s="90"/>
      <c r="V670" s="90"/>
      <c r="W670" s="90"/>
      <c r="X670" s="90"/>
      <c r="Y670" s="90"/>
      <c r="Z670" s="90"/>
      <c r="AA670" s="90"/>
      <c r="AB670" s="90"/>
    </row>
    <row r="671" spans="1:28" ht="16">
      <c r="A671" s="100"/>
      <c r="B671" s="91"/>
      <c r="C671" s="97"/>
      <c r="D671" s="98"/>
      <c r="E671" s="99"/>
      <c r="F671" s="92"/>
      <c r="G671" s="93" t="b">
        <v>0</v>
      </c>
      <c r="H671" s="93"/>
      <c r="I671" s="90"/>
      <c r="J671" s="90"/>
      <c r="K671" s="90"/>
      <c r="L671" s="90"/>
      <c r="M671" s="90"/>
      <c r="N671" s="90"/>
      <c r="O671" s="90"/>
      <c r="P671" s="90"/>
      <c r="Q671" s="90"/>
      <c r="R671" s="90"/>
      <c r="S671" s="90"/>
      <c r="T671" s="90"/>
      <c r="U671" s="90"/>
      <c r="V671" s="90"/>
      <c r="W671" s="90"/>
      <c r="X671" s="90"/>
      <c r="Y671" s="90"/>
      <c r="Z671" s="90"/>
      <c r="AA671" s="90"/>
      <c r="AB671" s="90"/>
    </row>
    <row r="672" spans="1:28" ht="16">
      <c r="A672" s="100"/>
      <c r="B672" s="87"/>
      <c r="C672" s="94"/>
      <c r="D672" s="95"/>
      <c r="E672" s="96"/>
      <c r="F672" s="88"/>
      <c r="G672" s="89" t="b">
        <v>0</v>
      </c>
      <c r="H672" s="89"/>
      <c r="I672" s="90"/>
      <c r="J672" s="90"/>
      <c r="K672" s="90"/>
      <c r="L672" s="90"/>
      <c r="M672" s="90"/>
      <c r="N672" s="90"/>
      <c r="O672" s="90"/>
      <c r="P672" s="90"/>
      <c r="Q672" s="90"/>
      <c r="R672" s="90"/>
      <c r="S672" s="90"/>
      <c r="T672" s="90"/>
      <c r="U672" s="90"/>
      <c r="V672" s="90"/>
      <c r="W672" s="90"/>
      <c r="X672" s="90"/>
      <c r="Y672" s="90"/>
      <c r="Z672" s="90"/>
      <c r="AA672" s="90"/>
      <c r="AB672" s="90"/>
    </row>
    <row r="673" spans="1:28" ht="16">
      <c r="A673" s="100"/>
      <c r="B673" s="91"/>
      <c r="C673" s="97"/>
      <c r="D673" s="98"/>
      <c r="E673" s="99"/>
      <c r="F673" s="92"/>
      <c r="G673" s="93" t="b">
        <v>0</v>
      </c>
      <c r="H673" s="93"/>
      <c r="I673" s="90"/>
      <c r="J673" s="90"/>
      <c r="K673" s="90"/>
      <c r="L673" s="90"/>
      <c r="M673" s="90"/>
      <c r="N673" s="90"/>
      <c r="O673" s="90"/>
      <c r="P673" s="90"/>
      <c r="Q673" s="90"/>
      <c r="R673" s="90"/>
      <c r="S673" s="90"/>
      <c r="T673" s="90"/>
      <c r="U673" s="90"/>
      <c r="V673" s="90"/>
      <c r="W673" s="90"/>
      <c r="X673" s="90"/>
      <c r="Y673" s="90"/>
      <c r="Z673" s="90"/>
      <c r="AA673" s="90"/>
      <c r="AB673" s="90"/>
    </row>
    <row r="674" spans="1:28" ht="16">
      <c r="A674" s="100"/>
      <c r="B674" s="87"/>
      <c r="C674" s="94"/>
      <c r="D674" s="95"/>
      <c r="E674" s="96"/>
      <c r="F674" s="88"/>
      <c r="G674" s="89" t="b">
        <v>0</v>
      </c>
      <c r="H674" s="89"/>
      <c r="I674" s="90"/>
      <c r="J674" s="90"/>
      <c r="K674" s="90"/>
      <c r="L674" s="90"/>
      <c r="M674" s="90"/>
      <c r="N674" s="90"/>
      <c r="O674" s="90"/>
      <c r="P674" s="90"/>
      <c r="Q674" s="90"/>
      <c r="R674" s="90"/>
      <c r="S674" s="90"/>
      <c r="T674" s="90"/>
      <c r="U674" s="90"/>
      <c r="V674" s="90"/>
      <c r="W674" s="90"/>
      <c r="X674" s="90"/>
      <c r="Y674" s="90"/>
      <c r="Z674" s="90"/>
      <c r="AA674" s="90"/>
      <c r="AB674" s="90"/>
    </row>
    <row r="675" spans="1:28" ht="16">
      <c r="A675" s="100"/>
      <c r="B675" s="91"/>
      <c r="C675" s="97"/>
      <c r="D675" s="98"/>
      <c r="E675" s="99"/>
      <c r="F675" s="92"/>
      <c r="G675" s="93" t="b">
        <v>0</v>
      </c>
      <c r="H675" s="93"/>
      <c r="I675" s="90"/>
      <c r="J675" s="90"/>
      <c r="K675" s="90"/>
      <c r="L675" s="90"/>
      <c r="M675" s="90"/>
      <c r="N675" s="90"/>
      <c r="O675" s="90"/>
      <c r="P675" s="90"/>
      <c r="Q675" s="90"/>
      <c r="R675" s="90"/>
      <c r="S675" s="90"/>
      <c r="T675" s="90"/>
      <c r="U675" s="90"/>
      <c r="V675" s="90"/>
      <c r="W675" s="90"/>
      <c r="X675" s="90"/>
      <c r="Y675" s="90"/>
      <c r="Z675" s="90"/>
      <c r="AA675" s="90"/>
      <c r="AB675" s="90"/>
    </row>
    <row r="676" spans="1:28" ht="16">
      <c r="A676" s="100"/>
      <c r="B676" s="87"/>
      <c r="C676" s="94"/>
      <c r="D676" s="95"/>
      <c r="E676" s="96"/>
      <c r="F676" s="88"/>
      <c r="G676" s="89" t="b">
        <v>0</v>
      </c>
      <c r="H676" s="89"/>
      <c r="I676" s="90"/>
      <c r="J676" s="90"/>
      <c r="K676" s="90"/>
      <c r="L676" s="90"/>
      <c r="M676" s="90"/>
      <c r="N676" s="90"/>
      <c r="O676" s="90"/>
      <c r="P676" s="90"/>
      <c r="Q676" s="90"/>
      <c r="R676" s="90"/>
      <c r="S676" s="90"/>
      <c r="T676" s="90"/>
      <c r="U676" s="90"/>
      <c r="V676" s="90"/>
      <c r="W676" s="90"/>
      <c r="X676" s="90"/>
      <c r="Y676" s="90"/>
      <c r="Z676" s="90"/>
      <c r="AA676" s="90"/>
      <c r="AB676" s="90"/>
    </row>
    <row r="677" spans="1:28" ht="16">
      <c r="A677" s="100"/>
      <c r="B677" s="91"/>
      <c r="C677" s="97"/>
      <c r="D677" s="98"/>
      <c r="E677" s="99"/>
      <c r="F677" s="92"/>
      <c r="G677" s="93" t="b">
        <v>0</v>
      </c>
      <c r="H677" s="93"/>
      <c r="I677" s="90"/>
      <c r="J677" s="90"/>
      <c r="K677" s="90"/>
      <c r="L677" s="90"/>
      <c r="M677" s="90"/>
      <c r="N677" s="90"/>
      <c r="O677" s="90"/>
      <c r="P677" s="90"/>
      <c r="Q677" s="90"/>
      <c r="R677" s="90"/>
      <c r="S677" s="90"/>
      <c r="T677" s="90"/>
      <c r="U677" s="90"/>
      <c r="V677" s="90"/>
      <c r="W677" s="90"/>
      <c r="X677" s="90"/>
      <c r="Y677" s="90"/>
      <c r="Z677" s="90"/>
      <c r="AA677" s="90"/>
      <c r="AB677" s="90"/>
    </row>
    <row r="678" spans="1:28" ht="16">
      <c r="A678" s="100"/>
      <c r="B678" s="87"/>
      <c r="C678" s="94"/>
      <c r="D678" s="95"/>
      <c r="E678" s="96"/>
      <c r="F678" s="88"/>
      <c r="G678" s="89" t="b">
        <v>0</v>
      </c>
      <c r="H678" s="89"/>
      <c r="I678" s="90"/>
      <c r="J678" s="90"/>
      <c r="K678" s="90"/>
      <c r="L678" s="90"/>
      <c r="M678" s="90"/>
      <c r="N678" s="90"/>
      <c r="O678" s="90"/>
      <c r="P678" s="90"/>
      <c r="Q678" s="90"/>
      <c r="R678" s="90"/>
      <c r="S678" s="90"/>
      <c r="T678" s="90"/>
      <c r="U678" s="90"/>
      <c r="V678" s="90"/>
      <c r="W678" s="90"/>
      <c r="X678" s="90"/>
      <c r="Y678" s="90"/>
      <c r="Z678" s="90"/>
      <c r="AA678" s="90"/>
      <c r="AB678" s="90"/>
    </row>
    <row r="679" spans="1:28" ht="16">
      <c r="A679" s="100"/>
      <c r="B679" s="91"/>
      <c r="C679" s="97"/>
      <c r="D679" s="98"/>
      <c r="E679" s="99"/>
      <c r="F679" s="92"/>
      <c r="G679" s="93" t="b">
        <v>0</v>
      </c>
      <c r="H679" s="93"/>
      <c r="I679" s="90"/>
      <c r="J679" s="90"/>
      <c r="K679" s="90"/>
      <c r="L679" s="90"/>
      <c r="M679" s="90"/>
      <c r="N679" s="90"/>
      <c r="O679" s="90"/>
      <c r="P679" s="90"/>
      <c r="Q679" s="90"/>
      <c r="R679" s="90"/>
      <c r="S679" s="90"/>
      <c r="T679" s="90"/>
      <c r="U679" s="90"/>
      <c r="V679" s="90"/>
      <c r="W679" s="90"/>
      <c r="X679" s="90"/>
      <c r="Y679" s="90"/>
      <c r="Z679" s="90"/>
      <c r="AA679" s="90"/>
      <c r="AB679" s="90"/>
    </row>
    <row r="680" spans="1:28" ht="16">
      <c r="A680" s="100"/>
      <c r="B680" s="87"/>
      <c r="C680" s="94"/>
      <c r="D680" s="95"/>
      <c r="E680" s="96"/>
      <c r="F680" s="88"/>
      <c r="G680" s="89" t="b">
        <v>0</v>
      </c>
      <c r="H680" s="89"/>
      <c r="I680" s="90"/>
      <c r="J680" s="90"/>
      <c r="K680" s="90"/>
      <c r="L680" s="90"/>
      <c r="M680" s="90"/>
      <c r="N680" s="90"/>
      <c r="O680" s="90"/>
      <c r="P680" s="90"/>
      <c r="Q680" s="90"/>
      <c r="R680" s="90"/>
      <c r="S680" s="90"/>
      <c r="T680" s="90"/>
      <c r="U680" s="90"/>
      <c r="V680" s="90"/>
      <c r="W680" s="90"/>
      <c r="X680" s="90"/>
      <c r="Y680" s="90"/>
      <c r="Z680" s="90"/>
      <c r="AA680" s="90"/>
      <c r="AB680" s="90"/>
    </row>
    <row r="681" spans="1:28" ht="16">
      <c r="A681" s="100"/>
      <c r="B681" s="91"/>
      <c r="C681" s="97"/>
      <c r="D681" s="98"/>
      <c r="E681" s="99"/>
      <c r="F681" s="92"/>
      <c r="G681" s="93" t="b">
        <v>0</v>
      </c>
      <c r="H681" s="93"/>
      <c r="I681" s="90"/>
      <c r="J681" s="90"/>
      <c r="K681" s="90"/>
      <c r="L681" s="90"/>
      <c r="M681" s="90"/>
      <c r="N681" s="90"/>
      <c r="O681" s="90"/>
      <c r="P681" s="90"/>
      <c r="Q681" s="90"/>
      <c r="R681" s="90"/>
      <c r="S681" s="90"/>
      <c r="T681" s="90"/>
      <c r="U681" s="90"/>
      <c r="V681" s="90"/>
      <c r="W681" s="90"/>
      <c r="X681" s="90"/>
      <c r="Y681" s="90"/>
      <c r="Z681" s="90"/>
      <c r="AA681" s="90"/>
      <c r="AB681" s="90"/>
    </row>
    <row r="682" spans="1:28" ht="16">
      <c r="A682" s="100"/>
      <c r="B682" s="87"/>
      <c r="C682" s="94"/>
      <c r="D682" s="95"/>
      <c r="E682" s="96"/>
      <c r="F682" s="88"/>
      <c r="G682" s="89" t="b">
        <v>0</v>
      </c>
      <c r="H682" s="89"/>
      <c r="I682" s="90"/>
      <c r="J682" s="90"/>
      <c r="K682" s="90"/>
      <c r="L682" s="90"/>
      <c r="M682" s="90"/>
      <c r="N682" s="90"/>
      <c r="O682" s="90"/>
      <c r="P682" s="90"/>
      <c r="Q682" s="90"/>
      <c r="R682" s="90"/>
      <c r="S682" s="90"/>
      <c r="T682" s="90"/>
      <c r="U682" s="90"/>
      <c r="V682" s="90"/>
      <c r="W682" s="90"/>
      <c r="X682" s="90"/>
      <c r="Y682" s="90"/>
      <c r="Z682" s="90"/>
      <c r="AA682" s="90"/>
      <c r="AB682" s="90"/>
    </row>
    <row r="683" spans="1:28" ht="16">
      <c r="A683" s="100"/>
      <c r="B683" s="91"/>
      <c r="C683" s="97"/>
      <c r="D683" s="98"/>
      <c r="E683" s="99"/>
      <c r="F683" s="92"/>
      <c r="G683" s="93" t="b">
        <v>0</v>
      </c>
      <c r="H683" s="93"/>
      <c r="I683" s="90"/>
      <c r="J683" s="90"/>
      <c r="K683" s="90"/>
      <c r="L683" s="90"/>
      <c r="M683" s="90"/>
      <c r="N683" s="90"/>
      <c r="O683" s="90"/>
      <c r="P683" s="90"/>
      <c r="Q683" s="90"/>
      <c r="R683" s="90"/>
      <c r="S683" s="90"/>
      <c r="T683" s="90"/>
      <c r="U683" s="90"/>
      <c r="V683" s="90"/>
      <c r="W683" s="90"/>
      <c r="X683" s="90"/>
      <c r="Y683" s="90"/>
      <c r="Z683" s="90"/>
      <c r="AA683" s="90"/>
      <c r="AB683" s="90"/>
    </row>
    <row r="684" spans="1:28" ht="16">
      <c r="A684" s="100"/>
      <c r="B684" s="87"/>
      <c r="C684" s="94"/>
      <c r="D684" s="95"/>
      <c r="E684" s="96"/>
      <c r="F684" s="88"/>
      <c r="G684" s="89" t="b">
        <v>0</v>
      </c>
      <c r="H684" s="89"/>
      <c r="I684" s="90"/>
      <c r="J684" s="90"/>
      <c r="K684" s="90"/>
      <c r="L684" s="90"/>
      <c r="M684" s="90"/>
      <c r="N684" s="90"/>
      <c r="O684" s="90"/>
      <c r="P684" s="90"/>
      <c r="Q684" s="90"/>
      <c r="R684" s="90"/>
      <c r="S684" s="90"/>
      <c r="T684" s="90"/>
      <c r="U684" s="90"/>
      <c r="V684" s="90"/>
      <c r="W684" s="90"/>
      <c r="X684" s="90"/>
      <c r="Y684" s="90"/>
      <c r="Z684" s="90"/>
      <c r="AA684" s="90"/>
      <c r="AB684" s="90"/>
    </row>
    <row r="685" spans="1:28" ht="16">
      <c r="A685" s="100"/>
      <c r="B685" s="91"/>
      <c r="C685" s="97"/>
      <c r="D685" s="98"/>
      <c r="E685" s="99"/>
      <c r="F685" s="92"/>
      <c r="G685" s="93" t="b">
        <v>0</v>
      </c>
      <c r="H685" s="93"/>
      <c r="I685" s="90"/>
      <c r="J685" s="90"/>
      <c r="K685" s="90"/>
      <c r="L685" s="90"/>
      <c r="M685" s="90"/>
      <c r="N685" s="90"/>
      <c r="O685" s="90"/>
      <c r="P685" s="90"/>
      <c r="Q685" s="90"/>
      <c r="R685" s="90"/>
      <c r="S685" s="90"/>
      <c r="T685" s="90"/>
      <c r="U685" s="90"/>
      <c r="V685" s="90"/>
      <c r="W685" s="90"/>
      <c r="X685" s="90"/>
      <c r="Y685" s="90"/>
      <c r="Z685" s="90"/>
      <c r="AA685" s="90"/>
      <c r="AB685" s="90"/>
    </row>
    <row r="686" spans="1:28" ht="16">
      <c r="A686" s="100"/>
      <c r="B686" s="87"/>
      <c r="C686" s="94"/>
      <c r="D686" s="95"/>
      <c r="E686" s="96"/>
      <c r="F686" s="88"/>
      <c r="G686" s="89" t="b">
        <v>0</v>
      </c>
      <c r="H686" s="89"/>
      <c r="I686" s="90"/>
      <c r="J686" s="90"/>
      <c r="K686" s="90"/>
      <c r="L686" s="90"/>
      <c r="M686" s="90"/>
      <c r="N686" s="90"/>
      <c r="O686" s="90"/>
      <c r="P686" s="90"/>
      <c r="Q686" s="90"/>
      <c r="R686" s="90"/>
      <c r="S686" s="90"/>
      <c r="T686" s="90"/>
      <c r="U686" s="90"/>
      <c r="V686" s="90"/>
      <c r="W686" s="90"/>
      <c r="X686" s="90"/>
      <c r="Y686" s="90"/>
      <c r="Z686" s="90"/>
      <c r="AA686" s="90"/>
      <c r="AB686" s="90"/>
    </row>
    <row r="687" spans="1:28" ht="16">
      <c r="A687" s="100"/>
      <c r="B687" s="91"/>
      <c r="C687" s="97"/>
      <c r="D687" s="98"/>
      <c r="E687" s="99"/>
      <c r="F687" s="92"/>
      <c r="G687" s="93" t="b">
        <v>0</v>
      </c>
      <c r="H687" s="93"/>
      <c r="I687" s="90"/>
      <c r="J687" s="90"/>
      <c r="K687" s="90"/>
      <c r="L687" s="90"/>
      <c r="M687" s="90"/>
      <c r="N687" s="90"/>
      <c r="O687" s="90"/>
      <c r="P687" s="90"/>
      <c r="Q687" s="90"/>
      <c r="R687" s="90"/>
      <c r="S687" s="90"/>
      <c r="T687" s="90"/>
      <c r="U687" s="90"/>
      <c r="V687" s="90"/>
      <c r="W687" s="90"/>
      <c r="X687" s="90"/>
      <c r="Y687" s="90"/>
      <c r="Z687" s="90"/>
      <c r="AA687" s="90"/>
      <c r="AB687" s="90"/>
    </row>
    <row r="688" spans="1:28" ht="16">
      <c r="A688" s="100"/>
      <c r="B688" s="87"/>
      <c r="C688" s="94"/>
      <c r="D688" s="95"/>
      <c r="E688" s="96"/>
      <c r="F688" s="88"/>
      <c r="G688" s="89" t="b">
        <v>0</v>
      </c>
      <c r="H688" s="89"/>
      <c r="I688" s="90"/>
      <c r="J688" s="90"/>
      <c r="K688" s="90"/>
      <c r="L688" s="90"/>
      <c r="M688" s="90"/>
      <c r="N688" s="90"/>
      <c r="O688" s="90"/>
      <c r="P688" s="90"/>
      <c r="Q688" s="90"/>
      <c r="R688" s="90"/>
      <c r="S688" s="90"/>
      <c r="T688" s="90"/>
      <c r="U688" s="90"/>
      <c r="V688" s="90"/>
      <c r="W688" s="90"/>
      <c r="X688" s="90"/>
      <c r="Y688" s="90"/>
      <c r="Z688" s="90"/>
      <c r="AA688" s="90"/>
      <c r="AB688" s="90"/>
    </row>
    <row r="689" spans="1:28" ht="16">
      <c r="A689" s="100"/>
      <c r="B689" s="91"/>
      <c r="C689" s="97"/>
      <c r="D689" s="98"/>
      <c r="E689" s="99"/>
      <c r="F689" s="92"/>
      <c r="G689" s="93" t="b">
        <v>0</v>
      </c>
      <c r="H689" s="93"/>
      <c r="I689" s="90"/>
      <c r="J689" s="90"/>
      <c r="K689" s="90"/>
      <c r="L689" s="90"/>
      <c r="M689" s="90"/>
      <c r="N689" s="90"/>
      <c r="O689" s="90"/>
      <c r="P689" s="90"/>
      <c r="Q689" s="90"/>
      <c r="R689" s="90"/>
      <c r="S689" s="90"/>
      <c r="T689" s="90"/>
      <c r="U689" s="90"/>
      <c r="V689" s="90"/>
      <c r="W689" s="90"/>
      <c r="X689" s="90"/>
      <c r="Y689" s="90"/>
      <c r="Z689" s="90"/>
      <c r="AA689" s="90"/>
      <c r="AB689" s="90"/>
    </row>
    <row r="690" spans="1:28" ht="16">
      <c r="A690" s="100"/>
      <c r="B690" s="87"/>
      <c r="C690" s="94"/>
      <c r="D690" s="95"/>
      <c r="E690" s="96"/>
      <c r="F690" s="88"/>
      <c r="G690" s="89" t="b">
        <v>0</v>
      </c>
      <c r="H690" s="89"/>
      <c r="I690" s="90"/>
      <c r="J690" s="90"/>
      <c r="K690" s="90"/>
      <c r="L690" s="90"/>
      <c r="M690" s="90"/>
      <c r="N690" s="90"/>
      <c r="O690" s="90"/>
      <c r="P690" s="90"/>
      <c r="Q690" s="90"/>
      <c r="R690" s="90"/>
      <c r="S690" s="90"/>
      <c r="T690" s="90"/>
      <c r="U690" s="90"/>
      <c r="V690" s="90"/>
      <c r="W690" s="90"/>
      <c r="X690" s="90"/>
      <c r="Y690" s="90"/>
      <c r="Z690" s="90"/>
      <c r="AA690" s="90"/>
      <c r="AB690" s="90"/>
    </row>
    <row r="691" spans="1:28" ht="16">
      <c r="A691" s="100"/>
      <c r="B691" s="91"/>
      <c r="C691" s="97"/>
      <c r="D691" s="98"/>
      <c r="E691" s="99"/>
      <c r="F691" s="92"/>
      <c r="G691" s="93" t="b">
        <v>0</v>
      </c>
      <c r="H691" s="93"/>
      <c r="I691" s="90"/>
      <c r="J691" s="90"/>
      <c r="K691" s="90"/>
      <c r="L691" s="90"/>
      <c r="M691" s="90"/>
      <c r="N691" s="90"/>
      <c r="O691" s="90"/>
      <c r="P691" s="90"/>
      <c r="Q691" s="90"/>
      <c r="R691" s="90"/>
      <c r="S691" s="90"/>
      <c r="T691" s="90"/>
      <c r="U691" s="90"/>
      <c r="V691" s="90"/>
      <c r="W691" s="90"/>
      <c r="X691" s="90"/>
      <c r="Y691" s="90"/>
      <c r="Z691" s="90"/>
      <c r="AA691" s="90"/>
      <c r="AB691" s="90"/>
    </row>
    <row r="692" spans="1:28" ht="16">
      <c r="A692" s="100"/>
      <c r="B692" s="87"/>
      <c r="C692" s="94"/>
      <c r="D692" s="95"/>
      <c r="E692" s="96"/>
      <c r="F692" s="88"/>
      <c r="G692" s="89" t="b">
        <v>0</v>
      </c>
      <c r="H692" s="89"/>
      <c r="I692" s="90"/>
      <c r="J692" s="90"/>
      <c r="K692" s="90"/>
      <c r="L692" s="90"/>
      <c r="M692" s="90"/>
      <c r="N692" s="90"/>
      <c r="O692" s="90"/>
      <c r="P692" s="90"/>
      <c r="Q692" s="90"/>
      <c r="R692" s="90"/>
      <c r="S692" s="90"/>
      <c r="T692" s="90"/>
      <c r="U692" s="90"/>
      <c r="V692" s="90"/>
      <c r="W692" s="90"/>
      <c r="X692" s="90"/>
      <c r="Y692" s="90"/>
      <c r="Z692" s="90"/>
      <c r="AA692" s="90"/>
      <c r="AB692" s="90"/>
    </row>
    <row r="693" spans="1:28" ht="16">
      <c r="A693" s="100"/>
      <c r="B693" s="91"/>
      <c r="C693" s="97"/>
      <c r="D693" s="98"/>
      <c r="E693" s="99"/>
      <c r="F693" s="92"/>
      <c r="G693" s="93" t="b">
        <v>0</v>
      </c>
      <c r="H693" s="93"/>
      <c r="I693" s="90"/>
      <c r="J693" s="90"/>
      <c r="K693" s="90"/>
      <c r="L693" s="90"/>
      <c r="M693" s="90"/>
      <c r="N693" s="90"/>
      <c r="O693" s="90"/>
      <c r="P693" s="90"/>
      <c r="Q693" s="90"/>
      <c r="R693" s="90"/>
      <c r="S693" s="90"/>
      <c r="T693" s="90"/>
      <c r="U693" s="90"/>
      <c r="V693" s="90"/>
      <c r="W693" s="90"/>
      <c r="X693" s="90"/>
      <c r="Y693" s="90"/>
      <c r="Z693" s="90"/>
      <c r="AA693" s="90"/>
      <c r="AB693" s="90"/>
    </row>
    <row r="694" spans="1:28" ht="16">
      <c r="A694" s="100"/>
      <c r="B694" s="87"/>
      <c r="C694" s="94"/>
      <c r="D694" s="95"/>
      <c r="E694" s="96"/>
      <c r="F694" s="88"/>
      <c r="G694" s="89" t="b">
        <v>0</v>
      </c>
      <c r="H694" s="89"/>
      <c r="I694" s="90"/>
      <c r="J694" s="90"/>
      <c r="K694" s="90"/>
      <c r="L694" s="90"/>
      <c r="M694" s="90"/>
      <c r="N694" s="90"/>
      <c r="O694" s="90"/>
      <c r="P694" s="90"/>
      <c r="Q694" s="90"/>
      <c r="R694" s="90"/>
      <c r="S694" s="90"/>
      <c r="T694" s="90"/>
      <c r="U694" s="90"/>
      <c r="V694" s="90"/>
      <c r="W694" s="90"/>
      <c r="X694" s="90"/>
      <c r="Y694" s="90"/>
      <c r="Z694" s="90"/>
      <c r="AA694" s="90"/>
      <c r="AB694" s="90"/>
    </row>
    <row r="695" spans="1:28" ht="16">
      <c r="A695" s="100"/>
      <c r="B695" s="91"/>
      <c r="C695" s="97"/>
      <c r="D695" s="98"/>
      <c r="E695" s="99"/>
      <c r="F695" s="92"/>
      <c r="G695" s="93" t="b">
        <v>0</v>
      </c>
      <c r="H695" s="93"/>
      <c r="I695" s="90"/>
      <c r="J695" s="90"/>
      <c r="K695" s="90"/>
      <c r="L695" s="90"/>
      <c r="M695" s="90"/>
      <c r="N695" s="90"/>
      <c r="O695" s="90"/>
      <c r="P695" s="90"/>
      <c r="Q695" s="90"/>
      <c r="R695" s="90"/>
      <c r="S695" s="90"/>
      <c r="T695" s="90"/>
      <c r="U695" s="90"/>
      <c r="V695" s="90"/>
      <c r="W695" s="90"/>
      <c r="X695" s="90"/>
      <c r="Y695" s="90"/>
      <c r="Z695" s="90"/>
      <c r="AA695" s="90"/>
      <c r="AB695" s="90"/>
    </row>
    <row r="696" spans="1:28" ht="16">
      <c r="A696" s="100"/>
      <c r="B696" s="87"/>
      <c r="C696" s="94"/>
      <c r="D696" s="95"/>
      <c r="E696" s="96"/>
      <c r="F696" s="88"/>
      <c r="G696" s="89" t="b">
        <v>0</v>
      </c>
      <c r="H696" s="89"/>
      <c r="I696" s="90"/>
      <c r="J696" s="90"/>
      <c r="K696" s="90"/>
      <c r="L696" s="90"/>
      <c r="M696" s="90"/>
      <c r="N696" s="90"/>
      <c r="O696" s="90"/>
      <c r="P696" s="90"/>
      <c r="Q696" s="90"/>
      <c r="R696" s="90"/>
      <c r="S696" s="90"/>
      <c r="T696" s="90"/>
      <c r="U696" s="90"/>
      <c r="V696" s="90"/>
      <c r="W696" s="90"/>
      <c r="X696" s="90"/>
      <c r="Y696" s="90"/>
      <c r="Z696" s="90"/>
      <c r="AA696" s="90"/>
      <c r="AB696" s="90"/>
    </row>
    <row r="697" spans="1:28" ht="16">
      <c r="A697" s="100"/>
      <c r="B697" s="91"/>
      <c r="C697" s="97"/>
      <c r="D697" s="98"/>
      <c r="E697" s="99"/>
      <c r="F697" s="92"/>
      <c r="G697" s="93" t="b">
        <v>0</v>
      </c>
      <c r="H697" s="93"/>
      <c r="I697" s="90"/>
      <c r="J697" s="90"/>
      <c r="K697" s="90"/>
      <c r="L697" s="90"/>
      <c r="M697" s="90"/>
      <c r="N697" s="90"/>
      <c r="O697" s="90"/>
      <c r="P697" s="90"/>
      <c r="Q697" s="90"/>
      <c r="R697" s="90"/>
      <c r="S697" s="90"/>
      <c r="T697" s="90"/>
      <c r="U697" s="90"/>
      <c r="V697" s="90"/>
      <c r="W697" s="90"/>
      <c r="X697" s="90"/>
      <c r="Y697" s="90"/>
      <c r="Z697" s="90"/>
      <c r="AA697" s="90"/>
      <c r="AB697" s="90"/>
    </row>
    <row r="698" spans="1:28" ht="16">
      <c r="A698" s="100"/>
      <c r="B698" s="87"/>
      <c r="C698" s="94"/>
      <c r="D698" s="95"/>
      <c r="E698" s="96"/>
      <c r="F698" s="88"/>
      <c r="G698" s="89" t="b">
        <v>0</v>
      </c>
      <c r="H698" s="89"/>
      <c r="I698" s="90"/>
      <c r="J698" s="90"/>
      <c r="K698" s="90"/>
      <c r="L698" s="90"/>
      <c r="M698" s="90"/>
      <c r="N698" s="90"/>
      <c r="O698" s="90"/>
      <c r="P698" s="90"/>
      <c r="Q698" s="90"/>
      <c r="R698" s="90"/>
      <c r="S698" s="90"/>
      <c r="T698" s="90"/>
      <c r="U698" s="90"/>
      <c r="V698" s="90"/>
      <c r="W698" s="90"/>
      <c r="X698" s="90"/>
      <c r="Y698" s="90"/>
      <c r="Z698" s="90"/>
      <c r="AA698" s="90"/>
      <c r="AB698" s="90"/>
    </row>
    <row r="699" spans="1:28" ht="16">
      <c r="A699" s="100"/>
      <c r="B699" s="91"/>
      <c r="C699" s="97"/>
      <c r="D699" s="98"/>
      <c r="E699" s="99"/>
      <c r="F699" s="92"/>
      <c r="G699" s="93" t="b">
        <v>0</v>
      </c>
      <c r="H699" s="93"/>
      <c r="I699" s="90"/>
      <c r="J699" s="90"/>
      <c r="K699" s="90"/>
      <c r="L699" s="90"/>
      <c r="M699" s="90"/>
      <c r="N699" s="90"/>
      <c r="O699" s="90"/>
      <c r="P699" s="90"/>
      <c r="Q699" s="90"/>
      <c r="R699" s="90"/>
      <c r="S699" s="90"/>
      <c r="T699" s="90"/>
      <c r="U699" s="90"/>
      <c r="V699" s="90"/>
      <c r="W699" s="90"/>
      <c r="X699" s="90"/>
      <c r="Y699" s="90"/>
      <c r="Z699" s="90"/>
      <c r="AA699" s="90"/>
      <c r="AB699" s="90"/>
    </row>
    <row r="700" spans="1:28" ht="16">
      <c r="A700" s="100"/>
      <c r="B700" s="87"/>
      <c r="C700" s="94"/>
      <c r="D700" s="95"/>
      <c r="E700" s="96"/>
      <c r="F700" s="88"/>
      <c r="G700" s="89" t="b">
        <v>0</v>
      </c>
      <c r="H700" s="89"/>
      <c r="I700" s="90"/>
      <c r="J700" s="90"/>
      <c r="K700" s="90"/>
      <c r="L700" s="90"/>
      <c r="M700" s="90"/>
      <c r="N700" s="90"/>
      <c r="O700" s="90"/>
      <c r="P700" s="90"/>
      <c r="Q700" s="90"/>
      <c r="R700" s="90"/>
      <c r="S700" s="90"/>
      <c r="T700" s="90"/>
      <c r="U700" s="90"/>
      <c r="V700" s="90"/>
      <c r="W700" s="90"/>
      <c r="X700" s="90"/>
      <c r="Y700" s="90"/>
      <c r="Z700" s="90"/>
      <c r="AA700" s="90"/>
      <c r="AB700" s="90"/>
    </row>
    <row r="701" spans="1:28" ht="16">
      <c r="A701" s="100"/>
      <c r="B701" s="91"/>
      <c r="C701" s="97"/>
      <c r="D701" s="98"/>
      <c r="E701" s="99"/>
      <c r="F701" s="92"/>
      <c r="G701" s="93" t="b">
        <v>0</v>
      </c>
      <c r="H701" s="93"/>
      <c r="I701" s="90"/>
      <c r="J701" s="90"/>
      <c r="K701" s="90"/>
      <c r="L701" s="90"/>
      <c r="M701" s="90"/>
      <c r="N701" s="90"/>
      <c r="O701" s="90"/>
      <c r="P701" s="90"/>
      <c r="Q701" s="90"/>
      <c r="R701" s="90"/>
      <c r="S701" s="90"/>
      <c r="T701" s="90"/>
      <c r="U701" s="90"/>
      <c r="V701" s="90"/>
      <c r="W701" s="90"/>
      <c r="X701" s="90"/>
      <c r="Y701" s="90"/>
      <c r="Z701" s="90"/>
      <c r="AA701" s="90"/>
      <c r="AB701" s="90"/>
    </row>
    <row r="702" spans="1:28" ht="16">
      <c r="A702" s="100"/>
      <c r="B702" s="87"/>
      <c r="C702" s="94"/>
      <c r="D702" s="95"/>
      <c r="E702" s="96"/>
      <c r="F702" s="88"/>
      <c r="G702" s="89" t="b">
        <v>0</v>
      </c>
      <c r="H702" s="89"/>
      <c r="I702" s="90"/>
      <c r="J702" s="90"/>
      <c r="K702" s="90"/>
      <c r="L702" s="90"/>
      <c r="M702" s="90"/>
      <c r="N702" s="90"/>
      <c r="O702" s="90"/>
      <c r="P702" s="90"/>
      <c r="Q702" s="90"/>
      <c r="R702" s="90"/>
      <c r="S702" s="90"/>
      <c r="T702" s="90"/>
      <c r="U702" s="90"/>
      <c r="V702" s="90"/>
      <c r="W702" s="90"/>
      <c r="X702" s="90"/>
      <c r="Y702" s="90"/>
      <c r="Z702" s="90"/>
      <c r="AA702" s="90"/>
      <c r="AB702" s="90"/>
    </row>
    <row r="703" spans="1:28" ht="16">
      <c r="A703" s="100"/>
      <c r="B703" s="91"/>
      <c r="C703" s="97"/>
      <c r="D703" s="98"/>
      <c r="E703" s="99"/>
      <c r="F703" s="92"/>
      <c r="G703" s="93" t="b">
        <v>0</v>
      </c>
      <c r="H703" s="93"/>
      <c r="I703" s="90"/>
      <c r="J703" s="90"/>
      <c r="K703" s="90"/>
      <c r="L703" s="90"/>
      <c r="M703" s="90"/>
      <c r="N703" s="90"/>
      <c r="O703" s="90"/>
      <c r="P703" s="90"/>
      <c r="Q703" s="90"/>
      <c r="R703" s="90"/>
      <c r="S703" s="90"/>
      <c r="T703" s="90"/>
      <c r="U703" s="90"/>
      <c r="V703" s="90"/>
      <c r="W703" s="90"/>
      <c r="X703" s="90"/>
      <c r="Y703" s="90"/>
      <c r="Z703" s="90"/>
      <c r="AA703" s="90"/>
      <c r="AB703" s="90"/>
    </row>
    <row r="704" spans="1:28" ht="16">
      <c r="A704" s="100"/>
      <c r="B704" s="87"/>
      <c r="C704" s="94"/>
      <c r="D704" s="95"/>
      <c r="E704" s="96"/>
      <c r="F704" s="88"/>
      <c r="G704" s="89" t="b">
        <v>0</v>
      </c>
      <c r="H704" s="89"/>
      <c r="I704" s="90"/>
      <c r="J704" s="90"/>
      <c r="K704" s="90"/>
      <c r="L704" s="90"/>
      <c r="M704" s="90"/>
      <c r="N704" s="90"/>
      <c r="O704" s="90"/>
      <c r="P704" s="90"/>
      <c r="Q704" s="90"/>
      <c r="R704" s="90"/>
      <c r="S704" s="90"/>
      <c r="T704" s="90"/>
      <c r="U704" s="90"/>
      <c r="V704" s="90"/>
      <c r="W704" s="90"/>
      <c r="X704" s="90"/>
      <c r="Y704" s="90"/>
      <c r="Z704" s="90"/>
      <c r="AA704" s="90"/>
      <c r="AB704" s="90"/>
    </row>
    <row r="705" spans="1:28" ht="16">
      <c r="A705" s="100"/>
      <c r="B705" s="91"/>
      <c r="C705" s="97"/>
      <c r="D705" s="98"/>
      <c r="E705" s="99"/>
      <c r="F705" s="92"/>
      <c r="G705" s="93" t="b">
        <v>0</v>
      </c>
      <c r="H705" s="93"/>
      <c r="I705" s="90"/>
      <c r="J705" s="90"/>
      <c r="K705" s="90"/>
      <c r="L705" s="90"/>
      <c r="M705" s="90"/>
      <c r="N705" s="90"/>
      <c r="O705" s="90"/>
      <c r="P705" s="90"/>
      <c r="Q705" s="90"/>
      <c r="R705" s="90"/>
      <c r="S705" s="90"/>
      <c r="T705" s="90"/>
      <c r="U705" s="90"/>
      <c r="V705" s="90"/>
      <c r="W705" s="90"/>
      <c r="X705" s="90"/>
      <c r="Y705" s="90"/>
      <c r="Z705" s="90"/>
      <c r="AA705" s="90"/>
      <c r="AB705" s="90"/>
    </row>
    <row r="706" spans="1:28" ht="16">
      <c r="A706" s="100"/>
      <c r="B706" s="87"/>
      <c r="C706" s="94"/>
      <c r="D706" s="95"/>
      <c r="E706" s="96"/>
      <c r="F706" s="88"/>
      <c r="G706" s="89" t="b">
        <v>0</v>
      </c>
      <c r="H706" s="89"/>
      <c r="I706" s="90"/>
      <c r="J706" s="90"/>
      <c r="K706" s="90"/>
      <c r="L706" s="90"/>
      <c r="M706" s="90"/>
      <c r="N706" s="90"/>
      <c r="O706" s="90"/>
      <c r="P706" s="90"/>
      <c r="Q706" s="90"/>
      <c r="R706" s="90"/>
      <c r="S706" s="90"/>
      <c r="T706" s="90"/>
      <c r="U706" s="90"/>
      <c r="V706" s="90"/>
      <c r="W706" s="90"/>
      <c r="X706" s="90"/>
      <c r="Y706" s="90"/>
      <c r="Z706" s="90"/>
      <c r="AA706" s="90"/>
      <c r="AB706" s="90"/>
    </row>
    <row r="707" spans="1:28" ht="16">
      <c r="A707" s="100"/>
      <c r="B707" s="91"/>
      <c r="C707" s="97"/>
      <c r="D707" s="98"/>
      <c r="E707" s="99"/>
      <c r="F707" s="92"/>
      <c r="G707" s="93" t="b">
        <v>0</v>
      </c>
      <c r="H707" s="93"/>
      <c r="I707" s="90"/>
      <c r="J707" s="90"/>
      <c r="K707" s="90"/>
      <c r="L707" s="90"/>
      <c r="M707" s="90"/>
      <c r="N707" s="90"/>
      <c r="O707" s="90"/>
      <c r="P707" s="90"/>
      <c r="Q707" s="90"/>
      <c r="R707" s="90"/>
      <c r="S707" s="90"/>
      <c r="T707" s="90"/>
      <c r="U707" s="90"/>
      <c r="V707" s="90"/>
      <c r="W707" s="90"/>
      <c r="X707" s="90"/>
      <c r="Y707" s="90"/>
      <c r="Z707" s="90"/>
      <c r="AA707" s="90"/>
      <c r="AB707" s="90"/>
    </row>
    <row r="708" spans="1:28" ht="16">
      <c r="A708" s="100"/>
      <c r="B708" s="87"/>
      <c r="C708" s="94"/>
      <c r="D708" s="95"/>
      <c r="E708" s="96"/>
      <c r="F708" s="88"/>
      <c r="G708" s="89" t="b">
        <v>0</v>
      </c>
      <c r="H708" s="89"/>
      <c r="I708" s="90"/>
      <c r="J708" s="90"/>
      <c r="K708" s="90"/>
      <c r="L708" s="90"/>
      <c r="M708" s="90"/>
      <c r="N708" s="90"/>
      <c r="O708" s="90"/>
      <c r="P708" s="90"/>
      <c r="Q708" s="90"/>
      <c r="R708" s="90"/>
      <c r="S708" s="90"/>
      <c r="T708" s="90"/>
      <c r="U708" s="90"/>
      <c r="V708" s="90"/>
      <c r="W708" s="90"/>
      <c r="X708" s="90"/>
      <c r="Y708" s="90"/>
      <c r="Z708" s="90"/>
      <c r="AA708" s="90"/>
      <c r="AB708" s="90"/>
    </row>
    <row r="709" spans="1:28" ht="16">
      <c r="A709" s="100"/>
      <c r="B709" s="91"/>
      <c r="C709" s="97"/>
      <c r="D709" s="98"/>
      <c r="E709" s="99"/>
      <c r="F709" s="92"/>
      <c r="G709" s="93" t="b">
        <v>0</v>
      </c>
      <c r="H709" s="93"/>
      <c r="I709" s="90"/>
      <c r="J709" s="90"/>
      <c r="K709" s="90"/>
      <c r="L709" s="90"/>
      <c r="M709" s="90"/>
      <c r="N709" s="90"/>
      <c r="O709" s="90"/>
      <c r="P709" s="90"/>
      <c r="Q709" s="90"/>
      <c r="R709" s="90"/>
      <c r="S709" s="90"/>
      <c r="T709" s="90"/>
      <c r="U709" s="90"/>
      <c r="V709" s="90"/>
      <c r="W709" s="90"/>
      <c r="X709" s="90"/>
      <c r="Y709" s="90"/>
      <c r="Z709" s="90"/>
      <c r="AA709" s="90"/>
      <c r="AB709" s="90"/>
    </row>
    <row r="710" spans="1:28" ht="16">
      <c r="A710" s="100"/>
      <c r="B710" s="87"/>
      <c r="C710" s="94"/>
      <c r="D710" s="95"/>
      <c r="E710" s="96"/>
      <c r="F710" s="88"/>
      <c r="G710" s="89" t="b">
        <v>0</v>
      </c>
      <c r="H710" s="89"/>
      <c r="I710" s="90"/>
      <c r="J710" s="90"/>
      <c r="K710" s="90"/>
      <c r="L710" s="90"/>
      <c r="M710" s="90"/>
      <c r="N710" s="90"/>
      <c r="O710" s="90"/>
      <c r="P710" s="90"/>
      <c r="Q710" s="90"/>
      <c r="R710" s="90"/>
      <c r="S710" s="90"/>
      <c r="T710" s="90"/>
      <c r="U710" s="90"/>
      <c r="V710" s="90"/>
      <c r="W710" s="90"/>
      <c r="X710" s="90"/>
      <c r="Y710" s="90"/>
      <c r="Z710" s="90"/>
      <c r="AA710" s="90"/>
      <c r="AB710" s="90"/>
    </row>
    <row r="711" spans="1:28" ht="16">
      <c r="A711" s="100"/>
      <c r="B711" s="91"/>
      <c r="C711" s="97"/>
      <c r="D711" s="98"/>
      <c r="E711" s="99"/>
      <c r="F711" s="92"/>
      <c r="G711" s="93" t="b">
        <v>0</v>
      </c>
      <c r="H711" s="93"/>
      <c r="I711" s="90"/>
      <c r="J711" s="90"/>
      <c r="K711" s="90"/>
      <c r="L711" s="90"/>
      <c r="M711" s="90"/>
      <c r="N711" s="90"/>
      <c r="O711" s="90"/>
      <c r="P711" s="90"/>
      <c r="Q711" s="90"/>
      <c r="R711" s="90"/>
      <c r="S711" s="90"/>
      <c r="T711" s="90"/>
      <c r="U711" s="90"/>
      <c r="V711" s="90"/>
      <c r="W711" s="90"/>
      <c r="X711" s="90"/>
      <c r="Y711" s="90"/>
      <c r="Z711" s="90"/>
      <c r="AA711" s="90"/>
      <c r="AB711" s="90"/>
    </row>
    <row r="712" spans="1:28" ht="16">
      <c r="A712" s="100"/>
      <c r="B712" s="87"/>
      <c r="C712" s="94"/>
      <c r="D712" s="95"/>
      <c r="E712" s="96"/>
      <c r="F712" s="88"/>
      <c r="G712" s="89" t="b">
        <v>0</v>
      </c>
      <c r="H712" s="89"/>
      <c r="I712" s="90"/>
      <c r="J712" s="90"/>
      <c r="K712" s="90"/>
      <c r="L712" s="90"/>
      <c r="M712" s="90"/>
      <c r="N712" s="90"/>
      <c r="O712" s="90"/>
      <c r="P712" s="90"/>
      <c r="Q712" s="90"/>
      <c r="R712" s="90"/>
      <c r="S712" s="90"/>
      <c r="T712" s="90"/>
      <c r="U712" s="90"/>
      <c r="V712" s="90"/>
      <c r="W712" s="90"/>
      <c r="X712" s="90"/>
      <c r="Y712" s="90"/>
      <c r="Z712" s="90"/>
      <c r="AA712" s="90"/>
      <c r="AB712" s="90"/>
    </row>
    <row r="713" spans="1:28" ht="16">
      <c r="A713" s="100"/>
      <c r="B713" s="91"/>
      <c r="C713" s="97"/>
      <c r="D713" s="98"/>
      <c r="E713" s="99"/>
      <c r="F713" s="92"/>
      <c r="G713" s="93" t="b">
        <v>0</v>
      </c>
      <c r="H713" s="93"/>
      <c r="I713" s="90"/>
      <c r="J713" s="90"/>
      <c r="K713" s="90"/>
      <c r="L713" s="90"/>
      <c r="M713" s="90"/>
      <c r="N713" s="90"/>
      <c r="O713" s="90"/>
      <c r="P713" s="90"/>
      <c r="Q713" s="90"/>
      <c r="R713" s="90"/>
      <c r="S713" s="90"/>
      <c r="T713" s="90"/>
      <c r="U713" s="90"/>
      <c r="V713" s="90"/>
      <c r="W713" s="90"/>
      <c r="X713" s="90"/>
      <c r="Y713" s="90"/>
      <c r="Z713" s="90"/>
      <c r="AA713" s="90"/>
      <c r="AB713" s="90"/>
    </row>
    <row r="714" spans="1:28" ht="16">
      <c r="A714" s="100"/>
      <c r="B714" s="87"/>
      <c r="C714" s="94"/>
      <c r="D714" s="95"/>
      <c r="E714" s="96"/>
      <c r="F714" s="88"/>
      <c r="G714" s="89" t="b">
        <v>0</v>
      </c>
      <c r="H714" s="89"/>
      <c r="I714" s="90"/>
      <c r="J714" s="90"/>
      <c r="K714" s="90"/>
      <c r="L714" s="90"/>
      <c r="M714" s="90"/>
      <c r="N714" s="90"/>
      <c r="O714" s="90"/>
      <c r="P714" s="90"/>
      <c r="Q714" s="90"/>
      <c r="R714" s="90"/>
      <c r="S714" s="90"/>
      <c r="T714" s="90"/>
      <c r="U714" s="90"/>
      <c r="V714" s="90"/>
      <c r="W714" s="90"/>
      <c r="X714" s="90"/>
      <c r="Y714" s="90"/>
      <c r="Z714" s="90"/>
      <c r="AA714" s="90"/>
      <c r="AB714" s="90"/>
    </row>
    <row r="715" spans="1:28" ht="16">
      <c r="A715" s="100"/>
      <c r="B715" s="91"/>
      <c r="C715" s="97"/>
      <c r="D715" s="98"/>
      <c r="E715" s="99"/>
      <c r="F715" s="92"/>
      <c r="G715" s="93" t="b">
        <v>0</v>
      </c>
      <c r="H715" s="93"/>
      <c r="I715" s="90"/>
      <c r="J715" s="90"/>
      <c r="K715" s="90"/>
      <c r="L715" s="90"/>
      <c r="M715" s="90"/>
      <c r="N715" s="90"/>
      <c r="O715" s="90"/>
      <c r="P715" s="90"/>
      <c r="Q715" s="90"/>
      <c r="R715" s="90"/>
      <c r="S715" s="90"/>
      <c r="T715" s="90"/>
      <c r="U715" s="90"/>
      <c r="V715" s="90"/>
      <c r="W715" s="90"/>
      <c r="X715" s="90"/>
      <c r="Y715" s="90"/>
      <c r="Z715" s="90"/>
      <c r="AA715" s="90"/>
      <c r="AB715" s="90"/>
    </row>
    <row r="716" spans="1:28" ht="16">
      <c r="A716" s="100"/>
      <c r="B716" s="87"/>
      <c r="C716" s="94"/>
      <c r="D716" s="95"/>
      <c r="E716" s="96"/>
      <c r="F716" s="88"/>
      <c r="G716" s="89" t="b">
        <v>0</v>
      </c>
      <c r="H716" s="89"/>
      <c r="I716" s="90"/>
      <c r="J716" s="90"/>
      <c r="K716" s="90"/>
      <c r="L716" s="90"/>
      <c r="M716" s="90"/>
      <c r="N716" s="90"/>
      <c r="O716" s="90"/>
      <c r="P716" s="90"/>
      <c r="Q716" s="90"/>
      <c r="R716" s="90"/>
      <c r="S716" s="90"/>
      <c r="T716" s="90"/>
      <c r="U716" s="90"/>
      <c r="V716" s="90"/>
      <c r="W716" s="90"/>
      <c r="X716" s="90"/>
      <c r="Y716" s="90"/>
      <c r="Z716" s="90"/>
      <c r="AA716" s="90"/>
      <c r="AB716" s="90"/>
    </row>
    <row r="717" spans="1:28" ht="16">
      <c r="A717" s="100"/>
      <c r="B717" s="91"/>
      <c r="C717" s="97"/>
      <c r="D717" s="98"/>
      <c r="E717" s="99"/>
      <c r="F717" s="92"/>
      <c r="G717" s="93" t="b">
        <v>0</v>
      </c>
      <c r="H717" s="93"/>
      <c r="I717" s="90"/>
      <c r="J717" s="90"/>
      <c r="K717" s="90"/>
      <c r="L717" s="90"/>
      <c r="M717" s="90"/>
      <c r="N717" s="90"/>
      <c r="O717" s="90"/>
      <c r="P717" s="90"/>
      <c r="Q717" s="90"/>
      <c r="R717" s="90"/>
      <c r="S717" s="90"/>
      <c r="T717" s="90"/>
      <c r="U717" s="90"/>
      <c r="V717" s="90"/>
      <c r="W717" s="90"/>
      <c r="X717" s="90"/>
      <c r="Y717" s="90"/>
      <c r="Z717" s="90"/>
      <c r="AA717" s="90"/>
      <c r="AB717" s="90"/>
    </row>
    <row r="718" spans="1:28" ht="16">
      <c r="A718" s="100"/>
      <c r="B718" s="87"/>
      <c r="C718" s="94"/>
      <c r="D718" s="95"/>
      <c r="E718" s="96"/>
      <c r="F718" s="88"/>
      <c r="G718" s="89" t="b">
        <v>0</v>
      </c>
      <c r="H718" s="89"/>
      <c r="I718" s="90"/>
      <c r="J718" s="90"/>
      <c r="K718" s="90"/>
      <c r="L718" s="90"/>
      <c r="M718" s="90"/>
      <c r="N718" s="90"/>
      <c r="O718" s="90"/>
      <c r="P718" s="90"/>
      <c r="Q718" s="90"/>
      <c r="R718" s="90"/>
      <c r="S718" s="90"/>
      <c r="T718" s="90"/>
      <c r="U718" s="90"/>
      <c r="V718" s="90"/>
      <c r="W718" s="90"/>
      <c r="X718" s="90"/>
      <c r="Y718" s="90"/>
      <c r="Z718" s="90"/>
      <c r="AA718" s="90"/>
      <c r="AB718" s="90"/>
    </row>
    <row r="719" spans="1:28" ht="16">
      <c r="A719" s="100"/>
      <c r="B719" s="91"/>
      <c r="C719" s="97"/>
      <c r="D719" s="98"/>
      <c r="E719" s="99"/>
      <c r="F719" s="92"/>
      <c r="G719" s="93" t="b">
        <v>0</v>
      </c>
      <c r="H719" s="93"/>
      <c r="I719" s="90"/>
      <c r="J719" s="90"/>
      <c r="K719" s="90"/>
      <c r="L719" s="90"/>
      <c r="M719" s="90"/>
      <c r="N719" s="90"/>
      <c r="O719" s="90"/>
      <c r="P719" s="90"/>
      <c r="Q719" s="90"/>
      <c r="R719" s="90"/>
      <c r="S719" s="90"/>
      <c r="T719" s="90"/>
      <c r="U719" s="90"/>
      <c r="V719" s="90"/>
      <c r="W719" s="90"/>
      <c r="X719" s="90"/>
      <c r="Y719" s="90"/>
      <c r="Z719" s="90"/>
      <c r="AA719" s="90"/>
      <c r="AB719" s="90"/>
    </row>
    <row r="720" spans="1:28" ht="16">
      <c r="A720" s="100"/>
      <c r="B720" s="87"/>
      <c r="C720" s="94"/>
      <c r="D720" s="95"/>
      <c r="E720" s="96"/>
      <c r="F720" s="88"/>
      <c r="G720" s="89" t="b">
        <v>0</v>
      </c>
      <c r="H720" s="89"/>
      <c r="I720" s="90"/>
      <c r="J720" s="90"/>
      <c r="K720" s="90"/>
      <c r="L720" s="90"/>
      <c r="M720" s="90"/>
      <c r="N720" s="90"/>
      <c r="O720" s="90"/>
      <c r="P720" s="90"/>
      <c r="Q720" s="90"/>
      <c r="R720" s="90"/>
      <c r="S720" s="90"/>
      <c r="T720" s="90"/>
      <c r="U720" s="90"/>
      <c r="V720" s="90"/>
      <c r="W720" s="90"/>
      <c r="X720" s="90"/>
      <c r="Y720" s="90"/>
      <c r="Z720" s="90"/>
      <c r="AA720" s="90"/>
      <c r="AB720" s="90"/>
    </row>
    <row r="721" spans="1:28" ht="16">
      <c r="A721" s="100"/>
      <c r="B721" s="91"/>
      <c r="C721" s="97"/>
      <c r="D721" s="98"/>
      <c r="E721" s="99"/>
      <c r="F721" s="92"/>
      <c r="G721" s="93" t="b">
        <v>0</v>
      </c>
      <c r="H721" s="93"/>
      <c r="I721" s="90"/>
      <c r="J721" s="90"/>
      <c r="K721" s="90"/>
      <c r="L721" s="90"/>
      <c r="M721" s="90"/>
      <c r="N721" s="90"/>
      <c r="O721" s="90"/>
      <c r="P721" s="90"/>
      <c r="Q721" s="90"/>
      <c r="R721" s="90"/>
      <c r="S721" s="90"/>
      <c r="T721" s="90"/>
      <c r="U721" s="90"/>
      <c r="V721" s="90"/>
      <c r="W721" s="90"/>
      <c r="X721" s="90"/>
      <c r="Y721" s="90"/>
      <c r="Z721" s="90"/>
      <c r="AA721" s="90"/>
      <c r="AB721" s="90"/>
    </row>
    <row r="722" spans="1:28" ht="16">
      <c r="A722" s="100"/>
      <c r="B722" s="87"/>
      <c r="C722" s="94"/>
      <c r="D722" s="95"/>
      <c r="E722" s="96"/>
      <c r="F722" s="88"/>
      <c r="G722" s="89" t="b">
        <v>0</v>
      </c>
      <c r="H722" s="89"/>
      <c r="I722" s="90"/>
      <c r="J722" s="90"/>
      <c r="K722" s="90"/>
      <c r="L722" s="90"/>
      <c r="M722" s="90"/>
      <c r="N722" s="90"/>
      <c r="O722" s="90"/>
      <c r="P722" s="90"/>
      <c r="Q722" s="90"/>
      <c r="R722" s="90"/>
      <c r="S722" s="90"/>
      <c r="T722" s="90"/>
      <c r="U722" s="90"/>
      <c r="V722" s="90"/>
      <c r="W722" s="90"/>
      <c r="X722" s="90"/>
      <c r="Y722" s="90"/>
      <c r="Z722" s="90"/>
      <c r="AA722" s="90"/>
      <c r="AB722" s="90"/>
    </row>
    <row r="723" spans="1:28" ht="16">
      <c r="A723" s="100"/>
      <c r="B723" s="91"/>
      <c r="C723" s="97"/>
      <c r="D723" s="98"/>
      <c r="E723" s="99"/>
      <c r="F723" s="92"/>
      <c r="G723" s="93" t="b">
        <v>0</v>
      </c>
      <c r="H723" s="93"/>
      <c r="I723" s="90"/>
      <c r="J723" s="90"/>
      <c r="K723" s="90"/>
      <c r="L723" s="90"/>
      <c r="M723" s="90"/>
      <c r="N723" s="90"/>
      <c r="O723" s="90"/>
      <c r="P723" s="90"/>
      <c r="Q723" s="90"/>
      <c r="R723" s="90"/>
      <c r="S723" s="90"/>
      <c r="T723" s="90"/>
      <c r="U723" s="90"/>
      <c r="V723" s="90"/>
      <c r="W723" s="90"/>
      <c r="X723" s="90"/>
      <c r="Y723" s="90"/>
      <c r="Z723" s="90"/>
      <c r="AA723" s="90"/>
      <c r="AB723" s="90"/>
    </row>
    <row r="724" spans="1:28" ht="16">
      <c r="A724" s="100"/>
      <c r="B724" s="87"/>
      <c r="C724" s="94"/>
      <c r="D724" s="95"/>
      <c r="E724" s="96"/>
      <c r="F724" s="88"/>
      <c r="G724" s="89" t="b">
        <v>0</v>
      </c>
      <c r="H724" s="89"/>
      <c r="I724" s="90"/>
      <c r="J724" s="90"/>
      <c r="K724" s="90"/>
      <c r="L724" s="90"/>
      <c r="M724" s="90"/>
      <c r="N724" s="90"/>
      <c r="O724" s="90"/>
      <c r="P724" s="90"/>
      <c r="Q724" s="90"/>
      <c r="R724" s="90"/>
      <c r="S724" s="90"/>
      <c r="T724" s="90"/>
      <c r="U724" s="90"/>
      <c r="V724" s="90"/>
      <c r="W724" s="90"/>
      <c r="X724" s="90"/>
      <c r="Y724" s="90"/>
      <c r="Z724" s="90"/>
      <c r="AA724" s="90"/>
      <c r="AB724" s="90"/>
    </row>
    <row r="725" spans="1:28" ht="16">
      <c r="A725" s="100"/>
      <c r="B725" s="91"/>
      <c r="C725" s="97"/>
      <c r="D725" s="98"/>
      <c r="E725" s="99"/>
      <c r="F725" s="92"/>
      <c r="G725" s="93" t="b">
        <v>0</v>
      </c>
      <c r="H725" s="93"/>
      <c r="I725" s="90"/>
      <c r="J725" s="90"/>
      <c r="K725" s="90"/>
      <c r="L725" s="90"/>
      <c r="M725" s="90"/>
      <c r="N725" s="90"/>
      <c r="O725" s="90"/>
      <c r="P725" s="90"/>
      <c r="Q725" s="90"/>
      <c r="R725" s="90"/>
      <c r="S725" s="90"/>
      <c r="T725" s="90"/>
      <c r="U725" s="90"/>
      <c r="V725" s="90"/>
      <c r="W725" s="90"/>
      <c r="X725" s="90"/>
      <c r="Y725" s="90"/>
      <c r="Z725" s="90"/>
      <c r="AA725" s="90"/>
      <c r="AB725" s="90"/>
    </row>
    <row r="726" spans="1:28" ht="16">
      <c r="A726" s="100"/>
      <c r="B726" s="87"/>
      <c r="C726" s="94"/>
      <c r="D726" s="95"/>
      <c r="E726" s="96"/>
      <c r="F726" s="88"/>
      <c r="G726" s="89" t="b">
        <v>0</v>
      </c>
      <c r="H726" s="89"/>
      <c r="I726" s="90"/>
      <c r="J726" s="90"/>
      <c r="K726" s="90"/>
      <c r="L726" s="90"/>
      <c r="M726" s="90"/>
      <c r="N726" s="90"/>
      <c r="O726" s="90"/>
      <c r="P726" s="90"/>
      <c r="Q726" s="90"/>
      <c r="R726" s="90"/>
      <c r="S726" s="90"/>
      <c r="T726" s="90"/>
      <c r="U726" s="90"/>
      <c r="V726" s="90"/>
      <c r="W726" s="90"/>
      <c r="X726" s="90"/>
      <c r="Y726" s="90"/>
      <c r="Z726" s="90"/>
      <c r="AA726" s="90"/>
      <c r="AB726" s="90"/>
    </row>
    <row r="727" spans="1:28" ht="16">
      <c r="A727" s="100"/>
      <c r="B727" s="91"/>
      <c r="C727" s="97"/>
      <c r="D727" s="98"/>
      <c r="E727" s="99"/>
      <c r="F727" s="92"/>
      <c r="G727" s="93" t="b">
        <v>0</v>
      </c>
      <c r="H727" s="93"/>
      <c r="I727" s="90"/>
      <c r="J727" s="90"/>
      <c r="K727" s="90"/>
      <c r="L727" s="90"/>
      <c r="M727" s="90"/>
      <c r="N727" s="90"/>
      <c r="O727" s="90"/>
      <c r="P727" s="90"/>
      <c r="Q727" s="90"/>
      <c r="R727" s="90"/>
      <c r="S727" s="90"/>
      <c r="T727" s="90"/>
      <c r="U727" s="90"/>
      <c r="V727" s="90"/>
      <c r="W727" s="90"/>
      <c r="X727" s="90"/>
      <c r="Y727" s="90"/>
      <c r="Z727" s="90"/>
      <c r="AA727" s="90"/>
      <c r="AB727" s="90"/>
    </row>
    <row r="728" spans="1:28" ht="16">
      <c r="A728" s="100"/>
      <c r="B728" s="87"/>
      <c r="C728" s="94"/>
      <c r="D728" s="95"/>
      <c r="E728" s="96"/>
      <c r="F728" s="88"/>
      <c r="G728" s="89" t="b">
        <v>0</v>
      </c>
      <c r="H728" s="89"/>
      <c r="I728" s="90"/>
      <c r="J728" s="90"/>
      <c r="K728" s="90"/>
      <c r="L728" s="90"/>
      <c r="M728" s="90"/>
      <c r="N728" s="90"/>
      <c r="O728" s="90"/>
      <c r="P728" s="90"/>
      <c r="Q728" s="90"/>
      <c r="R728" s="90"/>
      <c r="S728" s="90"/>
      <c r="T728" s="90"/>
      <c r="U728" s="90"/>
      <c r="V728" s="90"/>
      <c r="W728" s="90"/>
      <c r="X728" s="90"/>
      <c r="Y728" s="90"/>
      <c r="Z728" s="90"/>
      <c r="AA728" s="90"/>
      <c r="AB728" s="90"/>
    </row>
    <row r="729" spans="1:28" ht="16">
      <c r="A729" s="100"/>
      <c r="B729" s="91"/>
      <c r="C729" s="97"/>
      <c r="D729" s="98"/>
      <c r="E729" s="99"/>
      <c r="F729" s="92"/>
      <c r="G729" s="93" t="b">
        <v>0</v>
      </c>
      <c r="H729" s="93"/>
      <c r="I729" s="90"/>
      <c r="J729" s="90"/>
      <c r="K729" s="90"/>
      <c r="L729" s="90"/>
      <c r="M729" s="90"/>
      <c r="N729" s="90"/>
      <c r="O729" s="90"/>
      <c r="P729" s="90"/>
      <c r="Q729" s="90"/>
      <c r="R729" s="90"/>
      <c r="S729" s="90"/>
      <c r="T729" s="90"/>
      <c r="U729" s="90"/>
      <c r="V729" s="90"/>
      <c r="W729" s="90"/>
      <c r="X729" s="90"/>
      <c r="Y729" s="90"/>
      <c r="Z729" s="90"/>
      <c r="AA729" s="90"/>
      <c r="AB729" s="90"/>
    </row>
    <row r="730" spans="1:28" ht="16">
      <c r="A730" s="100"/>
      <c r="B730" s="87"/>
      <c r="C730" s="94"/>
      <c r="D730" s="95"/>
      <c r="E730" s="96"/>
      <c r="F730" s="88"/>
      <c r="G730" s="89" t="b">
        <v>0</v>
      </c>
      <c r="H730" s="89"/>
      <c r="I730" s="90"/>
      <c r="J730" s="90"/>
      <c r="K730" s="90"/>
      <c r="L730" s="90"/>
      <c r="M730" s="90"/>
      <c r="N730" s="90"/>
      <c r="O730" s="90"/>
      <c r="P730" s="90"/>
      <c r="Q730" s="90"/>
      <c r="R730" s="90"/>
      <c r="S730" s="90"/>
      <c r="T730" s="90"/>
      <c r="U730" s="90"/>
      <c r="V730" s="90"/>
      <c r="W730" s="90"/>
      <c r="X730" s="90"/>
      <c r="Y730" s="90"/>
      <c r="Z730" s="90"/>
      <c r="AA730" s="90"/>
      <c r="AB730" s="90"/>
    </row>
    <row r="731" spans="1:28" ht="16">
      <c r="A731" s="100"/>
      <c r="B731" s="91"/>
      <c r="C731" s="97"/>
      <c r="D731" s="98"/>
      <c r="E731" s="99"/>
      <c r="F731" s="92"/>
      <c r="G731" s="93" t="b">
        <v>0</v>
      </c>
      <c r="H731" s="93"/>
      <c r="I731" s="90"/>
      <c r="J731" s="90"/>
      <c r="K731" s="90"/>
      <c r="L731" s="90"/>
      <c r="M731" s="90"/>
      <c r="N731" s="90"/>
      <c r="O731" s="90"/>
      <c r="P731" s="90"/>
      <c r="Q731" s="90"/>
      <c r="R731" s="90"/>
      <c r="S731" s="90"/>
      <c r="T731" s="90"/>
      <c r="U731" s="90"/>
      <c r="V731" s="90"/>
      <c r="W731" s="90"/>
      <c r="X731" s="90"/>
      <c r="Y731" s="90"/>
      <c r="Z731" s="90"/>
      <c r="AA731" s="90"/>
      <c r="AB731" s="90"/>
    </row>
    <row r="732" spans="1:28" ht="16">
      <c r="A732" s="100"/>
      <c r="B732" s="87"/>
      <c r="C732" s="94"/>
      <c r="D732" s="95"/>
      <c r="E732" s="96"/>
      <c r="F732" s="88"/>
      <c r="G732" s="89" t="b">
        <v>0</v>
      </c>
      <c r="H732" s="89"/>
      <c r="I732" s="90"/>
      <c r="J732" s="90"/>
      <c r="K732" s="90"/>
      <c r="L732" s="90"/>
      <c r="M732" s="90"/>
      <c r="N732" s="90"/>
      <c r="O732" s="90"/>
      <c r="P732" s="90"/>
      <c r="Q732" s="90"/>
      <c r="R732" s="90"/>
      <c r="S732" s="90"/>
      <c r="T732" s="90"/>
      <c r="U732" s="90"/>
      <c r="V732" s="90"/>
      <c r="W732" s="90"/>
      <c r="X732" s="90"/>
      <c r="Y732" s="90"/>
      <c r="Z732" s="90"/>
      <c r="AA732" s="90"/>
      <c r="AB732" s="90"/>
    </row>
    <row r="733" spans="1:28" ht="16">
      <c r="A733" s="100"/>
      <c r="B733" s="91"/>
      <c r="C733" s="97"/>
      <c r="D733" s="98"/>
      <c r="E733" s="99"/>
      <c r="F733" s="92"/>
      <c r="G733" s="93" t="b">
        <v>0</v>
      </c>
      <c r="H733" s="93"/>
      <c r="I733" s="90"/>
      <c r="J733" s="90"/>
      <c r="K733" s="90"/>
      <c r="L733" s="90"/>
      <c r="M733" s="90"/>
      <c r="N733" s="90"/>
      <c r="O733" s="90"/>
      <c r="P733" s="90"/>
      <c r="Q733" s="90"/>
      <c r="R733" s="90"/>
      <c r="S733" s="90"/>
      <c r="T733" s="90"/>
      <c r="U733" s="90"/>
      <c r="V733" s="90"/>
      <c r="W733" s="90"/>
      <c r="X733" s="90"/>
      <c r="Y733" s="90"/>
      <c r="Z733" s="90"/>
      <c r="AA733" s="90"/>
      <c r="AB733" s="90"/>
    </row>
    <row r="734" spans="1:28" ht="16">
      <c r="A734" s="100"/>
      <c r="B734" s="87"/>
      <c r="C734" s="94"/>
      <c r="D734" s="95"/>
      <c r="E734" s="96"/>
      <c r="F734" s="88"/>
      <c r="G734" s="89" t="b">
        <v>0</v>
      </c>
      <c r="H734" s="89"/>
      <c r="I734" s="90"/>
      <c r="J734" s="90"/>
      <c r="K734" s="90"/>
      <c r="L734" s="90"/>
      <c r="M734" s="90"/>
      <c r="N734" s="90"/>
      <c r="O734" s="90"/>
      <c r="P734" s="90"/>
      <c r="Q734" s="90"/>
      <c r="R734" s="90"/>
      <c r="S734" s="90"/>
      <c r="T734" s="90"/>
      <c r="U734" s="90"/>
      <c r="V734" s="90"/>
      <c r="W734" s="90"/>
      <c r="X734" s="90"/>
      <c r="Y734" s="90"/>
      <c r="Z734" s="90"/>
      <c r="AA734" s="90"/>
      <c r="AB734" s="90"/>
    </row>
    <row r="735" spans="1:28" ht="16">
      <c r="A735" s="100"/>
      <c r="B735" s="91"/>
      <c r="C735" s="97"/>
      <c r="D735" s="98"/>
      <c r="E735" s="99"/>
      <c r="F735" s="92"/>
      <c r="G735" s="93" t="b">
        <v>0</v>
      </c>
      <c r="H735" s="93"/>
      <c r="I735" s="90"/>
      <c r="J735" s="90"/>
      <c r="K735" s="90"/>
      <c r="L735" s="90"/>
      <c r="M735" s="90"/>
      <c r="N735" s="90"/>
      <c r="O735" s="90"/>
      <c r="P735" s="90"/>
      <c r="Q735" s="90"/>
      <c r="R735" s="90"/>
      <c r="S735" s="90"/>
      <c r="T735" s="90"/>
      <c r="U735" s="90"/>
      <c r="V735" s="90"/>
      <c r="W735" s="90"/>
      <c r="X735" s="90"/>
      <c r="Y735" s="90"/>
      <c r="Z735" s="90"/>
      <c r="AA735" s="90"/>
      <c r="AB735" s="90"/>
    </row>
    <row r="736" spans="1:28" ht="16">
      <c r="A736" s="100"/>
      <c r="B736" s="87"/>
      <c r="C736" s="94"/>
      <c r="D736" s="95"/>
      <c r="E736" s="96"/>
      <c r="F736" s="88"/>
      <c r="G736" s="89" t="b">
        <v>0</v>
      </c>
      <c r="H736" s="89"/>
      <c r="I736" s="90"/>
      <c r="J736" s="90"/>
      <c r="K736" s="90"/>
      <c r="L736" s="90"/>
      <c r="M736" s="90"/>
      <c r="N736" s="90"/>
      <c r="O736" s="90"/>
      <c r="P736" s="90"/>
      <c r="Q736" s="90"/>
      <c r="R736" s="90"/>
      <c r="S736" s="90"/>
      <c r="T736" s="90"/>
      <c r="U736" s="90"/>
      <c r="V736" s="90"/>
      <c r="W736" s="90"/>
      <c r="X736" s="90"/>
      <c r="Y736" s="90"/>
      <c r="Z736" s="90"/>
      <c r="AA736" s="90"/>
      <c r="AB736" s="90"/>
    </row>
    <row r="737" spans="1:28" ht="16">
      <c r="A737" s="100"/>
      <c r="B737" s="91"/>
      <c r="C737" s="97"/>
      <c r="D737" s="98"/>
      <c r="E737" s="99"/>
      <c r="F737" s="92"/>
      <c r="G737" s="93" t="b">
        <v>0</v>
      </c>
      <c r="H737" s="93"/>
      <c r="I737" s="90"/>
      <c r="J737" s="90"/>
      <c r="K737" s="90"/>
      <c r="L737" s="90"/>
      <c r="M737" s="90"/>
      <c r="N737" s="90"/>
      <c r="O737" s="90"/>
      <c r="P737" s="90"/>
      <c r="Q737" s="90"/>
      <c r="R737" s="90"/>
      <c r="S737" s="90"/>
      <c r="T737" s="90"/>
      <c r="U737" s="90"/>
      <c r="V737" s="90"/>
      <c r="W737" s="90"/>
      <c r="X737" s="90"/>
      <c r="Y737" s="90"/>
      <c r="Z737" s="90"/>
      <c r="AA737" s="90"/>
      <c r="AB737" s="90"/>
    </row>
    <row r="738" spans="1:28" ht="16">
      <c r="A738" s="100"/>
      <c r="B738" s="87"/>
      <c r="C738" s="94"/>
      <c r="D738" s="95"/>
      <c r="E738" s="96"/>
      <c r="F738" s="88"/>
      <c r="G738" s="89" t="b">
        <v>0</v>
      </c>
      <c r="H738" s="89"/>
      <c r="I738" s="90"/>
      <c r="J738" s="90"/>
      <c r="K738" s="90"/>
      <c r="L738" s="90"/>
      <c r="M738" s="90"/>
      <c r="N738" s="90"/>
      <c r="O738" s="90"/>
      <c r="P738" s="90"/>
      <c r="Q738" s="90"/>
      <c r="R738" s="90"/>
      <c r="S738" s="90"/>
      <c r="T738" s="90"/>
      <c r="U738" s="90"/>
      <c r="V738" s="90"/>
      <c r="W738" s="90"/>
      <c r="X738" s="90"/>
      <c r="Y738" s="90"/>
      <c r="Z738" s="90"/>
      <c r="AA738" s="90"/>
      <c r="AB738" s="90"/>
    </row>
    <row r="739" spans="1:28" ht="16">
      <c r="A739" s="100"/>
      <c r="B739" s="91"/>
      <c r="C739" s="97"/>
      <c r="D739" s="98"/>
      <c r="E739" s="99"/>
      <c r="F739" s="92"/>
      <c r="G739" s="93" t="b">
        <v>0</v>
      </c>
      <c r="H739" s="93"/>
      <c r="I739" s="90"/>
      <c r="J739" s="90"/>
      <c r="K739" s="90"/>
      <c r="L739" s="90"/>
      <c r="M739" s="90"/>
      <c r="N739" s="90"/>
      <c r="O739" s="90"/>
      <c r="P739" s="90"/>
      <c r="Q739" s="90"/>
      <c r="R739" s="90"/>
      <c r="S739" s="90"/>
      <c r="T739" s="90"/>
      <c r="U739" s="90"/>
      <c r="V739" s="90"/>
      <c r="W739" s="90"/>
      <c r="X739" s="90"/>
      <c r="Y739" s="90"/>
      <c r="Z739" s="90"/>
      <c r="AA739" s="90"/>
      <c r="AB739" s="90"/>
    </row>
    <row r="740" spans="1:28" ht="16">
      <c r="A740" s="100"/>
      <c r="B740" s="87"/>
      <c r="C740" s="94"/>
      <c r="D740" s="95"/>
      <c r="E740" s="96"/>
      <c r="F740" s="88"/>
      <c r="G740" s="89" t="b">
        <v>0</v>
      </c>
      <c r="H740" s="89"/>
      <c r="I740" s="90"/>
      <c r="J740" s="90"/>
      <c r="K740" s="90"/>
      <c r="L740" s="90"/>
      <c r="M740" s="90"/>
      <c r="N740" s="90"/>
      <c r="O740" s="90"/>
      <c r="P740" s="90"/>
      <c r="Q740" s="90"/>
      <c r="R740" s="90"/>
      <c r="S740" s="90"/>
      <c r="T740" s="90"/>
      <c r="U740" s="90"/>
      <c r="V740" s="90"/>
      <c r="W740" s="90"/>
      <c r="X740" s="90"/>
      <c r="Y740" s="90"/>
      <c r="Z740" s="90"/>
      <c r="AA740" s="90"/>
      <c r="AB740" s="90"/>
    </row>
    <row r="741" spans="1:28" ht="16">
      <c r="A741" s="100"/>
      <c r="B741" s="91"/>
      <c r="C741" s="97"/>
      <c r="D741" s="98"/>
      <c r="E741" s="99"/>
      <c r="F741" s="92"/>
      <c r="G741" s="93" t="b">
        <v>0</v>
      </c>
      <c r="H741" s="93"/>
      <c r="I741" s="90"/>
      <c r="J741" s="90"/>
      <c r="K741" s="90"/>
      <c r="L741" s="90"/>
      <c r="M741" s="90"/>
      <c r="N741" s="90"/>
      <c r="O741" s="90"/>
      <c r="P741" s="90"/>
      <c r="Q741" s="90"/>
      <c r="R741" s="90"/>
      <c r="S741" s="90"/>
      <c r="T741" s="90"/>
      <c r="U741" s="90"/>
      <c r="V741" s="90"/>
      <c r="W741" s="90"/>
      <c r="X741" s="90"/>
      <c r="Y741" s="90"/>
      <c r="Z741" s="90"/>
      <c r="AA741" s="90"/>
      <c r="AB741" s="90"/>
    </row>
    <row r="742" spans="1:28" ht="16">
      <c r="A742" s="100"/>
      <c r="B742" s="87"/>
      <c r="C742" s="94"/>
      <c r="D742" s="95"/>
      <c r="E742" s="96"/>
      <c r="F742" s="88"/>
      <c r="G742" s="89" t="b">
        <v>0</v>
      </c>
      <c r="H742" s="89"/>
      <c r="I742" s="90"/>
      <c r="J742" s="90"/>
      <c r="K742" s="90"/>
      <c r="L742" s="90"/>
      <c r="M742" s="90"/>
      <c r="N742" s="90"/>
      <c r="O742" s="90"/>
      <c r="P742" s="90"/>
      <c r="Q742" s="90"/>
      <c r="R742" s="90"/>
      <c r="S742" s="90"/>
      <c r="T742" s="90"/>
      <c r="U742" s="90"/>
      <c r="V742" s="90"/>
      <c r="W742" s="90"/>
      <c r="X742" s="90"/>
      <c r="Y742" s="90"/>
      <c r="Z742" s="90"/>
      <c r="AA742" s="90"/>
      <c r="AB742" s="90"/>
    </row>
    <row r="743" spans="1:28" ht="16">
      <c r="A743" s="100"/>
      <c r="B743" s="91"/>
      <c r="C743" s="97"/>
      <c r="D743" s="98"/>
      <c r="E743" s="99"/>
      <c r="F743" s="92"/>
      <c r="G743" s="93" t="b">
        <v>0</v>
      </c>
      <c r="H743" s="93"/>
      <c r="I743" s="90"/>
      <c r="J743" s="90"/>
      <c r="K743" s="90"/>
      <c r="L743" s="90"/>
      <c r="M743" s="90"/>
      <c r="N743" s="90"/>
      <c r="O743" s="90"/>
      <c r="P743" s="90"/>
      <c r="Q743" s="90"/>
      <c r="R743" s="90"/>
      <c r="S743" s="90"/>
      <c r="T743" s="90"/>
      <c r="U743" s="90"/>
      <c r="V743" s="90"/>
      <c r="W743" s="90"/>
      <c r="X743" s="90"/>
      <c r="Y743" s="90"/>
      <c r="Z743" s="90"/>
      <c r="AA743" s="90"/>
      <c r="AB743" s="90"/>
    </row>
    <row r="744" spans="1:28" ht="16">
      <c r="A744" s="100"/>
      <c r="B744" s="87"/>
      <c r="C744" s="94"/>
      <c r="D744" s="95"/>
      <c r="E744" s="96"/>
      <c r="F744" s="88"/>
      <c r="G744" s="89" t="b">
        <v>0</v>
      </c>
      <c r="H744" s="89"/>
      <c r="I744" s="90"/>
      <c r="J744" s="90"/>
      <c r="K744" s="90"/>
      <c r="L744" s="90"/>
      <c r="M744" s="90"/>
      <c r="N744" s="90"/>
      <c r="O744" s="90"/>
      <c r="P744" s="90"/>
      <c r="Q744" s="90"/>
      <c r="R744" s="90"/>
      <c r="S744" s="90"/>
      <c r="T744" s="90"/>
      <c r="U744" s="90"/>
      <c r="V744" s="90"/>
      <c r="W744" s="90"/>
      <c r="X744" s="90"/>
      <c r="Y744" s="90"/>
      <c r="Z744" s="90"/>
      <c r="AA744" s="90"/>
      <c r="AB744" s="90"/>
    </row>
    <row r="745" spans="1:28" ht="16">
      <c r="A745" s="100"/>
      <c r="B745" s="91"/>
      <c r="C745" s="97"/>
      <c r="D745" s="98"/>
      <c r="E745" s="99"/>
      <c r="F745" s="92"/>
      <c r="G745" s="93" t="b">
        <v>0</v>
      </c>
      <c r="H745" s="93"/>
      <c r="I745" s="90"/>
      <c r="J745" s="90"/>
      <c r="K745" s="90"/>
      <c r="L745" s="90"/>
      <c r="M745" s="90"/>
      <c r="N745" s="90"/>
      <c r="O745" s="90"/>
      <c r="P745" s="90"/>
      <c r="Q745" s="90"/>
      <c r="R745" s="90"/>
      <c r="S745" s="90"/>
      <c r="T745" s="90"/>
      <c r="U745" s="90"/>
      <c r="V745" s="90"/>
      <c r="W745" s="90"/>
      <c r="X745" s="90"/>
      <c r="Y745" s="90"/>
      <c r="Z745" s="90"/>
      <c r="AA745" s="90"/>
      <c r="AB745" s="90"/>
    </row>
    <row r="746" spans="1:28" ht="16">
      <c r="A746" s="100"/>
      <c r="B746" s="87"/>
      <c r="C746" s="94"/>
      <c r="D746" s="95"/>
      <c r="E746" s="96"/>
      <c r="F746" s="88"/>
      <c r="G746" s="89" t="b">
        <v>0</v>
      </c>
      <c r="H746" s="89"/>
      <c r="I746" s="90"/>
      <c r="J746" s="90"/>
      <c r="K746" s="90"/>
      <c r="L746" s="90"/>
      <c r="M746" s="90"/>
      <c r="N746" s="90"/>
      <c r="O746" s="90"/>
      <c r="P746" s="90"/>
      <c r="Q746" s="90"/>
      <c r="R746" s="90"/>
      <c r="S746" s="90"/>
      <c r="T746" s="90"/>
      <c r="U746" s="90"/>
      <c r="V746" s="90"/>
      <c r="W746" s="90"/>
      <c r="X746" s="90"/>
      <c r="Y746" s="90"/>
      <c r="Z746" s="90"/>
      <c r="AA746" s="90"/>
      <c r="AB746" s="90"/>
    </row>
    <row r="747" spans="1:28" ht="16">
      <c r="A747" s="100"/>
      <c r="B747" s="91"/>
      <c r="C747" s="97"/>
      <c r="D747" s="98"/>
      <c r="E747" s="99"/>
      <c r="F747" s="92"/>
      <c r="G747" s="93" t="b">
        <v>0</v>
      </c>
      <c r="H747" s="93"/>
      <c r="I747" s="90"/>
      <c r="J747" s="90"/>
      <c r="K747" s="90"/>
      <c r="L747" s="90"/>
      <c r="M747" s="90"/>
      <c r="N747" s="90"/>
      <c r="O747" s="90"/>
      <c r="P747" s="90"/>
      <c r="Q747" s="90"/>
      <c r="R747" s="90"/>
      <c r="S747" s="90"/>
      <c r="T747" s="90"/>
      <c r="U747" s="90"/>
      <c r="V747" s="90"/>
      <c r="W747" s="90"/>
      <c r="X747" s="90"/>
      <c r="Y747" s="90"/>
      <c r="Z747" s="90"/>
      <c r="AA747" s="90"/>
      <c r="AB747" s="90"/>
    </row>
    <row r="748" spans="1:28" ht="16">
      <c r="A748" s="100"/>
      <c r="B748" s="87"/>
      <c r="C748" s="94"/>
      <c r="D748" s="95"/>
      <c r="E748" s="96"/>
      <c r="F748" s="88"/>
      <c r="G748" s="89" t="b">
        <v>0</v>
      </c>
      <c r="H748" s="89"/>
      <c r="I748" s="90"/>
      <c r="J748" s="90"/>
      <c r="K748" s="90"/>
      <c r="L748" s="90"/>
      <c r="M748" s="90"/>
      <c r="N748" s="90"/>
      <c r="O748" s="90"/>
      <c r="P748" s="90"/>
      <c r="Q748" s="90"/>
      <c r="R748" s="90"/>
      <c r="S748" s="90"/>
      <c r="T748" s="90"/>
      <c r="U748" s="90"/>
      <c r="V748" s="90"/>
      <c r="W748" s="90"/>
      <c r="X748" s="90"/>
      <c r="Y748" s="90"/>
      <c r="Z748" s="90"/>
      <c r="AA748" s="90"/>
      <c r="AB748" s="90"/>
    </row>
    <row r="749" spans="1:28" ht="16">
      <c r="A749" s="100"/>
      <c r="B749" s="91"/>
      <c r="C749" s="97"/>
      <c r="D749" s="98"/>
      <c r="E749" s="99"/>
      <c r="F749" s="92"/>
      <c r="G749" s="93" t="b">
        <v>0</v>
      </c>
      <c r="H749" s="93"/>
      <c r="I749" s="90"/>
      <c r="J749" s="90"/>
      <c r="K749" s="90"/>
      <c r="L749" s="90"/>
      <c r="M749" s="90"/>
      <c r="N749" s="90"/>
      <c r="O749" s="90"/>
      <c r="P749" s="90"/>
      <c r="Q749" s="90"/>
      <c r="R749" s="90"/>
      <c r="S749" s="90"/>
      <c r="T749" s="90"/>
      <c r="U749" s="90"/>
      <c r="V749" s="90"/>
      <c r="W749" s="90"/>
      <c r="X749" s="90"/>
      <c r="Y749" s="90"/>
      <c r="Z749" s="90"/>
      <c r="AA749" s="90"/>
      <c r="AB749" s="90"/>
    </row>
    <row r="750" spans="1:28" ht="16">
      <c r="A750" s="100"/>
      <c r="B750" s="87"/>
      <c r="C750" s="94"/>
      <c r="D750" s="95"/>
      <c r="E750" s="96"/>
      <c r="F750" s="88"/>
      <c r="G750" s="89" t="b">
        <v>0</v>
      </c>
      <c r="H750" s="89"/>
      <c r="I750" s="90"/>
      <c r="J750" s="90"/>
      <c r="K750" s="90"/>
      <c r="L750" s="90"/>
      <c r="M750" s="90"/>
      <c r="N750" s="90"/>
      <c r="O750" s="90"/>
      <c r="P750" s="90"/>
      <c r="Q750" s="90"/>
      <c r="R750" s="90"/>
      <c r="S750" s="90"/>
      <c r="T750" s="90"/>
      <c r="U750" s="90"/>
      <c r="V750" s="90"/>
      <c r="W750" s="90"/>
      <c r="X750" s="90"/>
      <c r="Y750" s="90"/>
      <c r="Z750" s="90"/>
      <c r="AA750" s="90"/>
      <c r="AB750" s="90"/>
    </row>
    <row r="751" spans="1:28" ht="16">
      <c r="A751" s="100"/>
      <c r="B751" s="91"/>
      <c r="C751" s="97"/>
      <c r="D751" s="98"/>
      <c r="E751" s="99"/>
      <c r="F751" s="92"/>
      <c r="G751" s="93" t="b">
        <v>0</v>
      </c>
      <c r="H751" s="93"/>
      <c r="I751" s="90"/>
      <c r="J751" s="90"/>
      <c r="K751" s="90"/>
      <c r="L751" s="90"/>
      <c r="M751" s="90"/>
      <c r="N751" s="90"/>
      <c r="O751" s="90"/>
      <c r="P751" s="90"/>
      <c r="Q751" s="90"/>
      <c r="R751" s="90"/>
      <c r="S751" s="90"/>
      <c r="T751" s="90"/>
      <c r="U751" s="90"/>
      <c r="V751" s="90"/>
      <c r="W751" s="90"/>
      <c r="X751" s="90"/>
      <c r="Y751" s="90"/>
      <c r="Z751" s="90"/>
      <c r="AA751" s="90"/>
      <c r="AB751" s="90"/>
    </row>
    <row r="752" spans="1:28" ht="16">
      <c r="A752" s="100"/>
      <c r="B752" s="87"/>
      <c r="C752" s="94"/>
      <c r="D752" s="95"/>
      <c r="E752" s="96"/>
      <c r="F752" s="88"/>
      <c r="G752" s="89" t="b">
        <v>0</v>
      </c>
      <c r="H752" s="89"/>
      <c r="I752" s="90"/>
      <c r="J752" s="90"/>
      <c r="K752" s="90"/>
      <c r="L752" s="90"/>
      <c r="M752" s="90"/>
      <c r="N752" s="90"/>
      <c r="O752" s="90"/>
      <c r="P752" s="90"/>
      <c r="Q752" s="90"/>
      <c r="R752" s="90"/>
      <c r="S752" s="90"/>
      <c r="T752" s="90"/>
      <c r="U752" s="90"/>
      <c r="V752" s="90"/>
      <c r="W752" s="90"/>
      <c r="X752" s="90"/>
      <c r="Y752" s="90"/>
      <c r="Z752" s="90"/>
      <c r="AA752" s="90"/>
      <c r="AB752" s="90"/>
    </row>
    <row r="753" spans="1:28" ht="16">
      <c r="A753" s="100"/>
      <c r="B753" s="91"/>
      <c r="C753" s="97"/>
      <c r="D753" s="98"/>
      <c r="E753" s="99"/>
      <c r="F753" s="92"/>
      <c r="G753" s="93" t="b">
        <v>0</v>
      </c>
      <c r="H753" s="93"/>
      <c r="I753" s="90"/>
      <c r="J753" s="90"/>
      <c r="K753" s="90"/>
      <c r="L753" s="90"/>
      <c r="M753" s="90"/>
      <c r="N753" s="90"/>
      <c r="O753" s="90"/>
      <c r="P753" s="90"/>
      <c r="Q753" s="90"/>
      <c r="R753" s="90"/>
      <c r="S753" s="90"/>
      <c r="T753" s="90"/>
      <c r="U753" s="90"/>
      <c r="V753" s="90"/>
      <c r="W753" s="90"/>
      <c r="X753" s="90"/>
      <c r="Y753" s="90"/>
      <c r="Z753" s="90"/>
      <c r="AA753" s="90"/>
      <c r="AB753" s="90"/>
    </row>
    <row r="754" spans="1:28" ht="16">
      <c r="A754" s="100"/>
      <c r="B754" s="87"/>
      <c r="C754" s="94"/>
      <c r="D754" s="95"/>
      <c r="E754" s="96"/>
      <c r="F754" s="88"/>
      <c r="G754" s="89" t="b">
        <v>0</v>
      </c>
      <c r="H754" s="89"/>
      <c r="I754" s="90"/>
      <c r="J754" s="90"/>
      <c r="K754" s="90"/>
      <c r="L754" s="90"/>
      <c r="M754" s="90"/>
      <c r="N754" s="90"/>
      <c r="O754" s="90"/>
      <c r="P754" s="90"/>
      <c r="Q754" s="90"/>
      <c r="R754" s="90"/>
      <c r="S754" s="90"/>
      <c r="T754" s="90"/>
      <c r="U754" s="90"/>
      <c r="V754" s="90"/>
      <c r="W754" s="90"/>
      <c r="X754" s="90"/>
      <c r="Y754" s="90"/>
      <c r="Z754" s="90"/>
      <c r="AA754" s="90"/>
      <c r="AB754" s="90"/>
    </row>
    <row r="755" spans="1:28" ht="16">
      <c r="A755" s="100"/>
      <c r="B755" s="91"/>
      <c r="C755" s="97"/>
      <c r="D755" s="98"/>
      <c r="E755" s="99"/>
      <c r="F755" s="92"/>
      <c r="G755" s="93" t="b">
        <v>0</v>
      </c>
      <c r="H755" s="93"/>
      <c r="I755" s="90"/>
      <c r="J755" s="90"/>
      <c r="K755" s="90"/>
      <c r="L755" s="90"/>
      <c r="M755" s="90"/>
      <c r="N755" s="90"/>
      <c r="O755" s="90"/>
      <c r="P755" s="90"/>
      <c r="Q755" s="90"/>
      <c r="R755" s="90"/>
      <c r="S755" s="90"/>
      <c r="T755" s="90"/>
      <c r="U755" s="90"/>
      <c r="V755" s="90"/>
      <c r="W755" s="90"/>
      <c r="X755" s="90"/>
      <c r="Y755" s="90"/>
      <c r="Z755" s="90"/>
      <c r="AA755" s="90"/>
      <c r="AB755" s="90"/>
    </row>
    <row r="756" spans="1:28" ht="16">
      <c r="A756" s="100"/>
      <c r="B756" s="87"/>
      <c r="C756" s="94"/>
      <c r="D756" s="95"/>
      <c r="E756" s="96"/>
      <c r="F756" s="88"/>
      <c r="G756" s="89" t="b">
        <v>0</v>
      </c>
      <c r="H756" s="89"/>
      <c r="I756" s="90"/>
      <c r="J756" s="90"/>
      <c r="K756" s="90"/>
      <c r="L756" s="90"/>
      <c r="M756" s="90"/>
      <c r="N756" s="90"/>
      <c r="O756" s="90"/>
      <c r="P756" s="90"/>
      <c r="Q756" s="90"/>
      <c r="R756" s="90"/>
      <c r="S756" s="90"/>
      <c r="T756" s="90"/>
      <c r="U756" s="90"/>
      <c r="V756" s="90"/>
      <c r="W756" s="90"/>
      <c r="X756" s="90"/>
      <c r="Y756" s="90"/>
      <c r="Z756" s="90"/>
      <c r="AA756" s="90"/>
      <c r="AB756" s="90"/>
    </row>
    <row r="757" spans="1:28" ht="16">
      <c r="A757" s="100"/>
      <c r="B757" s="91"/>
      <c r="C757" s="97"/>
      <c r="D757" s="98"/>
      <c r="E757" s="99"/>
      <c r="F757" s="92"/>
      <c r="G757" s="93" t="b">
        <v>0</v>
      </c>
      <c r="H757" s="93"/>
      <c r="I757" s="90"/>
      <c r="J757" s="90"/>
      <c r="K757" s="90"/>
      <c r="L757" s="90"/>
      <c r="M757" s="90"/>
      <c r="N757" s="90"/>
      <c r="O757" s="90"/>
      <c r="P757" s="90"/>
      <c r="Q757" s="90"/>
      <c r="R757" s="90"/>
      <c r="S757" s="90"/>
      <c r="T757" s="90"/>
      <c r="U757" s="90"/>
      <c r="V757" s="90"/>
      <c r="W757" s="90"/>
      <c r="X757" s="90"/>
      <c r="Y757" s="90"/>
      <c r="Z757" s="90"/>
      <c r="AA757" s="90"/>
      <c r="AB757" s="90"/>
    </row>
    <row r="758" spans="1:28" ht="16">
      <c r="A758" s="100"/>
      <c r="B758" s="87"/>
      <c r="C758" s="94"/>
      <c r="D758" s="95"/>
      <c r="E758" s="96"/>
      <c r="F758" s="88"/>
      <c r="G758" s="89" t="b">
        <v>0</v>
      </c>
      <c r="H758" s="89"/>
      <c r="I758" s="90"/>
      <c r="J758" s="90"/>
      <c r="K758" s="90"/>
      <c r="L758" s="90"/>
      <c r="M758" s="90"/>
      <c r="N758" s="90"/>
      <c r="O758" s="90"/>
      <c r="P758" s="90"/>
      <c r="Q758" s="90"/>
      <c r="R758" s="90"/>
      <c r="S758" s="90"/>
      <c r="T758" s="90"/>
      <c r="U758" s="90"/>
      <c r="V758" s="90"/>
      <c r="W758" s="90"/>
      <c r="X758" s="90"/>
      <c r="Y758" s="90"/>
      <c r="Z758" s="90"/>
      <c r="AA758" s="90"/>
      <c r="AB758" s="90"/>
    </row>
    <row r="759" spans="1:28" ht="16">
      <c r="A759" s="100"/>
      <c r="B759" s="91"/>
      <c r="C759" s="97"/>
      <c r="D759" s="98"/>
      <c r="E759" s="99"/>
      <c r="F759" s="92"/>
      <c r="G759" s="93" t="b">
        <v>0</v>
      </c>
      <c r="H759" s="93"/>
      <c r="I759" s="90"/>
      <c r="J759" s="90"/>
      <c r="K759" s="90"/>
      <c r="L759" s="90"/>
      <c r="M759" s="90"/>
      <c r="N759" s="90"/>
      <c r="O759" s="90"/>
      <c r="P759" s="90"/>
      <c r="Q759" s="90"/>
      <c r="R759" s="90"/>
      <c r="S759" s="90"/>
      <c r="T759" s="90"/>
      <c r="U759" s="90"/>
      <c r="V759" s="90"/>
      <c r="W759" s="90"/>
      <c r="X759" s="90"/>
      <c r="Y759" s="90"/>
      <c r="Z759" s="90"/>
      <c r="AA759" s="90"/>
      <c r="AB759" s="90"/>
    </row>
    <row r="760" spans="1:28" ht="16">
      <c r="A760" s="100"/>
      <c r="B760" s="87"/>
      <c r="C760" s="94"/>
      <c r="D760" s="95"/>
      <c r="E760" s="96"/>
      <c r="F760" s="88"/>
      <c r="G760" s="89" t="b">
        <v>0</v>
      </c>
      <c r="H760" s="89"/>
      <c r="I760" s="90"/>
      <c r="J760" s="90"/>
      <c r="K760" s="90"/>
      <c r="L760" s="90"/>
      <c r="M760" s="90"/>
      <c r="N760" s="90"/>
      <c r="O760" s="90"/>
      <c r="P760" s="90"/>
      <c r="Q760" s="90"/>
      <c r="R760" s="90"/>
      <c r="S760" s="90"/>
      <c r="T760" s="90"/>
      <c r="U760" s="90"/>
      <c r="V760" s="90"/>
      <c r="W760" s="90"/>
      <c r="X760" s="90"/>
      <c r="Y760" s="90"/>
      <c r="Z760" s="90"/>
      <c r="AA760" s="90"/>
      <c r="AB760" s="90"/>
    </row>
    <row r="761" spans="1:28" ht="16">
      <c r="A761" s="100"/>
      <c r="B761" s="91"/>
      <c r="C761" s="97"/>
      <c r="D761" s="98"/>
      <c r="E761" s="99"/>
      <c r="F761" s="92"/>
      <c r="G761" s="93" t="b">
        <v>0</v>
      </c>
      <c r="H761" s="93"/>
      <c r="I761" s="90"/>
      <c r="J761" s="90"/>
      <c r="K761" s="90"/>
      <c r="L761" s="90"/>
      <c r="M761" s="90"/>
      <c r="N761" s="90"/>
      <c r="O761" s="90"/>
      <c r="P761" s="90"/>
      <c r="Q761" s="90"/>
      <c r="R761" s="90"/>
      <c r="S761" s="90"/>
      <c r="T761" s="90"/>
      <c r="U761" s="90"/>
      <c r="V761" s="90"/>
      <c r="W761" s="90"/>
      <c r="X761" s="90"/>
      <c r="Y761" s="90"/>
      <c r="Z761" s="90"/>
      <c r="AA761" s="90"/>
      <c r="AB761" s="90"/>
    </row>
    <row r="762" spans="1:28" ht="16">
      <c r="A762" s="100"/>
      <c r="B762" s="87"/>
      <c r="C762" s="94"/>
      <c r="D762" s="95"/>
      <c r="E762" s="96"/>
      <c r="F762" s="88"/>
      <c r="G762" s="89" t="b">
        <v>0</v>
      </c>
      <c r="H762" s="89"/>
      <c r="I762" s="90"/>
      <c r="J762" s="90"/>
      <c r="K762" s="90"/>
      <c r="L762" s="90"/>
      <c r="M762" s="90"/>
      <c r="N762" s="90"/>
      <c r="O762" s="90"/>
      <c r="P762" s="90"/>
      <c r="Q762" s="90"/>
      <c r="R762" s="90"/>
      <c r="S762" s="90"/>
      <c r="T762" s="90"/>
      <c r="U762" s="90"/>
      <c r="V762" s="90"/>
      <c r="W762" s="90"/>
      <c r="X762" s="90"/>
      <c r="Y762" s="90"/>
      <c r="Z762" s="90"/>
      <c r="AA762" s="90"/>
      <c r="AB762" s="90"/>
    </row>
    <row r="763" spans="1:28" ht="16">
      <c r="A763" s="100"/>
      <c r="B763" s="91"/>
      <c r="C763" s="97"/>
      <c r="D763" s="98"/>
      <c r="E763" s="99"/>
      <c r="F763" s="92"/>
      <c r="G763" s="93" t="b">
        <v>0</v>
      </c>
      <c r="H763" s="93"/>
      <c r="I763" s="90"/>
      <c r="J763" s="90"/>
      <c r="K763" s="90"/>
      <c r="L763" s="90"/>
      <c r="M763" s="90"/>
      <c r="N763" s="90"/>
      <c r="O763" s="90"/>
      <c r="P763" s="90"/>
      <c r="Q763" s="90"/>
      <c r="R763" s="90"/>
      <c r="S763" s="90"/>
      <c r="T763" s="90"/>
      <c r="U763" s="90"/>
      <c r="V763" s="90"/>
      <c r="W763" s="90"/>
      <c r="X763" s="90"/>
      <c r="Y763" s="90"/>
      <c r="Z763" s="90"/>
      <c r="AA763" s="90"/>
      <c r="AB763" s="90"/>
    </row>
    <row r="764" spans="1:28" ht="16">
      <c r="A764" s="100"/>
      <c r="B764" s="87"/>
      <c r="C764" s="94"/>
      <c r="D764" s="95"/>
      <c r="E764" s="96"/>
      <c r="F764" s="88"/>
      <c r="G764" s="89" t="b">
        <v>0</v>
      </c>
      <c r="H764" s="89"/>
      <c r="I764" s="90"/>
      <c r="J764" s="90"/>
      <c r="K764" s="90"/>
      <c r="L764" s="90"/>
      <c r="M764" s="90"/>
      <c r="N764" s="90"/>
      <c r="O764" s="90"/>
      <c r="P764" s="90"/>
      <c r="Q764" s="90"/>
      <c r="R764" s="90"/>
      <c r="S764" s="90"/>
      <c r="T764" s="90"/>
      <c r="U764" s="90"/>
      <c r="V764" s="90"/>
      <c r="W764" s="90"/>
      <c r="X764" s="90"/>
      <c r="Y764" s="90"/>
      <c r="Z764" s="90"/>
      <c r="AA764" s="90"/>
      <c r="AB764" s="90"/>
    </row>
    <row r="765" spans="1:28" ht="16">
      <c r="A765" s="100"/>
      <c r="B765" s="91"/>
      <c r="C765" s="97"/>
      <c r="D765" s="98"/>
      <c r="E765" s="99"/>
      <c r="F765" s="92"/>
      <c r="G765" s="93" t="b">
        <v>0</v>
      </c>
      <c r="H765" s="93"/>
      <c r="I765" s="90"/>
      <c r="J765" s="90"/>
      <c r="K765" s="90"/>
      <c r="L765" s="90"/>
      <c r="M765" s="90"/>
      <c r="N765" s="90"/>
      <c r="O765" s="90"/>
      <c r="P765" s="90"/>
      <c r="Q765" s="90"/>
      <c r="R765" s="90"/>
      <c r="S765" s="90"/>
      <c r="T765" s="90"/>
      <c r="U765" s="90"/>
      <c r="V765" s="90"/>
      <c r="W765" s="90"/>
      <c r="X765" s="90"/>
      <c r="Y765" s="90"/>
      <c r="Z765" s="90"/>
      <c r="AA765" s="90"/>
      <c r="AB765" s="90"/>
    </row>
    <row r="766" spans="1:28" ht="16">
      <c r="A766" s="100"/>
      <c r="B766" s="87"/>
      <c r="C766" s="94"/>
      <c r="D766" s="95"/>
      <c r="E766" s="96"/>
      <c r="F766" s="88"/>
      <c r="G766" s="89" t="b">
        <v>0</v>
      </c>
      <c r="H766" s="89"/>
      <c r="I766" s="90"/>
      <c r="J766" s="90"/>
      <c r="K766" s="90"/>
      <c r="L766" s="90"/>
      <c r="M766" s="90"/>
      <c r="N766" s="90"/>
      <c r="O766" s="90"/>
      <c r="P766" s="90"/>
      <c r="Q766" s="90"/>
      <c r="R766" s="90"/>
      <c r="S766" s="90"/>
      <c r="T766" s="90"/>
      <c r="U766" s="90"/>
      <c r="V766" s="90"/>
      <c r="W766" s="90"/>
      <c r="X766" s="90"/>
      <c r="Y766" s="90"/>
      <c r="Z766" s="90"/>
      <c r="AA766" s="90"/>
      <c r="AB766" s="90"/>
    </row>
    <row r="767" spans="1:28" ht="16">
      <c r="A767" s="100"/>
      <c r="B767" s="91"/>
      <c r="C767" s="97"/>
      <c r="D767" s="98"/>
      <c r="E767" s="99"/>
      <c r="F767" s="92"/>
      <c r="G767" s="93" t="b">
        <v>0</v>
      </c>
      <c r="H767" s="93"/>
      <c r="I767" s="90"/>
      <c r="J767" s="90"/>
      <c r="K767" s="90"/>
      <c r="L767" s="90"/>
      <c r="M767" s="90"/>
      <c r="N767" s="90"/>
      <c r="O767" s="90"/>
      <c r="P767" s="90"/>
      <c r="Q767" s="90"/>
      <c r="R767" s="90"/>
      <c r="S767" s="90"/>
      <c r="T767" s="90"/>
      <c r="U767" s="90"/>
      <c r="V767" s="90"/>
      <c r="W767" s="90"/>
      <c r="X767" s="90"/>
      <c r="Y767" s="90"/>
      <c r="Z767" s="90"/>
      <c r="AA767" s="90"/>
      <c r="AB767" s="90"/>
    </row>
    <row r="768" spans="1:28" ht="16">
      <c r="A768" s="100"/>
      <c r="B768" s="87"/>
      <c r="C768" s="94"/>
      <c r="D768" s="95"/>
      <c r="E768" s="96"/>
      <c r="F768" s="88"/>
      <c r="G768" s="89" t="b">
        <v>0</v>
      </c>
      <c r="H768" s="89"/>
      <c r="I768" s="90"/>
      <c r="J768" s="90"/>
      <c r="K768" s="90"/>
      <c r="L768" s="90"/>
      <c r="M768" s="90"/>
      <c r="N768" s="90"/>
      <c r="O768" s="90"/>
      <c r="P768" s="90"/>
      <c r="Q768" s="90"/>
      <c r="R768" s="90"/>
      <c r="S768" s="90"/>
      <c r="T768" s="90"/>
      <c r="U768" s="90"/>
      <c r="V768" s="90"/>
      <c r="W768" s="90"/>
      <c r="X768" s="90"/>
      <c r="Y768" s="90"/>
      <c r="Z768" s="90"/>
      <c r="AA768" s="90"/>
      <c r="AB768" s="90"/>
    </row>
    <row r="769" spans="1:28" ht="16">
      <c r="A769" s="100"/>
      <c r="B769" s="91"/>
      <c r="C769" s="97"/>
      <c r="D769" s="98"/>
      <c r="E769" s="99"/>
      <c r="F769" s="92"/>
      <c r="G769" s="93" t="b">
        <v>0</v>
      </c>
      <c r="H769" s="93"/>
      <c r="I769" s="90"/>
      <c r="J769" s="90"/>
      <c r="K769" s="90"/>
      <c r="L769" s="90"/>
      <c r="M769" s="90"/>
      <c r="N769" s="90"/>
      <c r="O769" s="90"/>
      <c r="P769" s="90"/>
      <c r="Q769" s="90"/>
      <c r="R769" s="90"/>
      <c r="S769" s="90"/>
      <c r="T769" s="90"/>
      <c r="U769" s="90"/>
      <c r="V769" s="90"/>
      <c r="W769" s="90"/>
      <c r="X769" s="90"/>
      <c r="Y769" s="90"/>
      <c r="Z769" s="90"/>
      <c r="AA769" s="90"/>
      <c r="AB769" s="90"/>
    </row>
    <row r="770" spans="1:28" ht="16">
      <c r="A770" s="100"/>
      <c r="B770" s="87"/>
      <c r="C770" s="94"/>
      <c r="D770" s="95"/>
      <c r="E770" s="96"/>
      <c r="F770" s="88"/>
      <c r="G770" s="89" t="b">
        <v>0</v>
      </c>
      <c r="H770" s="89"/>
      <c r="I770" s="90"/>
      <c r="J770" s="90"/>
      <c r="K770" s="90"/>
      <c r="L770" s="90"/>
      <c r="M770" s="90"/>
      <c r="N770" s="90"/>
      <c r="O770" s="90"/>
      <c r="P770" s="90"/>
      <c r="Q770" s="90"/>
      <c r="R770" s="90"/>
      <c r="S770" s="90"/>
      <c r="T770" s="90"/>
      <c r="U770" s="90"/>
      <c r="V770" s="90"/>
      <c r="W770" s="90"/>
      <c r="X770" s="90"/>
      <c r="Y770" s="90"/>
      <c r="Z770" s="90"/>
      <c r="AA770" s="90"/>
      <c r="AB770" s="90"/>
    </row>
    <row r="771" spans="1:28" ht="16">
      <c r="A771" s="100"/>
      <c r="B771" s="91"/>
      <c r="C771" s="97"/>
      <c r="D771" s="98"/>
      <c r="E771" s="99"/>
      <c r="F771" s="92"/>
      <c r="G771" s="93" t="b">
        <v>0</v>
      </c>
      <c r="H771" s="93"/>
      <c r="I771" s="90"/>
      <c r="J771" s="90"/>
      <c r="K771" s="90"/>
      <c r="L771" s="90"/>
      <c r="M771" s="90"/>
      <c r="N771" s="90"/>
      <c r="O771" s="90"/>
      <c r="P771" s="90"/>
      <c r="Q771" s="90"/>
      <c r="R771" s="90"/>
      <c r="S771" s="90"/>
      <c r="T771" s="90"/>
      <c r="U771" s="90"/>
      <c r="V771" s="90"/>
      <c r="W771" s="90"/>
      <c r="X771" s="90"/>
      <c r="Y771" s="90"/>
      <c r="Z771" s="90"/>
      <c r="AA771" s="90"/>
      <c r="AB771" s="90"/>
    </row>
    <row r="772" spans="1:28" ht="16">
      <c r="A772" s="100"/>
      <c r="B772" s="87"/>
      <c r="C772" s="94"/>
      <c r="D772" s="95"/>
      <c r="E772" s="96"/>
      <c r="F772" s="88"/>
      <c r="G772" s="89" t="b">
        <v>0</v>
      </c>
      <c r="H772" s="89"/>
      <c r="I772" s="90"/>
      <c r="J772" s="90"/>
      <c r="K772" s="90"/>
      <c r="L772" s="90"/>
      <c r="M772" s="90"/>
      <c r="N772" s="90"/>
      <c r="O772" s="90"/>
      <c r="P772" s="90"/>
      <c r="Q772" s="90"/>
      <c r="R772" s="90"/>
      <c r="S772" s="90"/>
      <c r="T772" s="90"/>
      <c r="U772" s="90"/>
      <c r="V772" s="90"/>
      <c r="W772" s="90"/>
      <c r="X772" s="90"/>
      <c r="Y772" s="90"/>
      <c r="Z772" s="90"/>
      <c r="AA772" s="90"/>
      <c r="AB772" s="90"/>
    </row>
    <row r="773" spans="1:28" ht="16">
      <c r="A773" s="100"/>
      <c r="B773" s="91"/>
      <c r="C773" s="97"/>
      <c r="D773" s="98"/>
      <c r="E773" s="99"/>
      <c r="F773" s="92"/>
      <c r="G773" s="93" t="b">
        <v>0</v>
      </c>
      <c r="H773" s="93"/>
      <c r="I773" s="90"/>
      <c r="J773" s="90"/>
      <c r="K773" s="90"/>
      <c r="L773" s="90"/>
      <c r="M773" s="90"/>
      <c r="N773" s="90"/>
      <c r="O773" s="90"/>
      <c r="P773" s="90"/>
      <c r="Q773" s="90"/>
      <c r="R773" s="90"/>
      <c r="S773" s="90"/>
      <c r="T773" s="90"/>
      <c r="U773" s="90"/>
      <c r="V773" s="90"/>
      <c r="W773" s="90"/>
      <c r="X773" s="90"/>
      <c r="Y773" s="90"/>
      <c r="Z773" s="90"/>
      <c r="AA773" s="90"/>
      <c r="AB773" s="90"/>
    </row>
    <row r="774" spans="1:28" ht="16">
      <c r="A774" s="100"/>
      <c r="B774" s="87"/>
      <c r="C774" s="94"/>
      <c r="D774" s="95"/>
      <c r="E774" s="96"/>
      <c r="F774" s="88"/>
      <c r="G774" s="89" t="b">
        <v>0</v>
      </c>
      <c r="H774" s="89"/>
      <c r="I774" s="90"/>
      <c r="J774" s="90"/>
      <c r="K774" s="90"/>
      <c r="L774" s="90"/>
      <c r="M774" s="90"/>
      <c r="N774" s="90"/>
      <c r="O774" s="90"/>
      <c r="P774" s="90"/>
      <c r="Q774" s="90"/>
      <c r="R774" s="90"/>
      <c r="S774" s="90"/>
      <c r="T774" s="90"/>
      <c r="U774" s="90"/>
      <c r="V774" s="90"/>
      <c r="W774" s="90"/>
      <c r="X774" s="90"/>
      <c r="Y774" s="90"/>
      <c r="Z774" s="90"/>
      <c r="AA774" s="90"/>
      <c r="AB774" s="90"/>
    </row>
    <row r="775" spans="1:28" ht="16">
      <c r="A775" s="100"/>
      <c r="B775" s="91"/>
      <c r="C775" s="97"/>
      <c r="D775" s="98"/>
      <c r="E775" s="99"/>
      <c r="F775" s="92"/>
      <c r="G775" s="93" t="b">
        <v>0</v>
      </c>
      <c r="H775" s="93"/>
      <c r="I775" s="90"/>
      <c r="J775" s="90"/>
      <c r="K775" s="90"/>
      <c r="L775" s="90"/>
      <c r="M775" s="90"/>
      <c r="N775" s="90"/>
      <c r="O775" s="90"/>
      <c r="P775" s="90"/>
      <c r="Q775" s="90"/>
      <c r="R775" s="90"/>
      <c r="S775" s="90"/>
      <c r="T775" s="90"/>
      <c r="U775" s="90"/>
      <c r="V775" s="90"/>
      <c r="W775" s="90"/>
      <c r="X775" s="90"/>
      <c r="Y775" s="90"/>
      <c r="Z775" s="90"/>
      <c r="AA775" s="90"/>
      <c r="AB775" s="90"/>
    </row>
    <row r="776" spans="1:28" ht="16">
      <c r="A776" s="100"/>
      <c r="B776" s="87"/>
      <c r="C776" s="94"/>
      <c r="D776" s="95"/>
      <c r="E776" s="96"/>
      <c r="F776" s="88"/>
      <c r="G776" s="89" t="b">
        <v>0</v>
      </c>
      <c r="H776" s="89"/>
      <c r="I776" s="90"/>
      <c r="J776" s="90"/>
      <c r="K776" s="90"/>
      <c r="L776" s="90"/>
      <c r="M776" s="90"/>
      <c r="N776" s="90"/>
      <c r="O776" s="90"/>
      <c r="P776" s="90"/>
      <c r="Q776" s="90"/>
      <c r="R776" s="90"/>
      <c r="S776" s="90"/>
      <c r="T776" s="90"/>
      <c r="U776" s="90"/>
      <c r="V776" s="90"/>
      <c r="W776" s="90"/>
      <c r="X776" s="90"/>
      <c r="Y776" s="90"/>
      <c r="Z776" s="90"/>
      <c r="AA776" s="90"/>
      <c r="AB776" s="90"/>
    </row>
    <row r="777" spans="1:28" ht="16">
      <c r="A777" s="100"/>
      <c r="B777" s="91"/>
      <c r="C777" s="97"/>
      <c r="D777" s="98"/>
      <c r="E777" s="99"/>
      <c r="F777" s="92"/>
      <c r="G777" s="93" t="b">
        <v>0</v>
      </c>
      <c r="H777" s="93"/>
      <c r="I777" s="90"/>
      <c r="J777" s="90"/>
      <c r="K777" s="90"/>
      <c r="L777" s="90"/>
      <c r="M777" s="90"/>
      <c r="N777" s="90"/>
      <c r="O777" s="90"/>
      <c r="P777" s="90"/>
      <c r="Q777" s="90"/>
      <c r="R777" s="90"/>
      <c r="S777" s="90"/>
      <c r="T777" s="90"/>
      <c r="U777" s="90"/>
      <c r="V777" s="90"/>
      <c r="W777" s="90"/>
      <c r="X777" s="90"/>
      <c r="Y777" s="90"/>
      <c r="Z777" s="90"/>
      <c r="AA777" s="90"/>
      <c r="AB777" s="90"/>
    </row>
    <row r="778" spans="1:28" ht="16">
      <c r="A778" s="100"/>
      <c r="B778" s="87"/>
      <c r="C778" s="94"/>
      <c r="D778" s="95"/>
      <c r="E778" s="96"/>
      <c r="F778" s="88"/>
      <c r="G778" s="89" t="b">
        <v>0</v>
      </c>
      <c r="H778" s="89"/>
      <c r="I778" s="90"/>
      <c r="J778" s="90"/>
      <c r="K778" s="90"/>
      <c r="L778" s="90"/>
      <c r="M778" s="90"/>
      <c r="N778" s="90"/>
      <c r="O778" s="90"/>
      <c r="P778" s="90"/>
      <c r="Q778" s="90"/>
      <c r="R778" s="90"/>
      <c r="S778" s="90"/>
      <c r="T778" s="90"/>
      <c r="U778" s="90"/>
      <c r="V778" s="90"/>
      <c r="W778" s="90"/>
      <c r="X778" s="90"/>
      <c r="Y778" s="90"/>
      <c r="Z778" s="90"/>
      <c r="AA778" s="90"/>
      <c r="AB778" s="90"/>
    </row>
    <row r="779" spans="1:28" ht="16">
      <c r="A779" s="100"/>
      <c r="B779" s="91"/>
      <c r="C779" s="97"/>
      <c r="D779" s="98"/>
      <c r="E779" s="99"/>
      <c r="F779" s="92"/>
      <c r="G779" s="93" t="b">
        <v>0</v>
      </c>
      <c r="H779" s="93"/>
      <c r="I779" s="90"/>
      <c r="J779" s="90"/>
      <c r="K779" s="90"/>
      <c r="L779" s="90"/>
      <c r="M779" s="90"/>
      <c r="N779" s="90"/>
      <c r="O779" s="90"/>
      <c r="P779" s="90"/>
      <c r="Q779" s="90"/>
      <c r="R779" s="90"/>
      <c r="S779" s="90"/>
      <c r="T779" s="90"/>
      <c r="U779" s="90"/>
      <c r="V779" s="90"/>
      <c r="W779" s="90"/>
      <c r="X779" s="90"/>
      <c r="Y779" s="90"/>
      <c r="Z779" s="90"/>
      <c r="AA779" s="90"/>
      <c r="AB779" s="90"/>
    </row>
    <row r="780" spans="1:28" ht="16">
      <c r="A780" s="100"/>
      <c r="B780" s="87"/>
      <c r="C780" s="94"/>
      <c r="D780" s="95"/>
      <c r="E780" s="96"/>
      <c r="F780" s="88"/>
      <c r="G780" s="89" t="b">
        <v>0</v>
      </c>
      <c r="H780" s="89"/>
      <c r="I780" s="90"/>
      <c r="J780" s="90"/>
      <c r="K780" s="90"/>
      <c r="L780" s="90"/>
      <c r="M780" s="90"/>
      <c r="N780" s="90"/>
      <c r="O780" s="90"/>
      <c r="P780" s="90"/>
      <c r="Q780" s="90"/>
      <c r="R780" s="90"/>
      <c r="S780" s="90"/>
      <c r="T780" s="90"/>
      <c r="U780" s="90"/>
      <c r="V780" s="90"/>
      <c r="W780" s="90"/>
      <c r="X780" s="90"/>
      <c r="Y780" s="90"/>
      <c r="Z780" s="90"/>
      <c r="AA780" s="90"/>
      <c r="AB780" s="90"/>
    </row>
    <row r="781" spans="1:28" ht="16">
      <c r="A781" s="100"/>
      <c r="B781" s="91"/>
      <c r="C781" s="97"/>
      <c r="D781" s="98"/>
      <c r="E781" s="99"/>
      <c r="F781" s="92"/>
      <c r="G781" s="93" t="b">
        <v>0</v>
      </c>
      <c r="H781" s="93"/>
      <c r="I781" s="90"/>
      <c r="J781" s="90"/>
      <c r="K781" s="90"/>
      <c r="L781" s="90"/>
      <c r="M781" s="90"/>
      <c r="N781" s="90"/>
      <c r="O781" s="90"/>
      <c r="P781" s="90"/>
      <c r="Q781" s="90"/>
      <c r="R781" s="90"/>
      <c r="S781" s="90"/>
      <c r="T781" s="90"/>
      <c r="U781" s="90"/>
      <c r="V781" s="90"/>
      <c r="W781" s="90"/>
      <c r="X781" s="90"/>
      <c r="Y781" s="90"/>
      <c r="Z781" s="90"/>
      <c r="AA781" s="90"/>
      <c r="AB781" s="90"/>
    </row>
    <row r="782" spans="1:28" ht="16">
      <c r="A782" s="100"/>
      <c r="B782" s="87"/>
      <c r="C782" s="94"/>
      <c r="D782" s="95"/>
      <c r="E782" s="96"/>
      <c r="F782" s="88"/>
      <c r="G782" s="89" t="b">
        <v>0</v>
      </c>
      <c r="H782" s="89"/>
      <c r="I782" s="90"/>
      <c r="J782" s="90"/>
      <c r="K782" s="90"/>
      <c r="L782" s="90"/>
      <c r="M782" s="90"/>
      <c r="N782" s="90"/>
      <c r="O782" s="90"/>
      <c r="P782" s="90"/>
      <c r="Q782" s="90"/>
      <c r="R782" s="90"/>
      <c r="S782" s="90"/>
      <c r="T782" s="90"/>
      <c r="U782" s="90"/>
      <c r="V782" s="90"/>
      <c r="W782" s="90"/>
      <c r="X782" s="90"/>
      <c r="Y782" s="90"/>
      <c r="Z782" s="90"/>
      <c r="AA782" s="90"/>
      <c r="AB782" s="90"/>
    </row>
    <row r="783" spans="1:28" ht="16">
      <c r="A783" s="100"/>
      <c r="B783" s="91"/>
      <c r="C783" s="97"/>
      <c r="D783" s="98"/>
      <c r="E783" s="99"/>
      <c r="F783" s="92"/>
      <c r="G783" s="93" t="b">
        <v>0</v>
      </c>
      <c r="H783" s="93"/>
      <c r="I783" s="90"/>
      <c r="J783" s="90"/>
      <c r="K783" s="90"/>
      <c r="L783" s="90"/>
      <c r="M783" s="90"/>
      <c r="N783" s="90"/>
      <c r="O783" s="90"/>
      <c r="P783" s="90"/>
      <c r="Q783" s="90"/>
      <c r="R783" s="90"/>
      <c r="S783" s="90"/>
      <c r="T783" s="90"/>
      <c r="U783" s="90"/>
      <c r="V783" s="90"/>
      <c r="W783" s="90"/>
      <c r="X783" s="90"/>
      <c r="Y783" s="90"/>
      <c r="Z783" s="90"/>
      <c r="AA783" s="90"/>
      <c r="AB783" s="90"/>
    </row>
    <row r="784" spans="1:28" ht="16">
      <c r="A784" s="100"/>
      <c r="B784" s="87"/>
      <c r="C784" s="94"/>
      <c r="D784" s="95"/>
      <c r="E784" s="96"/>
      <c r="F784" s="88"/>
      <c r="G784" s="89" t="b">
        <v>0</v>
      </c>
      <c r="H784" s="89"/>
      <c r="I784" s="90"/>
      <c r="J784" s="90"/>
      <c r="K784" s="90"/>
      <c r="L784" s="90"/>
      <c r="M784" s="90"/>
      <c r="N784" s="90"/>
      <c r="O784" s="90"/>
      <c r="P784" s="90"/>
      <c r="Q784" s="90"/>
      <c r="R784" s="90"/>
      <c r="S784" s="90"/>
      <c r="T784" s="90"/>
      <c r="U784" s="90"/>
      <c r="V784" s="90"/>
      <c r="W784" s="90"/>
      <c r="X784" s="90"/>
      <c r="Y784" s="90"/>
      <c r="Z784" s="90"/>
      <c r="AA784" s="90"/>
      <c r="AB784" s="90"/>
    </row>
    <row r="785" spans="1:28" ht="16">
      <c r="A785" s="100"/>
      <c r="B785" s="91"/>
      <c r="C785" s="97"/>
      <c r="D785" s="98"/>
      <c r="E785" s="99"/>
      <c r="F785" s="92"/>
      <c r="G785" s="93" t="b">
        <v>0</v>
      </c>
      <c r="H785" s="93"/>
      <c r="I785" s="90"/>
      <c r="J785" s="90"/>
      <c r="K785" s="90"/>
      <c r="L785" s="90"/>
      <c r="M785" s="90"/>
      <c r="N785" s="90"/>
      <c r="O785" s="90"/>
      <c r="P785" s="90"/>
      <c r="Q785" s="90"/>
      <c r="R785" s="90"/>
      <c r="S785" s="90"/>
      <c r="T785" s="90"/>
      <c r="U785" s="90"/>
      <c r="V785" s="90"/>
      <c r="W785" s="90"/>
      <c r="X785" s="90"/>
      <c r="Y785" s="90"/>
      <c r="Z785" s="90"/>
      <c r="AA785" s="90"/>
      <c r="AB785" s="90"/>
    </row>
    <row r="786" spans="1:28" ht="16">
      <c r="A786" s="100"/>
      <c r="B786" s="87"/>
      <c r="C786" s="94"/>
      <c r="D786" s="95"/>
      <c r="E786" s="96"/>
      <c r="F786" s="88"/>
      <c r="G786" s="89" t="b">
        <v>0</v>
      </c>
      <c r="H786" s="89"/>
      <c r="I786" s="90"/>
      <c r="J786" s="90"/>
      <c r="K786" s="90"/>
      <c r="L786" s="90"/>
      <c r="M786" s="90"/>
      <c r="N786" s="90"/>
      <c r="O786" s="90"/>
      <c r="P786" s="90"/>
      <c r="Q786" s="90"/>
      <c r="R786" s="90"/>
      <c r="S786" s="90"/>
      <c r="T786" s="90"/>
      <c r="U786" s="90"/>
      <c r="V786" s="90"/>
      <c r="W786" s="90"/>
      <c r="X786" s="90"/>
      <c r="Y786" s="90"/>
      <c r="Z786" s="90"/>
      <c r="AA786" s="90"/>
      <c r="AB786" s="90"/>
    </row>
    <row r="787" spans="1:28" ht="16">
      <c r="A787" s="100"/>
      <c r="B787" s="91"/>
      <c r="C787" s="97"/>
      <c r="D787" s="98"/>
      <c r="E787" s="99"/>
      <c r="F787" s="92"/>
      <c r="G787" s="93" t="b">
        <v>0</v>
      </c>
      <c r="H787" s="93"/>
      <c r="I787" s="90"/>
      <c r="J787" s="90"/>
      <c r="K787" s="90"/>
      <c r="L787" s="90"/>
      <c r="M787" s="90"/>
      <c r="N787" s="90"/>
      <c r="O787" s="90"/>
      <c r="P787" s="90"/>
      <c r="Q787" s="90"/>
      <c r="R787" s="90"/>
      <c r="S787" s="90"/>
      <c r="T787" s="90"/>
      <c r="U787" s="90"/>
      <c r="V787" s="90"/>
      <c r="W787" s="90"/>
      <c r="X787" s="90"/>
      <c r="Y787" s="90"/>
      <c r="Z787" s="90"/>
      <c r="AA787" s="90"/>
      <c r="AB787" s="90"/>
    </row>
    <row r="788" spans="1:28" ht="16">
      <c r="A788" s="100"/>
      <c r="B788" s="87"/>
      <c r="C788" s="94"/>
      <c r="D788" s="95"/>
      <c r="E788" s="96"/>
      <c r="F788" s="88"/>
      <c r="G788" s="89" t="b">
        <v>0</v>
      </c>
      <c r="H788" s="89"/>
      <c r="I788" s="90"/>
      <c r="J788" s="90"/>
      <c r="K788" s="90"/>
      <c r="L788" s="90"/>
      <c r="M788" s="90"/>
      <c r="N788" s="90"/>
      <c r="O788" s="90"/>
      <c r="P788" s="90"/>
      <c r="Q788" s="90"/>
      <c r="R788" s="90"/>
      <c r="S788" s="90"/>
      <c r="T788" s="90"/>
      <c r="U788" s="90"/>
      <c r="V788" s="90"/>
      <c r="W788" s="90"/>
      <c r="X788" s="90"/>
      <c r="Y788" s="90"/>
      <c r="Z788" s="90"/>
      <c r="AA788" s="90"/>
      <c r="AB788" s="90"/>
    </row>
    <row r="789" spans="1:28" ht="16">
      <c r="A789" s="100"/>
      <c r="B789" s="91"/>
      <c r="C789" s="97"/>
      <c r="D789" s="98"/>
      <c r="E789" s="99"/>
      <c r="F789" s="92"/>
      <c r="G789" s="93" t="b">
        <v>0</v>
      </c>
      <c r="H789" s="93"/>
      <c r="I789" s="90"/>
      <c r="J789" s="90"/>
      <c r="K789" s="90"/>
      <c r="L789" s="90"/>
      <c r="M789" s="90"/>
      <c r="N789" s="90"/>
      <c r="O789" s="90"/>
      <c r="P789" s="90"/>
      <c r="Q789" s="90"/>
      <c r="R789" s="90"/>
      <c r="S789" s="90"/>
      <c r="T789" s="90"/>
      <c r="U789" s="90"/>
      <c r="V789" s="90"/>
      <c r="W789" s="90"/>
      <c r="X789" s="90"/>
      <c r="Y789" s="90"/>
      <c r="Z789" s="90"/>
      <c r="AA789" s="90"/>
      <c r="AB789" s="90"/>
    </row>
    <row r="790" spans="1:28" ht="16">
      <c r="A790" s="100"/>
      <c r="B790" s="87"/>
      <c r="C790" s="94"/>
      <c r="D790" s="95"/>
      <c r="E790" s="96"/>
      <c r="F790" s="88"/>
      <c r="G790" s="89" t="b">
        <v>0</v>
      </c>
      <c r="H790" s="89"/>
      <c r="I790" s="90"/>
      <c r="J790" s="90"/>
      <c r="K790" s="90"/>
      <c r="L790" s="90"/>
      <c r="M790" s="90"/>
      <c r="N790" s="90"/>
      <c r="O790" s="90"/>
      <c r="P790" s="90"/>
      <c r="Q790" s="90"/>
      <c r="R790" s="90"/>
      <c r="S790" s="90"/>
      <c r="T790" s="90"/>
      <c r="U790" s="90"/>
      <c r="V790" s="90"/>
      <c r="W790" s="90"/>
      <c r="X790" s="90"/>
      <c r="Y790" s="90"/>
      <c r="Z790" s="90"/>
      <c r="AA790" s="90"/>
      <c r="AB790" s="90"/>
    </row>
    <row r="791" spans="1:28" ht="16">
      <c r="A791" s="100"/>
      <c r="B791" s="91"/>
      <c r="C791" s="97"/>
      <c r="D791" s="98"/>
      <c r="E791" s="99"/>
      <c r="F791" s="92"/>
      <c r="G791" s="93" t="b">
        <v>0</v>
      </c>
      <c r="H791" s="93"/>
      <c r="I791" s="90"/>
      <c r="J791" s="90"/>
      <c r="K791" s="90"/>
      <c r="L791" s="90"/>
      <c r="M791" s="90"/>
      <c r="N791" s="90"/>
      <c r="O791" s="90"/>
      <c r="P791" s="90"/>
      <c r="Q791" s="90"/>
      <c r="R791" s="90"/>
      <c r="S791" s="90"/>
      <c r="T791" s="90"/>
      <c r="U791" s="90"/>
      <c r="V791" s="90"/>
      <c r="W791" s="90"/>
      <c r="X791" s="90"/>
      <c r="Y791" s="90"/>
      <c r="Z791" s="90"/>
      <c r="AA791" s="90"/>
      <c r="AB791" s="90"/>
    </row>
    <row r="792" spans="1:28" ht="16">
      <c r="A792" s="100"/>
      <c r="B792" s="87"/>
      <c r="C792" s="94"/>
      <c r="D792" s="95"/>
      <c r="E792" s="96"/>
      <c r="F792" s="88"/>
      <c r="G792" s="89" t="b">
        <v>0</v>
      </c>
      <c r="H792" s="89"/>
      <c r="I792" s="90"/>
      <c r="J792" s="90"/>
      <c r="K792" s="90"/>
      <c r="L792" s="90"/>
      <c r="M792" s="90"/>
      <c r="N792" s="90"/>
      <c r="O792" s="90"/>
      <c r="P792" s="90"/>
      <c r="Q792" s="90"/>
      <c r="R792" s="90"/>
      <c r="S792" s="90"/>
      <c r="T792" s="90"/>
      <c r="U792" s="90"/>
      <c r="V792" s="90"/>
      <c r="W792" s="90"/>
      <c r="X792" s="90"/>
      <c r="Y792" s="90"/>
      <c r="Z792" s="90"/>
      <c r="AA792" s="90"/>
      <c r="AB792" s="90"/>
    </row>
    <row r="793" spans="1:28" ht="16">
      <c r="A793" s="100"/>
      <c r="B793" s="91"/>
      <c r="C793" s="97"/>
      <c r="D793" s="98"/>
      <c r="E793" s="99"/>
      <c r="F793" s="92"/>
      <c r="G793" s="93" t="b">
        <v>0</v>
      </c>
      <c r="H793" s="93"/>
      <c r="I793" s="90"/>
      <c r="J793" s="90"/>
      <c r="K793" s="90"/>
      <c r="L793" s="90"/>
      <c r="M793" s="90"/>
      <c r="N793" s="90"/>
      <c r="O793" s="90"/>
      <c r="P793" s="90"/>
      <c r="Q793" s="90"/>
      <c r="R793" s="90"/>
      <c r="S793" s="90"/>
      <c r="T793" s="90"/>
      <c r="U793" s="90"/>
      <c r="V793" s="90"/>
      <c r="W793" s="90"/>
      <c r="X793" s="90"/>
      <c r="Y793" s="90"/>
      <c r="Z793" s="90"/>
      <c r="AA793" s="90"/>
      <c r="AB793" s="90"/>
    </row>
    <row r="794" spans="1:28" ht="16">
      <c r="A794" s="100"/>
      <c r="B794" s="87"/>
      <c r="C794" s="94"/>
      <c r="D794" s="95"/>
      <c r="E794" s="96"/>
      <c r="F794" s="88"/>
      <c r="G794" s="89" t="b">
        <v>0</v>
      </c>
      <c r="H794" s="89"/>
      <c r="I794" s="90"/>
      <c r="J794" s="90"/>
      <c r="K794" s="90"/>
      <c r="L794" s="90"/>
      <c r="M794" s="90"/>
      <c r="N794" s="90"/>
      <c r="O794" s="90"/>
      <c r="P794" s="90"/>
      <c r="Q794" s="90"/>
      <c r="R794" s="90"/>
      <c r="S794" s="90"/>
      <c r="T794" s="90"/>
      <c r="U794" s="90"/>
      <c r="V794" s="90"/>
      <c r="W794" s="90"/>
      <c r="X794" s="90"/>
      <c r="Y794" s="90"/>
      <c r="Z794" s="90"/>
      <c r="AA794" s="90"/>
      <c r="AB794" s="90"/>
    </row>
    <row r="795" spans="1:28" ht="16">
      <c r="A795" s="100"/>
      <c r="B795" s="91"/>
      <c r="C795" s="97"/>
      <c r="D795" s="98"/>
      <c r="E795" s="99"/>
      <c r="F795" s="92"/>
      <c r="G795" s="93" t="b">
        <v>0</v>
      </c>
      <c r="H795" s="93"/>
      <c r="I795" s="90"/>
      <c r="J795" s="90"/>
      <c r="K795" s="90"/>
      <c r="L795" s="90"/>
      <c r="M795" s="90"/>
      <c r="N795" s="90"/>
      <c r="O795" s="90"/>
      <c r="P795" s="90"/>
      <c r="Q795" s="90"/>
      <c r="R795" s="90"/>
      <c r="S795" s="90"/>
      <c r="T795" s="90"/>
      <c r="U795" s="90"/>
      <c r="V795" s="90"/>
      <c r="W795" s="90"/>
      <c r="X795" s="90"/>
      <c r="Y795" s="90"/>
      <c r="Z795" s="90"/>
      <c r="AA795" s="90"/>
      <c r="AB795" s="90"/>
    </row>
    <row r="796" spans="1:28" ht="16">
      <c r="A796" s="100"/>
      <c r="B796" s="87"/>
      <c r="C796" s="94"/>
      <c r="D796" s="95"/>
      <c r="E796" s="96"/>
      <c r="F796" s="88"/>
      <c r="G796" s="89" t="b">
        <v>0</v>
      </c>
      <c r="H796" s="89"/>
      <c r="I796" s="90"/>
      <c r="J796" s="90"/>
      <c r="K796" s="90"/>
      <c r="L796" s="90"/>
      <c r="M796" s="90"/>
      <c r="N796" s="90"/>
      <c r="O796" s="90"/>
      <c r="P796" s="90"/>
      <c r="Q796" s="90"/>
      <c r="R796" s="90"/>
      <c r="S796" s="90"/>
      <c r="T796" s="90"/>
      <c r="U796" s="90"/>
      <c r="V796" s="90"/>
      <c r="W796" s="90"/>
      <c r="X796" s="90"/>
      <c r="Y796" s="90"/>
      <c r="Z796" s="90"/>
      <c r="AA796" s="90"/>
      <c r="AB796" s="90"/>
    </row>
    <row r="797" spans="1:28" ht="16">
      <c r="A797" s="100"/>
      <c r="B797" s="91"/>
      <c r="C797" s="97"/>
      <c r="D797" s="98"/>
      <c r="E797" s="99"/>
      <c r="F797" s="92"/>
      <c r="G797" s="93" t="b">
        <v>0</v>
      </c>
      <c r="H797" s="93"/>
      <c r="I797" s="90"/>
      <c r="J797" s="90"/>
      <c r="K797" s="90"/>
      <c r="L797" s="90"/>
      <c r="M797" s="90"/>
      <c r="N797" s="90"/>
      <c r="O797" s="90"/>
      <c r="P797" s="90"/>
      <c r="Q797" s="90"/>
      <c r="R797" s="90"/>
      <c r="S797" s="90"/>
      <c r="T797" s="90"/>
      <c r="U797" s="90"/>
      <c r="V797" s="90"/>
      <c r="W797" s="90"/>
      <c r="X797" s="90"/>
      <c r="Y797" s="90"/>
      <c r="Z797" s="90"/>
      <c r="AA797" s="90"/>
      <c r="AB797" s="90"/>
    </row>
    <row r="798" spans="1:28" ht="16">
      <c r="A798" s="100"/>
      <c r="B798" s="87"/>
      <c r="C798" s="94"/>
      <c r="D798" s="95"/>
      <c r="E798" s="96"/>
      <c r="F798" s="88"/>
      <c r="G798" s="89" t="b">
        <v>0</v>
      </c>
      <c r="H798" s="89"/>
      <c r="I798" s="90"/>
      <c r="J798" s="90"/>
      <c r="K798" s="90"/>
      <c r="L798" s="90"/>
      <c r="M798" s="90"/>
      <c r="N798" s="90"/>
      <c r="O798" s="90"/>
      <c r="P798" s="90"/>
      <c r="Q798" s="90"/>
      <c r="R798" s="90"/>
      <c r="S798" s="90"/>
      <c r="T798" s="90"/>
      <c r="U798" s="90"/>
      <c r="V798" s="90"/>
      <c r="W798" s="90"/>
      <c r="X798" s="90"/>
      <c r="Y798" s="90"/>
      <c r="Z798" s="90"/>
      <c r="AA798" s="90"/>
      <c r="AB798" s="90"/>
    </row>
    <row r="799" spans="1:28" ht="16">
      <c r="A799" s="100"/>
      <c r="B799" s="91"/>
      <c r="C799" s="97"/>
      <c r="D799" s="98"/>
      <c r="E799" s="99"/>
      <c r="F799" s="92"/>
      <c r="G799" s="93" t="b">
        <v>0</v>
      </c>
      <c r="H799" s="93"/>
      <c r="I799" s="90"/>
      <c r="J799" s="90"/>
      <c r="K799" s="90"/>
      <c r="L799" s="90"/>
      <c r="M799" s="90"/>
      <c r="N799" s="90"/>
      <c r="O799" s="90"/>
      <c r="P799" s="90"/>
      <c r="Q799" s="90"/>
      <c r="R799" s="90"/>
      <c r="S799" s="90"/>
      <c r="T799" s="90"/>
      <c r="U799" s="90"/>
      <c r="V799" s="90"/>
      <c r="W799" s="90"/>
      <c r="X799" s="90"/>
      <c r="Y799" s="90"/>
      <c r="Z799" s="90"/>
      <c r="AA799" s="90"/>
      <c r="AB799" s="90"/>
    </row>
    <row r="800" spans="1:28" ht="16">
      <c r="A800" s="100"/>
      <c r="B800" s="87"/>
      <c r="C800" s="94"/>
      <c r="D800" s="95"/>
      <c r="E800" s="96"/>
      <c r="F800" s="88"/>
      <c r="G800" s="89" t="b">
        <v>0</v>
      </c>
      <c r="H800" s="89"/>
      <c r="I800" s="90"/>
      <c r="J800" s="90"/>
      <c r="K800" s="90"/>
      <c r="L800" s="90"/>
      <c r="M800" s="90"/>
      <c r="N800" s="90"/>
      <c r="O800" s="90"/>
      <c r="P800" s="90"/>
      <c r="Q800" s="90"/>
      <c r="R800" s="90"/>
      <c r="S800" s="90"/>
      <c r="T800" s="90"/>
      <c r="U800" s="90"/>
      <c r="V800" s="90"/>
      <c r="W800" s="90"/>
      <c r="X800" s="90"/>
      <c r="Y800" s="90"/>
      <c r="Z800" s="90"/>
      <c r="AA800" s="90"/>
      <c r="AB800" s="90"/>
    </row>
    <row r="801" spans="1:28" ht="16">
      <c r="A801" s="100"/>
      <c r="B801" s="91"/>
      <c r="C801" s="97"/>
      <c r="D801" s="98"/>
      <c r="E801" s="99"/>
      <c r="F801" s="92"/>
      <c r="G801" s="93" t="b">
        <v>0</v>
      </c>
      <c r="H801" s="93"/>
      <c r="I801" s="90"/>
      <c r="J801" s="90"/>
      <c r="K801" s="90"/>
      <c r="L801" s="90"/>
      <c r="M801" s="90"/>
      <c r="N801" s="90"/>
      <c r="O801" s="90"/>
      <c r="P801" s="90"/>
      <c r="Q801" s="90"/>
      <c r="R801" s="90"/>
      <c r="S801" s="90"/>
      <c r="T801" s="90"/>
      <c r="U801" s="90"/>
      <c r="V801" s="90"/>
      <c r="W801" s="90"/>
      <c r="X801" s="90"/>
      <c r="Y801" s="90"/>
      <c r="Z801" s="90"/>
      <c r="AA801" s="90"/>
      <c r="AB801" s="90"/>
    </row>
    <row r="802" spans="1:28" ht="16">
      <c r="A802" s="100"/>
      <c r="B802" s="87"/>
      <c r="C802" s="94"/>
      <c r="D802" s="95"/>
      <c r="E802" s="96"/>
      <c r="F802" s="88"/>
      <c r="G802" s="89" t="b">
        <v>0</v>
      </c>
      <c r="H802" s="89"/>
      <c r="I802" s="90"/>
      <c r="J802" s="90"/>
      <c r="K802" s="90"/>
      <c r="L802" s="90"/>
      <c r="M802" s="90"/>
      <c r="N802" s="90"/>
      <c r="O802" s="90"/>
      <c r="P802" s="90"/>
      <c r="Q802" s="90"/>
      <c r="R802" s="90"/>
      <c r="S802" s="90"/>
      <c r="T802" s="90"/>
      <c r="U802" s="90"/>
      <c r="V802" s="90"/>
      <c r="W802" s="90"/>
      <c r="X802" s="90"/>
      <c r="Y802" s="90"/>
      <c r="Z802" s="90"/>
      <c r="AA802" s="90"/>
      <c r="AB802" s="90"/>
    </row>
    <row r="803" spans="1:28" ht="16">
      <c r="A803" s="100"/>
      <c r="B803" s="91"/>
      <c r="C803" s="97"/>
      <c r="D803" s="98"/>
      <c r="E803" s="99"/>
      <c r="F803" s="92"/>
      <c r="G803" s="93" t="b">
        <v>0</v>
      </c>
      <c r="H803" s="93"/>
      <c r="I803" s="90"/>
      <c r="J803" s="90"/>
      <c r="K803" s="90"/>
      <c r="L803" s="90"/>
      <c r="M803" s="90"/>
      <c r="N803" s="90"/>
      <c r="O803" s="90"/>
      <c r="P803" s="90"/>
      <c r="Q803" s="90"/>
      <c r="R803" s="90"/>
      <c r="S803" s="90"/>
      <c r="T803" s="90"/>
      <c r="U803" s="90"/>
      <c r="V803" s="90"/>
      <c r="W803" s="90"/>
      <c r="X803" s="90"/>
      <c r="Y803" s="90"/>
      <c r="Z803" s="90"/>
      <c r="AA803" s="90"/>
      <c r="AB803" s="90"/>
    </row>
    <row r="804" spans="1:28" ht="16">
      <c r="A804" s="100"/>
      <c r="B804" s="87"/>
      <c r="C804" s="94"/>
      <c r="D804" s="95"/>
      <c r="E804" s="96"/>
      <c r="F804" s="88"/>
      <c r="G804" s="89" t="b">
        <v>0</v>
      </c>
      <c r="H804" s="89"/>
      <c r="I804" s="90"/>
      <c r="J804" s="90"/>
      <c r="K804" s="90"/>
      <c r="L804" s="90"/>
      <c r="M804" s="90"/>
      <c r="N804" s="90"/>
      <c r="O804" s="90"/>
      <c r="P804" s="90"/>
      <c r="Q804" s="90"/>
      <c r="R804" s="90"/>
      <c r="S804" s="90"/>
      <c r="T804" s="90"/>
      <c r="U804" s="90"/>
      <c r="V804" s="90"/>
      <c r="W804" s="90"/>
      <c r="X804" s="90"/>
      <c r="Y804" s="90"/>
      <c r="Z804" s="90"/>
      <c r="AA804" s="90"/>
      <c r="AB804" s="90"/>
    </row>
    <row r="805" spans="1:28" ht="16">
      <c r="A805" s="100"/>
      <c r="B805" s="91"/>
      <c r="C805" s="97"/>
      <c r="D805" s="98"/>
      <c r="E805" s="99"/>
      <c r="F805" s="92"/>
      <c r="G805" s="93" t="b">
        <v>0</v>
      </c>
      <c r="H805" s="93"/>
      <c r="I805" s="90"/>
      <c r="J805" s="90"/>
      <c r="K805" s="90"/>
      <c r="L805" s="90"/>
      <c r="M805" s="90"/>
      <c r="N805" s="90"/>
      <c r="O805" s="90"/>
      <c r="P805" s="90"/>
      <c r="Q805" s="90"/>
      <c r="R805" s="90"/>
      <c r="S805" s="90"/>
      <c r="T805" s="90"/>
      <c r="U805" s="90"/>
      <c r="V805" s="90"/>
      <c r="W805" s="90"/>
      <c r="X805" s="90"/>
      <c r="Y805" s="90"/>
      <c r="Z805" s="90"/>
      <c r="AA805" s="90"/>
      <c r="AB805" s="90"/>
    </row>
    <row r="806" spans="1:28" ht="16">
      <c r="A806" s="100"/>
      <c r="B806" s="87"/>
      <c r="C806" s="94"/>
      <c r="D806" s="95"/>
      <c r="E806" s="96"/>
      <c r="F806" s="88"/>
      <c r="G806" s="89" t="b">
        <v>0</v>
      </c>
      <c r="H806" s="89"/>
      <c r="I806" s="90"/>
      <c r="J806" s="90"/>
      <c r="K806" s="90"/>
      <c r="L806" s="90"/>
      <c r="M806" s="90"/>
      <c r="N806" s="90"/>
      <c r="O806" s="90"/>
      <c r="P806" s="90"/>
      <c r="Q806" s="90"/>
      <c r="R806" s="90"/>
      <c r="S806" s="90"/>
      <c r="T806" s="90"/>
      <c r="U806" s="90"/>
      <c r="V806" s="90"/>
      <c r="W806" s="90"/>
      <c r="X806" s="90"/>
      <c r="Y806" s="90"/>
      <c r="Z806" s="90"/>
      <c r="AA806" s="90"/>
      <c r="AB806" s="90"/>
    </row>
    <row r="807" spans="1:28" ht="16">
      <c r="A807" s="100"/>
      <c r="B807" s="91"/>
      <c r="C807" s="97"/>
      <c r="D807" s="98"/>
      <c r="E807" s="99"/>
      <c r="F807" s="92"/>
      <c r="G807" s="93" t="b">
        <v>0</v>
      </c>
      <c r="H807" s="93"/>
      <c r="I807" s="90"/>
      <c r="J807" s="90"/>
      <c r="K807" s="90"/>
      <c r="L807" s="90"/>
      <c r="M807" s="90"/>
      <c r="N807" s="90"/>
      <c r="O807" s="90"/>
      <c r="P807" s="90"/>
      <c r="Q807" s="90"/>
      <c r="R807" s="90"/>
      <c r="S807" s="90"/>
      <c r="T807" s="90"/>
      <c r="U807" s="90"/>
      <c r="V807" s="90"/>
      <c r="W807" s="90"/>
      <c r="X807" s="90"/>
      <c r="Y807" s="90"/>
      <c r="Z807" s="90"/>
      <c r="AA807" s="90"/>
      <c r="AB807" s="90"/>
    </row>
    <row r="808" spans="1:28" ht="16">
      <c r="A808" s="100"/>
      <c r="B808" s="87"/>
      <c r="C808" s="94"/>
      <c r="D808" s="95"/>
      <c r="E808" s="96"/>
      <c r="F808" s="88"/>
      <c r="G808" s="89" t="b">
        <v>0</v>
      </c>
      <c r="H808" s="89"/>
      <c r="I808" s="90"/>
      <c r="J808" s="90"/>
      <c r="K808" s="90"/>
      <c r="L808" s="90"/>
      <c r="M808" s="90"/>
      <c r="N808" s="90"/>
      <c r="O808" s="90"/>
      <c r="P808" s="90"/>
      <c r="Q808" s="90"/>
      <c r="R808" s="90"/>
      <c r="S808" s="90"/>
      <c r="T808" s="90"/>
      <c r="U808" s="90"/>
      <c r="V808" s="90"/>
      <c r="W808" s="90"/>
      <c r="X808" s="90"/>
      <c r="Y808" s="90"/>
      <c r="Z808" s="90"/>
      <c r="AA808" s="90"/>
      <c r="AB808" s="90"/>
    </row>
    <row r="809" spans="1:28" ht="16">
      <c r="A809" s="100"/>
      <c r="B809" s="91"/>
      <c r="C809" s="97"/>
      <c r="D809" s="98"/>
      <c r="E809" s="99"/>
      <c r="F809" s="92"/>
      <c r="G809" s="93" t="b">
        <v>0</v>
      </c>
      <c r="H809" s="93"/>
      <c r="I809" s="90"/>
      <c r="J809" s="90"/>
      <c r="K809" s="90"/>
      <c r="L809" s="90"/>
      <c r="M809" s="90"/>
      <c r="N809" s="90"/>
      <c r="O809" s="90"/>
      <c r="P809" s="90"/>
      <c r="Q809" s="90"/>
      <c r="R809" s="90"/>
      <c r="S809" s="90"/>
      <c r="T809" s="90"/>
      <c r="U809" s="90"/>
      <c r="V809" s="90"/>
      <c r="W809" s="90"/>
      <c r="X809" s="90"/>
      <c r="Y809" s="90"/>
      <c r="Z809" s="90"/>
      <c r="AA809" s="90"/>
      <c r="AB809" s="90"/>
    </row>
    <row r="810" spans="1:28" ht="16">
      <c r="A810" s="100"/>
      <c r="B810" s="87"/>
      <c r="C810" s="94"/>
      <c r="D810" s="95"/>
      <c r="E810" s="96"/>
      <c r="F810" s="88"/>
      <c r="G810" s="89" t="b">
        <v>0</v>
      </c>
      <c r="H810" s="89"/>
      <c r="I810" s="90"/>
      <c r="J810" s="90"/>
      <c r="K810" s="90"/>
      <c r="L810" s="90"/>
      <c r="M810" s="90"/>
      <c r="N810" s="90"/>
      <c r="O810" s="90"/>
      <c r="P810" s="90"/>
      <c r="Q810" s="90"/>
      <c r="R810" s="90"/>
      <c r="S810" s="90"/>
      <c r="T810" s="90"/>
      <c r="U810" s="90"/>
      <c r="V810" s="90"/>
      <c r="W810" s="90"/>
      <c r="X810" s="90"/>
      <c r="Y810" s="90"/>
      <c r="Z810" s="90"/>
      <c r="AA810" s="90"/>
      <c r="AB810" s="90"/>
    </row>
    <row r="811" spans="1:28" ht="16">
      <c r="A811" s="100"/>
      <c r="B811" s="91"/>
      <c r="C811" s="97"/>
      <c r="D811" s="98"/>
      <c r="E811" s="99"/>
      <c r="F811" s="92"/>
      <c r="G811" s="93" t="b">
        <v>0</v>
      </c>
      <c r="H811" s="93"/>
      <c r="I811" s="90"/>
      <c r="J811" s="90"/>
      <c r="K811" s="90"/>
      <c r="L811" s="90"/>
      <c r="M811" s="90"/>
      <c r="N811" s="90"/>
      <c r="O811" s="90"/>
      <c r="P811" s="90"/>
      <c r="Q811" s="90"/>
      <c r="R811" s="90"/>
      <c r="S811" s="90"/>
      <c r="T811" s="90"/>
      <c r="U811" s="90"/>
      <c r="V811" s="90"/>
      <c r="W811" s="90"/>
      <c r="X811" s="90"/>
      <c r="Y811" s="90"/>
      <c r="Z811" s="90"/>
      <c r="AA811" s="90"/>
      <c r="AB811" s="90"/>
    </row>
    <row r="812" spans="1:28" ht="16">
      <c r="A812" s="100"/>
      <c r="B812" s="87"/>
      <c r="C812" s="94"/>
      <c r="D812" s="95"/>
      <c r="E812" s="96"/>
      <c r="F812" s="88"/>
      <c r="G812" s="89" t="b">
        <v>0</v>
      </c>
      <c r="H812" s="89"/>
      <c r="I812" s="90"/>
      <c r="J812" s="90"/>
      <c r="K812" s="90"/>
      <c r="L812" s="90"/>
      <c r="M812" s="90"/>
      <c r="N812" s="90"/>
      <c r="O812" s="90"/>
      <c r="P812" s="90"/>
      <c r="Q812" s="90"/>
      <c r="R812" s="90"/>
      <c r="S812" s="90"/>
      <c r="T812" s="90"/>
      <c r="U812" s="90"/>
      <c r="V812" s="90"/>
      <c r="W812" s="90"/>
      <c r="X812" s="90"/>
      <c r="Y812" s="90"/>
      <c r="Z812" s="90"/>
      <c r="AA812" s="90"/>
      <c r="AB812" s="90"/>
    </row>
    <row r="813" spans="1:28" ht="16">
      <c r="A813" s="100"/>
      <c r="B813" s="91"/>
      <c r="C813" s="97"/>
      <c r="D813" s="98"/>
      <c r="E813" s="99"/>
      <c r="F813" s="92"/>
      <c r="G813" s="93" t="b">
        <v>0</v>
      </c>
      <c r="H813" s="93"/>
      <c r="I813" s="90"/>
      <c r="J813" s="90"/>
      <c r="K813" s="90"/>
      <c r="L813" s="90"/>
      <c r="M813" s="90"/>
      <c r="N813" s="90"/>
      <c r="O813" s="90"/>
      <c r="P813" s="90"/>
      <c r="Q813" s="90"/>
      <c r="R813" s="90"/>
      <c r="S813" s="90"/>
      <c r="T813" s="90"/>
      <c r="U813" s="90"/>
      <c r="V813" s="90"/>
      <c r="W813" s="90"/>
      <c r="X813" s="90"/>
      <c r="Y813" s="90"/>
      <c r="Z813" s="90"/>
      <c r="AA813" s="90"/>
      <c r="AB813" s="90"/>
    </row>
    <row r="814" spans="1:28" ht="16">
      <c r="A814" s="100"/>
      <c r="B814" s="87"/>
      <c r="C814" s="94"/>
      <c r="D814" s="95"/>
      <c r="E814" s="96"/>
      <c r="F814" s="88"/>
      <c r="G814" s="89" t="b">
        <v>0</v>
      </c>
      <c r="H814" s="89"/>
      <c r="I814" s="90"/>
      <c r="J814" s="90"/>
      <c r="K814" s="90"/>
      <c r="L814" s="90"/>
      <c r="M814" s="90"/>
      <c r="N814" s="90"/>
      <c r="O814" s="90"/>
      <c r="P814" s="90"/>
      <c r="Q814" s="90"/>
      <c r="R814" s="90"/>
      <c r="S814" s="90"/>
      <c r="T814" s="90"/>
      <c r="U814" s="90"/>
      <c r="V814" s="90"/>
      <c r="W814" s="90"/>
      <c r="X814" s="90"/>
      <c r="Y814" s="90"/>
      <c r="Z814" s="90"/>
      <c r="AA814" s="90"/>
      <c r="AB814" s="90"/>
    </row>
    <row r="815" spans="1:28" ht="16">
      <c r="A815" s="100"/>
      <c r="B815" s="91"/>
      <c r="C815" s="97"/>
      <c r="D815" s="98"/>
      <c r="E815" s="99"/>
      <c r="F815" s="92"/>
      <c r="G815" s="93" t="b">
        <v>0</v>
      </c>
      <c r="H815" s="93"/>
      <c r="I815" s="90"/>
      <c r="J815" s="90"/>
      <c r="K815" s="90"/>
      <c r="L815" s="90"/>
      <c r="M815" s="90"/>
      <c r="N815" s="90"/>
      <c r="O815" s="90"/>
      <c r="P815" s="90"/>
      <c r="Q815" s="90"/>
      <c r="R815" s="90"/>
      <c r="S815" s="90"/>
      <c r="T815" s="90"/>
      <c r="U815" s="90"/>
      <c r="V815" s="90"/>
      <c r="W815" s="90"/>
      <c r="X815" s="90"/>
      <c r="Y815" s="90"/>
      <c r="Z815" s="90"/>
      <c r="AA815" s="90"/>
      <c r="AB815" s="90"/>
    </row>
    <row r="816" spans="1:28" ht="16">
      <c r="A816" s="100"/>
      <c r="B816" s="87"/>
      <c r="C816" s="94"/>
      <c r="D816" s="95"/>
      <c r="E816" s="96"/>
      <c r="F816" s="88"/>
      <c r="G816" s="89" t="b">
        <v>0</v>
      </c>
      <c r="H816" s="89"/>
      <c r="I816" s="90"/>
      <c r="J816" s="90"/>
      <c r="K816" s="90"/>
      <c r="L816" s="90"/>
      <c r="M816" s="90"/>
      <c r="N816" s="90"/>
      <c r="O816" s="90"/>
      <c r="P816" s="90"/>
      <c r="Q816" s="90"/>
      <c r="R816" s="90"/>
      <c r="S816" s="90"/>
      <c r="T816" s="90"/>
      <c r="U816" s="90"/>
      <c r="V816" s="90"/>
      <c r="W816" s="90"/>
      <c r="X816" s="90"/>
      <c r="Y816" s="90"/>
      <c r="Z816" s="90"/>
      <c r="AA816" s="90"/>
      <c r="AB816" s="90"/>
    </row>
    <row r="817" spans="1:28" ht="16">
      <c r="A817" s="100"/>
      <c r="B817" s="91"/>
      <c r="C817" s="97"/>
      <c r="D817" s="98"/>
      <c r="E817" s="99"/>
      <c r="F817" s="92"/>
      <c r="G817" s="93" t="b">
        <v>0</v>
      </c>
      <c r="H817" s="93"/>
      <c r="I817" s="90"/>
      <c r="J817" s="90"/>
      <c r="K817" s="90"/>
      <c r="L817" s="90"/>
      <c r="M817" s="90"/>
      <c r="N817" s="90"/>
      <c r="O817" s="90"/>
      <c r="P817" s="90"/>
      <c r="Q817" s="90"/>
      <c r="R817" s="90"/>
      <c r="S817" s="90"/>
      <c r="T817" s="90"/>
      <c r="U817" s="90"/>
      <c r="V817" s="90"/>
      <c r="W817" s="90"/>
      <c r="X817" s="90"/>
      <c r="Y817" s="90"/>
      <c r="Z817" s="90"/>
      <c r="AA817" s="90"/>
      <c r="AB817" s="90"/>
    </row>
    <row r="818" spans="1:28" ht="16">
      <c r="A818" s="100"/>
      <c r="B818" s="87"/>
      <c r="C818" s="94"/>
      <c r="D818" s="95"/>
      <c r="E818" s="96"/>
      <c r="F818" s="88"/>
      <c r="G818" s="89" t="b">
        <v>0</v>
      </c>
      <c r="H818" s="89"/>
      <c r="I818" s="90"/>
      <c r="J818" s="90"/>
      <c r="K818" s="90"/>
      <c r="L818" s="90"/>
      <c r="M818" s="90"/>
      <c r="N818" s="90"/>
      <c r="O818" s="90"/>
      <c r="P818" s="90"/>
      <c r="Q818" s="90"/>
      <c r="R818" s="90"/>
      <c r="S818" s="90"/>
      <c r="T818" s="90"/>
      <c r="U818" s="90"/>
      <c r="V818" s="90"/>
      <c r="W818" s="90"/>
      <c r="X818" s="90"/>
      <c r="Y818" s="90"/>
      <c r="Z818" s="90"/>
      <c r="AA818" s="90"/>
      <c r="AB818" s="90"/>
    </row>
    <row r="819" spans="1:28" ht="16">
      <c r="A819" s="100"/>
      <c r="B819" s="91"/>
      <c r="C819" s="97"/>
      <c r="D819" s="98"/>
      <c r="E819" s="99"/>
      <c r="F819" s="92"/>
      <c r="G819" s="93" t="b">
        <v>0</v>
      </c>
      <c r="H819" s="93"/>
      <c r="I819" s="90"/>
      <c r="J819" s="90"/>
      <c r="K819" s="90"/>
      <c r="L819" s="90"/>
      <c r="M819" s="90"/>
      <c r="N819" s="90"/>
      <c r="O819" s="90"/>
      <c r="P819" s="90"/>
      <c r="Q819" s="90"/>
      <c r="R819" s="90"/>
      <c r="S819" s="90"/>
      <c r="T819" s="90"/>
      <c r="U819" s="90"/>
      <c r="V819" s="90"/>
      <c r="W819" s="90"/>
      <c r="X819" s="90"/>
      <c r="Y819" s="90"/>
      <c r="Z819" s="90"/>
      <c r="AA819" s="90"/>
      <c r="AB819" s="90"/>
    </row>
    <row r="820" spans="1:28" ht="16">
      <c r="A820" s="100"/>
      <c r="B820" s="87"/>
      <c r="C820" s="94"/>
      <c r="D820" s="95"/>
      <c r="E820" s="96"/>
      <c r="F820" s="88"/>
      <c r="G820" s="89" t="b">
        <v>0</v>
      </c>
      <c r="H820" s="89"/>
      <c r="I820" s="90"/>
      <c r="J820" s="90"/>
      <c r="K820" s="90"/>
      <c r="L820" s="90"/>
      <c r="M820" s="90"/>
      <c r="N820" s="90"/>
      <c r="O820" s="90"/>
      <c r="P820" s="90"/>
      <c r="Q820" s="90"/>
      <c r="R820" s="90"/>
      <c r="S820" s="90"/>
      <c r="T820" s="90"/>
      <c r="U820" s="90"/>
      <c r="V820" s="90"/>
      <c r="W820" s="90"/>
      <c r="X820" s="90"/>
      <c r="Y820" s="90"/>
      <c r="Z820" s="90"/>
      <c r="AA820" s="90"/>
      <c r="AB820" s="90"/>
    </row>
    <row r="821" spans="1:28" ht="16">
      <c r="A821" s="100"/>
      <c r="B821" s="91"/>
      <c r="C821" s="97"/>
      <c r="D821" s="98"/>
      <c r="E821" s="99"/>
      <c r="F821" s="92"/>
      <c r="G821" s="93" t="b">
        <v>0</v>
      </c>
      <c r="H821" s="93"/>
      <c r="I821" s="90"/>
      <c r="J821" s="90"/>
      <c r="K821" s="90"/>
      <c r="L821" s="90"/>
      <c r="M821" s="90"/>
      <c r="N821" s="90"/>
      <c r="O821" s="90"/>
      <c r="P821" s="90"/>
      <c r="Q821" s="90"/>
      <c r="R821" s="90"/>
      <c r="S821" s="90"/>
      <c r="T821" s="90"/>
      <c r="U821" s="90"/>
      <c r="V821" s="90"/>
      <c r="W821" s="90"/>
      <c r="X821" s="90"/>
      <c r="Y821" s="90"/>
      <c r="Z821" s="90"/>
      <c r="AA821" s="90"/>
      <c r="AB821" s="90"/>
    </row>
    <row r="822" spans="1:28" ht="16">
      <c r="A822" s="100"/>
      <c r="B822" s="87"/>
      <c r="C822" s="94"/>
      <c r="D822" s="95"/>
      <c r="E822" s="96"/>
      <c r="F822" s="88"/>
      <c r="G822" s="89" t="b">
        <v>0</v>
      </c>
      <c r="H822" s="89"/>
      <c r="I822" s="90"/>
      <c r="J822" s="90"/>
      <c r="K822" s="90"/>
      <c r="L822" s="90"/>
      <c r="M822" s="90"/>
      <c r="N822" s="90"/>
      <c r="O822" s="90"/>
      <c r="P822" s="90"/>
      <c r="Q822" s="90"/>
      <c r="R822" s="90"/>
      <c r="S822" s="90"/>
      <c r="T822" s="90"/>
      <c r="U822" s="90"/>
      <c r="V822" s="90"/>
      <c r="W822" s="90"/>
      <c r="X822" s="90"/>
      <c r="Y822" s="90"/>
      <c r="Z822" s="90"/>
      <c r="AA822" s="90"/>
      <c r="AB822" s="90"/>
    </row>
    <row r="823" spans="1:28" ht="16">
      <c r="A823" s="100"/>
      <c r="B823" s="91"/>
      <c r="C823" s="97"/>
      <c r="D823" s="98"/>
      <c r="E823" s="99"/>
      <c r="F823" s="92"/>
      <c r="G823" s="93" t="b">
        <v>0</v>
      </c>
      <c r="H823" s="93"/>
      <c r="I823" s="90"/>
      <c r="J823" s="90"/>
      <c r="K823" s="90"/>
      <c r="L823" s="90"/>
      <c r="M823" s="90"/>
      <c r="N823" s="90"/>
      <c r="O823" s="90"/>
      <c r="P823" s="90"/>
      <c r="Q823" s="90"/>
      <c r="R823" s="90"/>
      <c r="S823" s="90"/>
      <c r="T823" s="90"/>
      <c r="U823" s="90"/>
      <c r="V823" s="90"/>
      <c r="W823" s="90"/>
      <c r="X823" s="90"/>
      <c r="Y823" s="90"/>
      <c r="Z823" s="90"/>
      <c r="AA823" s="90"/>
      <c r="AB823" s="90"/>
    </row>
    <row r="824" spans="1:28" ht="16">
      <c r="A824" s="100"/>
      <c r="B824" s="87"/>
      <c r="C824" s="94"/>
      <c r="D824" s="95"/>
      <c r="E824" s="96"/>
      <c r="F824" s="88"/>
      <c r="G824" s="89" t="b">
        <v>0</v>
      </c>
      <c r="H824" s="89"/>
      <c r="I824" s="90"/>
      <c r="J824" s="90"/>
      <c r="K824" s="90"/>
      <c r="L824" s="90"/>
      <c r="M824" s="90"/>
      <c r="N824" s="90"/>
      <c r="O824" s="90"/>
      <c r="P824" s="90"/>
      <c r="Q824" s="90"/>
      <c r="R824" s="90"/>
      <c r="S824" s="90"/>
      <c r="T824" s="90"/>
      <c r="U824" s="90"/>
      <c r="V824" s="90"/>
      <c r="W824" s="90"/>
      <c r="X824" s="90"/>
      <c r="Y824" s="90"/>
      <c r="Z824" s="90"/>
      <c r="AA824" s="90"/>
      <c r="AB824" s="90"/>
    </row>
    <row r="825" spans="1:28" ht="16">
      <c r="A825" s="100"/>
      <c r="B825" s="91"/>
      <c r="C825" s="97"/>
      <c r="D825" s="98"/>
      <c r="E825" s="99"/>
      <c r="F825" s="92"/>
      <c r="G825" s="93" t="b">
        <v>0</v>
      </c>
      <c r="H825" s="93"/>
      <c r="I825" s="90"/>
      <c r="J825" s="90"/>
      <c r="K825" s="90"/>
      <c r="L825" s="90"/>
      <c r="M825" s="90"/>
      <c r="N825" s="90"/>
      <c r="O825" s="90"/>
      <c r="P825" s="90"/>
      <c r="Q825" s="90"/>
      <c r="R825" s="90"/>
      <c r="S825" s="90"/>
      <c r="T825" s="90"/>
      <c r="U825" s="90"/>
      <c r="V825" s="90"/>
      <c r="W825" s="90"/>
      <c r="X825" s="90"/>
      <c r="Y825" s="90"/>
      <c r="Z825" s="90"/>
      <c r="AA825" s="90"/>
      <c r="AB825" s="90"/>
    </row>
    <row r="826" spans="1:28" ht="16">
      <c r="A826" s="100"/>
      <c r="B826" s="87"/>
      <c r="C826" s="94"/>
      <c r="D826" s="95"/>
      <c r="E826" s="96"/>
      <c r="F826" s="88"/>
      <c r="G826" s="89" t="b">
        <v>0</v>
      </c>
      <c r="H826" s="89"/>
      <c r="I826" s="90"/>
      <c r="J826" s="90"/>
      <c r="K826" s="90"/>
      <c r="L826" s="90"/>
      <c r="M826" s="90"/>
      <c r="N826" s="90"/>
      <c r="O826" s="90"/>
      <c r="P826" s="90"/>
      <c r="Q826" s="90"/>
      <c r="R826" s="90"/>
      <c r="S826" s="90"/>
      <c r="T826" s="90"/>
      <c r="U826" s="90"/>
      <c r="V826" s="90"/>
      <c r="W826" s="90"/>
      <c r="X826" s="90"/>
      <c r="Y826" s="90"/>
      <c r="Z826" s="90"/>
      <c r="AA826" s="90"/>
      <c r="AB826" s="90"/>
    </row>
    <row r="827" spans="1:28" ht="16">
      <c r="A827" s="100"/>
      <c r="B827" s="91"/>
      <c r="C827" s="97"/>
      <c r="D827" s="98"/>
      <c r="E827" s="99"/>
      <c r="F827" s="92"/>
      <c r="G827" s="93" t="b">
        <v>0</v>
      </c>
      <c r="H827" s="93"/>
      <c r="I827" s="90"/>
      <c r="J827" s="90"/>
      <c r="K827" s="90"/>
      <c r="L827" s="90"/>
      <c r="M827" s="90"/>
      <c r="N827" s="90"/>
      <c r="O827" s="90"/>
      <c r="P827" s="90"/>
      <c r="Q827" s="90"/>
      <c r="R827" s="90"/>
      <c r="S827" s="90"/>
      <c r="T827" s="90"/>
      <c r="U827" s="90"/>
      <c r="V827" s="90"/>
      <c r="W827" s="90"/>
      <c r="X827" s="90"/>
      <c r="Y827" s="90"/>
      <c r="Z827" s="90"/>
      <c r="AA827" s="90"/>
      <c r="AB827" s="90"/>
    </row>
    <row r="828" spans="1:28" ht="16">
      <c r="A828" s="100"/>
      <c r="B828" s="87"/>
      <c r="C828" s="94"/>
      <c r="D828" s="95"/>
      <c r="E828" s="96"/>
      <c r="F828" s="88"/>
      <c r="G828" s="89" t="b">
        <v>0</v>
      </c>
      <c r="H828" s="89"/>
      <c r="I828" s="90"/>
      <c r="J828" s="90"/>
      <c r="K828" s="90"/>
      <c r="L828" s="90"/>
      <c r="M828" s="90"/>
      <c r="N828" s="90"/>
      <c r="O828" s="90"/>
      <c r="P828" s="90"/>
      <c r="Q828" s="90"/>
      <c r="R828" s="90"/>
      <c r="S828" s="90"/>
      <c r="T828" s="90"/>
      <c r="U828" s="90"/>
      <c r="V828" s="90"/>
      <c r="W828" s="90"/>
      <c r="X828" s="90"/>
      <c r="Y828" s="90"/>
      <c r="Z828" s="90"/>
      <c r="AA828" s="90"/>
      <c r="AB828" s="90"/>
    </row>
    <row r="829" spans="1:28" ht="16">
      <c r="A829" s="100"/>
      <c r="B829" s="91"/>
      <c r="C829" s="97"/>
      <c r="D829" s="98"/>
      <c r="E829" s="99"/>
      <c r="F829" s="92"/>
      <c r="G829" s="93" t="b">
        <v>0</v>
      </c>
      <c r="H829" s="93"/>
      <c r="I829" s="90"/>
      <c r="J829" s="90"/>
      <c r="K829" s="90"/>
      <c r="L829" s="90"/>
      <c r="M829" s="90"/>
      <c r="N829" s="90"/>
      <c r="O829" s="90"/>
      <c r="P829" s="90"/>
      <c r="Q829" s="90"/>
      <c r="R829" s="90"/>
      <c r="S829" s="90"/>
      <c r="T829" s="90"/>
      <c r="U829" s="90"/>
      <c r="V829" s="90"/>
      <c r="W829" s="90"/>
      <c r="X829" s="90"/>
      <c r="Y829" s="90"/>
      <c r="Z829" s="90"/>
      <c r="AA829" s="90"/>
      <c r="AB829" s="90"/>
    </row>
    <row r="830" spans="1:28" ht="16">
      <c r="A830" s="100"/>
      <c r="B830" s="87"/>
      <c r="C830" s="94"/>
      <c r="D830" s="95"/>
      <c r="E830" s="96"/>
      <c r="F830" s="88"/>
      <c r="G830" s="89" t="b">
        <v>0</v>
      </c>
      <c r="H830" s="89"/>
      <c r="I830" s="90"/>
      <c r="J830" s="90"/>
      <c r="K830" s="90"/>
      <c r="L830" s="90"/>
      <c r="M830" s="90"/>
      <c r="N830" s="90"/>
      <c r="O830" s="90"/>
      <c r="P830" s="90"/>
      <c r="Q830" s="90"/>
      <c r="R830" s="90"/>
      <c r="S830" s="90"/>
      <c r="T830" s="90"/>
      <c r="U830" s="90"/>
      <c r="V830" s="90"/>
      <c r="W830" s="90"/>
      <c r="X830" s="90"/>
      <c r="Y830" s="90"/>
      <c r="Z830" s="90"/>
      <c r="AA830" s="90"/>
      <c r="AB830" s="90"/>
    </row>
    <row r="831" spans="1:28" ht="16">
      <c r="A831" s="100"/>
      <c r="B831" s="91"/>
      <c r="C831" s="97"/>
      <c r="D831" s="98"/>
      <c r="E831" s="99"/>
      <c r="F831" s="92"/>
      <c r="G831" s="93" t="b">
        <v>0</v>
      </c>
      <c r="H831" s="93"/>
      <c r="I831" s="90"/>
      <c r="J831" s="90"/>
      <c r="K831" s="90"/>
      <c r="L831" s="90"/>
      <c r="M831" s="90"/>
      <c r="N831" s="90"/>
      <c r="O831" s="90"/>
      <c r="P831" s="90"/>
      <c r="Q831" s="90"/>
      <c r="R831" s="90"/>
      <c r="S831" s="90"/>
      <c r="T831" s="90"/>
      <c r="U831" s="90"/>
      <c r="V831" s="90"/>
      <c r="W831" s="90"/>
      <c r="X831" s="90"/>
      <c r="Y831" s="90"/>
      <c r="Z831" s="90"/>
      <c r="AA831" s="90"/>
      <c r="AB831" s="90"/>
    </row>
    <row r="832" spans="1:28" ht="16">
      <c r="A832" s="100"/>
      <c r="B832" s="87"/>
      <c r="C832" s="94"/>
      <c r="D832" s="95"/>
      <c r="E832" s="96"/>
      <c r="F832" s="88"/>
      <c r="G832" s="89" t="b">
        <v>0</v>
      </c>
      <c r="H832" s="89"/>
      <c r="I832" s="90"/>
      <c r="J832" s="90"/>
      <c r="K832" s="90"/>
      <c r="L832" s="90"/>
      <c r="M832" s="90"/>
      <c r="N832" s="90"/>
      <c r="O832" s="90"/>
      <c r="P832" s="90"/>
      <c r="Q832" s="90"/>
      <c r="R832" s="90"/>
      <c r="S832" s="90"/>
      <c r="T832" s="90"/>
      <c r="U832" s="90"/>
      <c r="V832" s="90"/>
      <c r="W832" s="90"/>
      <c r="X832" s="90"/>
      <c r="Y832" s="90"/>
      <c r="Z832" s="90"/>
      <c r="AA832" s="90"/>
      <c r="AB832" s="90"/>
    </row>
    <row r="833" spans="1:28" ht="16">
      <c r="A833" s="100"/>
      <c r="B833" s="91"/>
      <c r="C833" s="97"/>
      <c r="D833" s="98"/>
      <c r="E833" s="99"/>
      <c r="F833" s="92"/>
      <c r="G833" s="93" t="b">
        <v>0</v>
      </c>
      <c r="H833" s="93"/>
      <c r="I833" s="90"/>
      <c r="J833" s="90"/>
      <c r="K833" s="90"/>
      <c r="L833" s="90"/>
      <c r="M833" s="90"/>
      <c r="N833" s="90"/>
      <c r="O833" s="90"/>
      <c r="P833" s="90"/>
      <c r="Q833" s="90"/>
      <c r="R833" s="90"/>
      <c r="S833" s="90"/>
      <c r="T833" s="90"/>
      <c r="U833" s="90"/>
      <c r="V833" s="90"/>
      <c r="W833" s="90"/>
      <c r="X833" s="90"/>
      <c r="Y833" s="90"/>
      <c r="Z833" s="90"/>
      <c r="AA833" s="90"/>
      <c r="AB833" s="90"/>
    </row>
    <row r="834" spans="1:28" ht="16">
      <c r="A834" s="100"/>
      <c r="B834" s="87"/>
      <c r="C834" s="94"/>
      <c r="D834" s="95"/>
      <c r="E834" s="96"/>
      <c r="F834" s="88"/>
      <c r="G834" s="89" t="b">
        <v>0</v>
      </c>
      <c r="H834" s="89"/>
      <c r="I834" s="90"/>
      <c r="J834" s="90"/>
      <c r="K834" s="90"/>
      <c r="L834" s="90"/>
      <c r="M834" s="90"/>
      <c r="N834" s="90"/>
      <c r="O834" s="90"/>
      <c r="P834" s="90"/>
      <c r="Q834" s="90"/>
      <c r="R834" s="90"/>
      <c r="S834" s="90"/>
      <c r="T834" s="90"/>
      <c r="U834" s="90"/>
      <c r="V834" s="90"/>
      <c r="W834" s="90"/>
      <c r="X834" s="90"/>
      <c r="Y834" s="90"/>
      <c r="Z834" s="90"/>
      <c r="AA834" s="90"/>
      <c r="AB834" s="90"/>
    </row>
    <row r="835" spans="1:28" ht="16">
      <c r="A835" s="100"/>
      <c r="B835" s="91"/>
      <c r="C835" s="97"/>
      <c r="D835" s="98"/>
      <c r="E835" s="99"/>
      <c r="F835" s="92"/>
      <c r="G835" s="93" t="b">
        <v>0</v>
      </c>
      <c r="H835" s="93"/>
      <c r="I835" s="90"/>
      <c r="J835" s="90"/>
      <c r="K835" s="90"/>
      <c r="L835" s="90"/>
      <c r="M835" s="90"/>
      <c r="N835" s="90"/>
      <c r="O835" s="90"/>
      <c r="P835" s="90"/>
      <c r="Q835" s="90"/>
      <c r="R835" s="90"/>
      <c r="S835" s="90"/>
      <c r="T835" s="90"/>
      <c r="U835" s="90"/>
      <c r="V835" s="90"/>
      <c r="W835" s="90"/>
      <c r="X835" s="90"/>
      <c r="Y835" s="90"/>
      <c r="Z835" s="90"/>
      <c r="AA835" s="90"/>
      <c r="AB835" s="90"/>
    </row>
    <row r="836" spans="1:28" ht="16">
      <c r="A836" s="100"/>
      <c r="B836" s="87"/>
      <c r="C836" s="94"/>
      <c r="D836" s="95"/>
      <c r="E836" s="96"/>
      <c r="F836" s="88"/>
      <c r="G836" s="89" t="b">
        <v>0</v>
      </c>
      <c r="H836" s="89"/>
      <c r="I836" s="90"/>
      <c r="J836" s="90"/>
      <c r="K836" s="90"/>
      <c r="L836" s="90"/>
      <c r="M836" s="90"/>
      <c r="N836" s="90"/>
      <c r="O836" s="90"/>
      <c r="P836" s="90"/>
      <c r="Q836" s="90"/>
      <c r="R836" s="90"/>
      <c r="S836" s="90"/>
      <c r="T836" s="90"/>
      <c r="U836" s="90"/>
      <c r="V836" s="90"/>
      <c r="W836" s="90"/>
      <c r="X836" s="90"/>
      <c r="Y836" s="90"/>
      <c r="Z836" s="90"/>
      <c r="AA836" s="90"/>
      <c r="AB836" s="90"/>
    </row>
    <row r="837" spans="1:28" ht="16">
      <c r="A837" s="100"/>
      <c r="B837" s="91"/>
      <c r="C837" s="97"/>
      <c r="D837" s="98"/>
      <c r="E837" s="99"/>
      <c r="F837" s="92"/>
      <c r="G837" s="93" t="b">
        <v>0</v>
      </c>
      <c r="H837" s="93"/>
      <c r="I837" s="90"/>
      <c r="J837" s="90"/>
      <c r="K837" s="90"/>
      <c r="L837" s="90"/>
      <c r="M837" s="90"/>
      <c r="N837" s="90"/>
      <c r="O837" s="90"/>
      <c r="P837" s="90"/>
      <c r="Q837" s="90"/>
      <c r="R837" s="90"/>
      <c r="S837" s="90"/>
      <c r="T837" s="90"/>
      <c r="U837" s="90"/>
      <c r="V837" s="90"/>
      <c r="W837" s="90"/>
      <c r="X837" s="90"/>
      <c r="Y837" s="90"/>
      <c r="Z837" s="90"/>
      <c r="AA837" s="90"/>
      <c r="AB837" s="90"/>
    </row>
    <row r="838" spans="1:28" ht="16">
      <c r="A838" s="100"/>
      <c r="B838" s="87"/>
      <c r="C838" s="94"/>
      <c r="D838" s="95"/>
      <c r="E838" s="96"/>
      <c r="F838" s="88"/>
      <c r="G838" s="89" t="b">
        <v>0</v>
      </c>
      <c r="H838" s="89"/>
      <c r="I838" s="90"/>
      <c r="J838" s="90"/>
      <c r="K838" s="90"/>
      <c r="L838" s="90"/>
      <c r="M838" s="90"/>
      <c r="N838" s="90"/>
      <c r="O838" s="90"/>
      <c r="P838" s="90"/>
      <c r="Q838" s="90"/>
      <c r="R838" s="90"/>
      <c r="S838" s="90"/>
      <c r="T838" s="90"/>
      <c r="U838" s="90"/>
      <c r="V838" s="90"/>
      <c r="W838" s="90"/>
      <c r="X838" s="90"/>
      <c r="Y838" s="90"/>
      <c r="Z838" s="90"/>
      <c r="AA838" s="90"/>
      <c r="AB838" s="90"/>
    </row>
    <row r="839" spans="1:28" ht="16">
      <c r="A839" s="100"/>
      <c r="B839" s="91"/>
      <c r="C839" s="97"/>
      <c r="D839" s="98"/>
      <c r="E839" s="99"/>
      <c r="F839" s="92"/>
      <c r="G839" s="93" t="b">
        <v>0</v>
      </c>
      <c r="H839" s="93"/>
      <c r="I839" s="90"/>
      <c r="J839" s="90"/>
      <c r="K839" s="90"/>
      <c r="L839" s="90"/>
      <c r="M839" s="90"/>
      <c r="N839" s="90"/>
      <c r="O839" s="90"/>
      <c r="P839" s="90"/>
      <c r="Q839" s="90"/>
      <c r="R839" s="90"/>
      <c r="S839" s="90"/>
      <c r="T839" s="90"/>
      <c r="U839" s="90"/>
      <c r="V839" s="90"/>
      <c r="W839" s="90"/>
      <c r="X839" s="90"/>
      <c r="Y839" s="90"/>
      <c r="Z839" s="90"/>
      <c r="AA839" s="90"/>
      <c r="AB839" s="90"/>
    </row>
    <row r="840" spans="1:28" ht="16">
      <c r="A840" s="100"/>
      <c r="B840" s="87"/>
      <c r="C840" s="94"/>
      <c r="D840" s="95"/>
      <c r="E840" s="96"/>
      <c r="F840" s="88"/>
      <c r="G840" s="89" t="b">
        <v>0</v>
      </c>
      <c r="H840" s="89"/>
      <c r="I840" s="90"/>
      <c r="J840" s="90"/>
      <c r="K840" s="90"/>
      <c r="L840" s="90"/>
      <c r="M840" s="90"/>
      <c r="N840" s="90"/>
      <c r="O840" s="90"/>
      <c r="P840" s="90"/>
      <c r="Q840" s="90"/>
      <c r="R840" s="90"/>
      <c r="S840" s="90"/>
      <c r="T840" s="90"/>
      <c r="U840" s="90"/>
      <c r="V840" s="90"/>
      <c r="W840" s="90"/>
      <c r="X840" s="90"/>
      <c r="Y840" s="90"/>
      <c r="Z840" s="90"/>
      <c r="AA840" s="90"/>
      <c r="AB840" s="90"/>
    </row>
    <row r="841" spans="1:28" ht="16">
      <c r="A841" s="100"/>
      <c r="B841" s="91"/>
      <c r="C841" s="97"/>
      <c r="D841" s="98"/>
      <c r="E841" s="99"/>
      <c r="F841" s="92"/>
      <c r="G841" s="93" t="b">
        <v>0</v>
      </c>
      <c r="H841" s="93"/>
      <c r="I841" s="90"/>
      <c r="J841" s="90"/>
      <c r="K841" s="90"/>
      <c r="L841" s="90"/>
      <c r="M841" s="90"/>
      <c r="N841" s="90"/>
      <c r="O841" s="90"/>
      <c r="P841" s="90"/>
      <c r="Q841" s="90"/>
      <c r="R841" s="90"/>
      <c r="S841" s="90"/>
      <c r="T841" s="90"/>
      <c r="U841" s="90"/>
      <c r="V841" s="90"/>
      <c r="W841" s="90"/>
      <c r="X841" s="90"/>
      <c r="Y841" s="90"/>
      <c r="Z841" s="90"/>
      <c r="AA841" s="90"/>
      <c r="AB841" s="90"/>
    </row>
    <row r="842" spans="1:28" ht="16">
      <c r="A842" s="100"/>
      <c r="B842" s="87"/>
      <c r="C842" s="94"/>
      <c r="D842" s="95"/>
      <c r="E842" s="96"/>
      <c r="F842" s="88"/>
      <c r="G842" s="89" t="b">
        <v>0</v>
      </c>
      <c r="H842" s="89"/>
      <c r="I842" s="90"/>
      <c r="J842" s="90"/>
      <c r="K842" s="90"/>
      <c r="L842" s="90"/>
      <c r="M842" s="90"/>
      <c r="N842" s="90"/>
      <c r="O842" s="90"/>
      <c r="P842" s="90"/>
      <c r="Q842" s="90"/>
      <c r="R842" s="90"/>
      <c r="S842" s="90"/>
      <c r="T842" s="90"/>
      <c r="U842" s="90"/>
      <c r="V842" s="90"/>
      <c r="W842" s="90"/>
      <c r="X842" s="90"/>
      <c r="Y842" s="90"/>
      <c r="Z842" s="90"/>
      <c r="AA842" s="90"/>
      <c r="AB842" s="90"/>
    </row>
    <row r="843" spans="1:28" ht="16">
      <c r="A843" s="100"/>
      <c r="B843" s="91"/>
      <c r="C843" s="97"/>
      <c r="D843" s="98"/>
      <c r="E843" s="99"/>
      <c r="F843" s="92"/>
      <c r="G843" s="93" t="b">
        <v>0</v>
      </c>
      <c r="H843" s="93"/>
      <c r="I843" s="90"/>
      <c r="J843" s="90"/>
      <c r="K843" s="90"/>
      <c r="L843" s="90"/>
      <c r="M843" s="90"/>
      <c r="N843" s="90"/>
      <c r="O843" s="90"/>
      <c r="P843" s="90"/>
      <c r="Q843" s="90"/>
      <c r="R843" s="90"/>
      <c r="S843" s="90"/>
      <c r="T843" s="90"/>
      <c r="U843" s="90"/>
      <c r="V843" s="90"/>
      <c r="W843" s="90"/>
      <c r="X843" s="90"/>
      <c r="Y843" s="90"/>
      <c r="Z843" s="90"/>
      <c r="AA843" s="90"/>
      <c r="AB843" s="90"/>
    </row>
    <row r="844" spans="1:28" ht="16">
      <c r="A844" s="100"/>
      <c r="B844" s="87"/>
      <c r="C844" s="94"/>
      <c r="D844" s="95"/>
      <c r="E844" s="96"/>
      <c r="F844" s="88"/>
      <c r="G844" s="89" t="b">
        <v>0</v>
      </c>
      <c r="H844" s="89"/>
      <c r="I844" s="90"/>
      <c r="J844" s="90"/>
      <c r="K844" s="90"/>
      <c r="L844" s="90"/>
      <c r="M844" s="90"/>
      <c r="N844" s="90"/>
      <c r="O844" s="90"/>
      <c r="P844" s="90"/>
      <c r="Q844" s="90"/>
      <c r="R844" s="90"/>
      <c r="S844" s="90"/>
      <c r="T844" s="90"/>
      <c r="U844" s="90"/>
      <c r="V844" s="90"/>
      <c r="W844" s="90"/>
      <c r="X844" s="90"/>
      <c r="Y844" s="90"/>
      <c r="Z844" s="90"/>
      <c r="AA844" s="90"/>
      <c r="AB844" s="90"/>
    </row>
    <row r="845" spans="1:28" ht="16">
      <c r="A845" s="100"/>
      <c r="B845" s="91"/>
      <c r="C845" s="97"/>
      <c r="D845" s="98"/>
      <c r="E845" s="99"/>
      <c r="F845" s="92"/>
      <c r="G845" s="93" t="b">
        <v>0</v>
      </c>
      <c r="H845" s="93"/>
      <c r="I845" s="90"/>
      <c r="J845" s="90"/>
      <c r="K845" s="90"/>
      <c r="L845" s="90"/>
      <c r="M845" s="90"/>
      <c r="N845" s="90"/>
      <c r="O845" s="90"/>
      <c r="P845" s="90"/>
      <c r="Q845" s="90"/>
      <c r="R845" s="90"/>
      <c r="S845" s="90"/>
      <c r="T845" s="90"/>
      <c r="U845" s="90"/>
      <c r="V845" s="90"/>
      <c r="W845" s="90"/>
      <c r="X845" s="90"/>
      <c r="Y845" s="90"/>
      <c r="Z845" s="90"/>
      <c r="AA845" s="90"/>
      <c r="AB845" s="90"/>
    </row>
    <row r="846" spans="1:28" ht="16">
      <c r="A846" s="100"/>
      <c r="B846" s="87"/>
      <c r="C846" s="94"/>
      <c r="D846" s="95"/>
      <c r="E846" s="96"/>
      <c r="F846" s="88"/>
      <c r="G846" s="89" t="b">
        <v>0</v>
      </c>
      <c r="H846" s="89"/>
      <c r="I846" s="90"/>
      <c r="J846" s="90"/>
      <c r="K846" s="90"/>
      <c r="L846" s="90"/>
      <c r="M846" s="90"/>
      <c r="N846" s="90"/>
      <c r="O846" s="90"/>
      <c r="P846" s="90"/>
      <c r="Q846" s="90"/>
      <c r="R846" s="90"/>
      <c r="S846" s="90"/>
      <c r="T846" s="90"/>
      <c r="U846" s="90"/>
      <c r="V846" s="90"/>
      <c r="W846" s="90"/>
      <c r="X846" s="90"/>
      <c r="Y846" s="90"/>
      <c r="Z846" s="90"/>
      <c r="AA846" s="90"/>
      <c r="AB846" s="90"/>
    </row>
    <row r="847" spans="1:28" ht="16">
      <c r="A847" s="100"/>
      <c r="B847" s="91"/>
      <c r="C847" s="97"/>
      <c r="D847" s="98"/>
      <c r="E847" s="99"/>
      <c r="F847" s="92"/>
      <c r="G847" s="93" t="b">
        <v>0</v>
      </c>
      <c r="H847" s="93"/>
      <c r="I847" s="90"/>
      <c r="J847" s="90"/>
      <c r="K847" s="90"/>
      <c r="L847" s="90"/>
      <c r="M847" s="90"/>
      <c r="N847" s="90"/>
      <c r="O847" s="90"/>
      <c r="P847" s="90"/>
      <c r="Q847" s="90"/>
      <c r="R847" s="90"/>
      <c r="S847" s="90"/>
      <c r="T847" s="90"/>
      <c r="U847" s="90"/>
      <c r="V847" s="90"/>
      <c r="W847" s="90"/>
      <c r="X847" s="90"/>
      <c r="Y847" s="90"/>
      <c r="Z847" s="90"/>
      <c r="AA847" s="90"/>
      <c r="AB847" s="90"/>
    </row>
    <row r="848" spans="1:28" ht="16">
      <c r="A848" s="100"/>
      <c r="B848" s="87"/>
      <c r="C848" s="94"/>
      <c r="D848" s="95"/>
      <c r="E848" s="96"/>
      <c r="F848" s="88"/>
      <c r="G848" s="89" t="b">
        <v>0</v>
      </c>
      <c r="H848" s="89"/>
      <c r="I848" s="90"/>
      <c r="J848" s="90"/>
      <c r="K848" s="90"/>
      <c r="L848" s="90"/>
      <c r="M848" s="90"/>
      <c r="N848" s="90"/>
      <c r="O848" s="90"/>
      <c r="P848" s="90"/>
      <c r="Q848" s="90"/>
      <c r="R848" s="90"/>
      <c r="S848" s="90"/>
      <c r="T848" s="90"/>
      <c r="U848" s="90"/>
      <c r="V848" s="90"/>
      <c r="W848" s="90"/>
      <c r="X848" s="90"/>
      <c r="Y848" s="90"/>
      <c r="Z848" s="90"/>
      <c r="AA848" s="90"/>
      <c r="AB848" s="90"/>
    </row>
    <row r="849" spans="1:28" ht="16">
      <c r="A849" s="100"/>
      <c r="B849" s="91"/>
      <c r="C849" s="97"/>
      <c r="D849" s="98"/>
      <c r="E849" s="99"/>
      <c r="F849" s="92"/>
      <c r="G849" s="93" t="b">
        <v>0</v>
      </c>
      <c r="H849" s="93"/>
      <c r="I849" s="90"/>
      <c r="J849" s="90"/>
      <c r="K849" s="90"/>
      <c r="L849" s="90"/>
      <c r="M849" s="90"/>
      <c r="N849" s="90"/>
      <c r="O849" s="90"/>
      <c r="P849" s="90"/>
      <c r="Q849" s="90"/>
      <c r="R849" s="90"/>
      <c r="S849" s="90"/>
      <c r="T849" s="90"/>
      <c r="U849" s="90"/>
      <c r="V849" s="90"/>
      <c r="W849" s="90"/>
      <c r="X849" s="90"/>
      <c r="Y849" s="90"/>
      <c r="Z849" s="90"/>
      <c r="AA849" s="90"/>
      <c r="AB849" s="90"/>
    </row>
    <row r="850" spans="1:28" ht="16">
      <c r="A850" s="100"/>
      <c r="B850" s="87"/>
      <c r="C850" s="94"/>
      <c r="D850" s="95"/>
      <c r="E850" s="96"/>
      <c r="F850" s="88"/>
      <c r="G850" s="89" t="b">
        <v>0</v>
      </c>
      <c r="H850" s="89"/>
      <c r="I850" s="90"/>
      <c r="J850" s="90"/>
      <c r="K850" s="90"/>
      <c r="L850" s="90"/>
      <c r="M850" s="90"/>
      <c r="N850" s="90"/>
      <c r="O850" s="90"/>
      <c r="P850" s="90"/>
      <c r="Q850" s="90"/>
      <c r="R850" s="90"/>
      <c r="S850" s="90"/>
      <c r="T850" s="90"/>
      <c r="U850" s="90"/>
      <c r="V850" s="90"/>
      <c r="W850" s="90"/>
      <c r="X850" s="90"/>
      <c r="Y850" s="90"/>
      <c r="Z850" s="90"/>
      <c r="AA850" s="90"/>
      <c r="AB850" s="90"/>
    </row>
    <row r="851" spans="1:28" ht="16">
      <c r="A851" s="100"/>
      <c r="B851" s="91"/>
      <c r="C851" s="97"/>
      <c r="D851" s="98"/>
      <c r="E851" s="99"/>
      <c r="F851" s="92"/>
      <c r="G851" s="93" t="b">
        <v>0</v>
      </c>
      <c r="H851" s="93"/>
      <c r="I851" s="90"/>
      <c r="J851" s="90"/>
      <c r="K851" s="90"/>
      <c r="L851" s="90"/>
      <c r="M851" s="90"/>
      <c r="N851" s="90"/>
      <c r="O851" s="90"/>
      <c r="P851" s="90"/>
      <c r="Q851" s="90"/>
      <c r="R851" s="90"/>
      <c r="S851" s="90"/>
      <c r="T851" s="90"/>
      <c r="U851" s="90"/>
      <c r="V851" s="90"/>
      <c r="W851" s="90"/>
      <c r="X851" s="90"/>
      <c r="Y851" s="90"/>
      <c r="Z851" s="90"/>
      <c r="AA851" s="90"/>
      <c r="AB851" s="90"/>
    </row>
    <row r="852" spans="1:28" ht="16">
      <c r="A852" s="100"/>
      <c r="B852" s="87"/>
      <c r="C852" s="94"/>
      <c r="D852" s="95"/>
      <c r="E852" s="96"/>
      <c r="F852" s="88"/>
      <c r="G852" s="89" t="b">
        <v>0</v>
      </c>
      <c r="H852" s="89"/>
      <c r="I852" s="90"/>
      <c r="J852" s="90"/>
      <c r="K852" s="90"/>
      <c r="L852" s="90"/>
      <c r="M852" s="90"/>
      <c r="N852" s="90"/>
      <c r="O852" s="90"/>
      <c r="P852" s="90"/>
      <c r="Q852" s="90"/>
      <c r="R852" s="90"/>
      <c r="S852" s="90"/>
      <c r="T852" s="90"/>
      <c r="U852" s="90"/>
      <c r="V852" s="90"/>
      <c r="W852" s="90"/>
      <c r="X852" s="90"/>
      <c r="Y852" s="90"/>
      <c r="Z852" s="90"/>
      <c r="AA852" s="90"/>
      <c r="AB852" s="90"/>
    </row>
    <row r="853" spans="1:28" ht="16">
      <c r="A853" s="100"/>
      <c r="B853" s="91"/>
      <c r="C853" s="97"/>
      <c r="D853" s="98"/>
      <c r="E853" s="99"/>
      <c r="F853" s="92"/>
      <c r="G853" s="93" t="b">
        <v>0</v>
      </c>
      <c r="H853" s="93"/>
      <c r="I853" s="90"/>
      <c r="J853" s="90"/>
      <c r="K853" s="90"/>
      <c r="L853" s="90"/>
      <c r="M853" s="90"/>
      <c r="N853" s="90"/>
      <c r="O853" s="90"/>
      <c r="P853" s="90"/>
      <c r="Q853" s="90"/>
      <c r="R853" s="90"/>
      <c r="S853" s="90"/>
      <c r="T853" s="90"/>
      <c r="U853" s="90"/>
      <c r="V853" s="90"/>
      <c r="W853" s="90"/>
      <c r="X853" s="90"/>
      <c r="Y853" s="90"/>
      <c r="Z853" s="90"/>
      <c r="AA853" s="90"/>
      <c r="AB853" s="90"/>
    </row>
    <row r="854" spans="1:28" ht="16">
      <c r="A854" s="100"/>
      <c r="B854" s="87"/>
      <c r="C854" s="94"/>
      <c r="D854" s="95"/>
      <c r="E854" s="96"/>
      <c r="F854" s="88"/>
      <c r="G854" s="89" t="b">
        <v>0</v>
      </c>
      <c r="H854" s="89"/>
      <c r="I854" s="90"/>
      <c r="J854" s="90"/>
      <c r="K854" s="90"/>
      <c r="L854" s="90"/>
      <c r="M854" s="90"/>
      <c r="N854" s="90"/>
      <c r="O854" s="90"/>
      <c r="P854" s="90"/>
      <c r="Q854" s="90"/>
      <c r="R854" s="90"/>
      <c r="S854" s="90"/>
      <c r="T854" s="90"/>
      <c r="U854" s="90"/>
      <c r="V854" s="90"/>
      <c r="W854" s="90"/>
      <c r="X854" s="90"/>
      <c r="Y854" s="90"/>
      <c r="Z854" s="90"/>
      <c r="AA854" s="90"/>
      <c r="AB854" s="90"/>
    </row>
    <row r="855" spans="1:28" ht="16">
      <c r="A855" s="100"/>
      <c r="B855" s="91"/>
      <c r="C855" s="97"/>
      <c r="D855" s="98"/>
      <c r="E855" s="99"/>
      <c r="F855" s="92"/>
      <c r="G855" s="93" t="b">
        <v>0</v>
      </c>
      <c r="H855" s="93"/>
      <c r="I855" s="90"/>
      <c r="J855" s="90"/>
      <c r="K855" s="90"/>
      <c r="L855" s="90"/>
      <c r="M855" s="90"/>
      <c r="N855" s="90"/>
      <c r="O855" s="90"/>
      <c r="P855" s="90"/>
      <c r="Q855" s="90"/>
      <c r="R855" s="90"/>
      <c r="S855" s="90"/>
      <c r="T855" s="90"/>
      <c r="U855" s="90"/>
      <c r="V855" s="90"/>
      <c r="W855" s="90"/>
      <c r="X855" s="90"/>
      <c r="Y855" s="90"/>
      <c r="Z855" s="90"/>
      <c r="AA855" s="90"/>
      <c r="AB855" s="90"/>
    </row>
    <row r="856" spans="1:28" ht="16">
      <c r="A856" s="100"/>
      <c r="B856" s="87"/>
      <c r="C856" s="94"/>
      <c r="D856" s="95"/>
      <c r="E856" s="96"/>
      <c r="F856" s="88"/>
      <c r="G856" s="89" t="b">
        <v>0</v>
      </c>
      <c r="H856" s="89"/>
      <c r="I856" s="90"/>
      <c r="J856" s="90"/>
      <c r="K856" s="90"/>
      <c r="L856" s="90"/>
      <c r="M856" s="90"/>
      <c r="N856" s="90"/>
      <c r="O856" s="90"/>
      <c r="P856" s="90"/>
      <c r="Q856" s="90"/>
      <c r="R856" s="90"/>
      <c r="S856" s="90"/>
      <c r="T856" s="90"/>
      <c r="U856" s="90"/>
      <c r="V856" s="90"/>
      <c r="W856" s="90"/>
      <c r="X856" s="90"/>
      <c r="Y856" s="90"/>
      <c r="Z856" s="90"/>
      <c r="AA856" s="90"/>
      <c r="AB856" s="90"/>
    </row>
    <row r="857" spans="1:28" ht="16">
      <c r="A857" s="100"/>
      <c r="B857" s="91"/>
      <c r="C857" s="97"/>
      <c r="D857" s="98"/>
      <c r="E857" s="99"/>
      <c r="F857" s="92"/>
      <c r="G857" s="93" t="b">
        <v>0</v>
      </c>
      <c r="H857" s="93"/>
      <c r="I857" s="90"/>
      <c r="J857" s="90"/>
      <c r="K857" s="90"/>
      <c r="L857" s="90"/>
      <c r="M857" s="90"/>
      <c r="N857" s="90"/>
      <c r="O857" s="90"/>
      <c r="P857" s="90"/>
      <c r="Q857" s="90"/>
      <c r="R857" s="90"/>
      <c r="S857" s="90"/>
      <c r="T857" s="90"/>
      <c r="U857" s="90"/>
      <c r="V857" s="90"/>
      <c r="W857" s="90"/>
      <c r="X857" s="90"/>
      <c r="Y857" s="90"/>
      <c r="Z857" s="90"/>
      <c r="AA857" s="90"/>
      <c r="AB857" s="90"/>
    </row>
    <row r="858" spans="1:28" ht="16">
      <c r="A858" s="100"/>
      <c r="B858" s="87"/>
      <c r="C858" s="94"/>
      <c r="D858" s="95"/>
      <c r="E858" s="96"/>
      <c r="F858" s="88"/>
      <c r="G858" s="89" t="b">
        <v>0</v>
      </c>
      <c r="H858" s="89"/>
      <c r="I858" s="90"/>
      <c r="J858" s="90"/>
      <c r="K858" s="90"/>
      <c r="L858" s="90"/>
      <c r="M858" s="90"/>
      <c r="N858" s="90"/>
      <c r="O858" s="90"/>
      <c r="P858" s="90"/>
      <c r="Q858" s="90"/>
      <c r="R858" s="90"/>
      <c r="S858" s="90"/>
      <c r="T858" s="90"/>
      <c r="U858" s="90"/>
      <c r="V858" s="90"/>
      <c r="W858" s="90"/>
      <c r="X858" s="90"/>
      <c r="Y858" s="90"/>
      <c r="Z858" s="90"/>
      <c r="AA858" s="90"/>
      <c r="AB858" s="90"/>
    </row>
    <row r="859" spans="1:28" ht="16">
      <c r="A859" s="100"/>
      <c r="B859" s="91"/>
      <c r="C859" s="97"/>
      <c r="D859" s="98"/>
      <c r="E859" s="99"/>
      <c r="F859" s="92"/>
      <c r="G859" s="93" t="b">
        <v>0</v>
      </c>
      <c r="H859" s="93"/>
      <c r="I859" s="90"/>
      <c r="J859" s="90"/>
      <c r="K859" s="90"/>
      <c r="L859" s="90"/>
      <c r="M859" s="90"/>
      <c r="N859" s="90"/>
      <c r="O859" s="90"/>
      <c r="P859" s="90"/>
      <c r="Q859" s="90"/>
      <c r="R859" s="90"/>
      <c r="S859" s="90"/>
      <c r="T859" s="90"/>
      <c r="U859" s="90"/>
      <c r="V859" s="90"/>
      <c r="W859" s="90"/>
      <c r="X859" s="90"/>
      <c r="Y859" s="90"/>
      <c r="Z859" s="90"/>
      <c r="AA859" s="90"/>
      <c r="AB859" s="90"/>
    </row>
    <row r="860" spans="1:28" ht="16">
      <c r="A860" s="100"/>
      <c r="B860" s="87"/>
      <c r="C860" s="94"/>
      <c r="D860" s="95"/>
      <c r="E860" s="96"/>
      <c r="F860" s="88"/>
      <c r="G860" s="89" t="b">
        <v>0</v>
      </c>
      <c r="H860" s="89"/>
      <c r="I860" s="90"/>
      <c r="J860" s="90"/>
      <c r="K860" s="90"/>
      <c r="L860" s="90"/>
      <c r="M860" s="90"/>
      <c r="N860" s="90"/>
      <c r="O860" s="90"/>
      <c r="P860" s="90"/>
      <c r="Q860" s="90"/>
      <c r="R860" s="90"/>
      <c r="S860" s="90"/>
      <c r="T860" s="90"/>
      <c r="U860" s="90"/>
      <c r="V860" s="90"/>
      <c r="W860" s="90"/>
      <c r="X860" s="90"/>
      <c r="Y860" s="90"/>
      <c r="Z860" s="90"/>
      <c r="AA860" s="90"/>
      <c r="AB860" s="90"/>
    </row>
    <row r="861" spans="1:28" ht="16">
      <c r="A861" s="100"/>
      <c r="B861" s="91"/>
      <c r="C861" s="97"/>
      <c r="D861" s="98"/>
      <c r="E861" s="99"/>
      <c r="F861" s="92"/>
      <c r="G861" s="93" t="b">
        <v>0</v>
      </c>
      <c r="H861" s="93"/>
      <c r="I861" s="90"/>
      <c r="J861" s="90"/>
      <c r="K861" s="90"/>
      <c r="L861" s="90"/>
      <c r="M861" s="90"/>
      <c r="N861" s="90"/>
      <c r="O861" s="90"/>
      <c r="P861" s="90"/>
      <c r="Q861" s="90"/>
      <c r="R861" s="90"/>
      <c r="S861" s="90"/>
      <c r="T861" s="90"/>
      <c r="U861" s="90"/>
      <c r="V861" s="90"/>
      <c r="W861" s="90"/>
      <c r="X861" s="90"/>
      <c r="Y861" s="90"/>
      <c r="Z861" s="90"/>
      <c r="AA861" s="90"/>
      <c r="AB861" s="90"/>
    </row>
    <row r="862" spans="1:28" ht="16">
      <c r="A862" s="100"/>
      <c r="B862" s="87"/>
      <c r="C862" s="94"/>
      <c r="D862" s="95"/>
      <c r="E862" s="96"/>
      <c r="F862" s="88"/>
      <c r="G862" s="89" t="b">
        <v>0</v>
      </c>
      <c r="H862" s="89"/>
      <c r="I862" s="90"/>
      <c r="J862" s="90"/>
      <c r="K862" s="90"/>
      <c r="L862" s="90"/>
      <c r="M862" s="90"/>
      <c r="N862" s="90"/>
      <c r="O862" s="90"/>
      <c r="P862" s="90"/>
      <c r="Q862" s="90"/>
      <c r="R862" s="90"/>
      <c r="S862" s="90"/>
      <c r="T862" s="90"/>
      <c r="U862" s="90"/>
      <c r="V862" s="90"/>
      <c r="W862" s="90"/>
      <c r="X862" s="90"/>
      <c r="Y862" s="90"/>
      <c r="Z862" s="90"/>
      <c r="AA862" s="90"/>
      <c r="AB862" s="90"/>
    </row>
    <row r="863" spans="1:28" ht="16">
      <c r="A863" s="100"/>
      <c r="B863" s="91"/>
      <c r="C863" s="97"/>
      <c r="D863" s="98"/>
      <c r="E863" s="99"/>
      <c r="F863" s="92"/>
      <c r="G863" s="93" t="b">
        <v>0</v>
      </c>
      <c r="H863" s="93"/>
      <c r="I863" s="90"/>
      <c r="J863" s="90"/>
      <c r="K863" s="90"/>
      <c r="L863" s="90"/>
      <c r="M863" s="90"/>
      <c r="N863" s="90"/>
      <c r="O863" s="90"/>
      <c r="P863" s="90"/>
      <c r="Q863" s="90"/>
      <c r="R863" s="90"/>
      <c r="S863" s="90"/>
      <c r="T863" s="90"/>
      <c r="U863" s="90"/>
      <c r="V863" s="90"/>
      <c r="W863" s="90"/>
      <c r="X863" s="90"/>
      <c r="Y863" s="90"/>
      <c r="Z863" s="90"/>
      <c r="AA863" s="90"/>
      <c r="AB863" s="90"/>
    </row>
    <row r="864" spans="1:28" ht="16">
      <c r="A864" s="100"/>
      <c r="B864" s="87"/>
      <c r="C864" s="94"/>
      <c r="D864" s="95"/>
      <c r="E864" s="96"/>
      <c r="F864" s="88"/>
      <c r="G864" s="89" t="b">
        <v>0</v>
      </c>
      <c r="H864" s="89"/>
      <c r="I864" s="90"/>
      <c r="J864" s="90"/>
      <c r="K864" s="90"/>
      <c r="L864" s="90"/>
      <c r="M864" s="90"/>
      <c r="N864" s="90"/>
      <c r="O864" s="90"/>
      <c r="P864" s="90"/>
      <c r="Q864" s="90"/>
      <c r="R864" s="90"/>
      <c r="S864" s="90"/>
      <c r="T864" s="90"/>
      <c r="U864" s="90"/>
      <c r="V864" s="90"/>
      <c r="W864" s="90"/>
      <c r="X864" s="90"/>
      <c r="Y864" s="90"/>
      <c r="Z864" s="90"/>
      <c r="AA864" s="90"/>
      <c r="AB864" s="90"/>
    </row>
    <row r="865" spans="1:28" ht="16">
      <c r="A865" s="100"/>
      <c r="B865" s="91"/>
      <c r="C865" s="97"/>
      <c r="D865" s="98"/>
      <c r="E865" s="99"/>
      <c r="F865" s="92"/>
      <c r="G865" s="93" t="b">
        <v>0</v>
      </c>
      <c r="H865" s="93"/>
      <c r="I865" s="90"/>
      <c r="J865" s="90"/>
      <c r="K865" s="90"/>
      <c r="L865" s="90"/>
      <c r="M865" s="90"/>
      <c r="N865" s="90"/>
      <c r="O865" s="90"/>
      <c r="P865" s="90"/>
      <c r="Q865" s="90"/>
      <c r="R865" s="90"/>
      <c r="S865" s="90"/>
      <c r="T865" s="90"/>
      <c r="U865" s="90"/>
      <c r="V865" s="90"/>
      <c r="W865" s="90"/>
      <c r="X865" s="90"/>
      <c r="Y865" s="90"/>
      <c r="Z865" s="90"/>
      <c r="AA865" s="90"/>
      <c r="AB865" s="90"/>
    </row>
    <row r="866" spans="1:28" ht="16">
      <c r="A866" s="100"/>
      <c r="B866" s="87"/>
      <c r="C866" s="94"/>
      <c r="D866" s="95"/>
      <c r="E866" s="96"/>
      <c r="F866" s="88"/>
      <c r="G866" s="89" t="b">
        <v>0</v>
      </c>
      <c r="H866" s="89"/>
      <c r="I866" s="90"/>
      <c r="J866" s="90"/>
      <c r="K866" s="90"/>
      <c r="L866" s="90"/>
      <c r="M866" s="90"/>
      <c r="N866" s="90"/>
      <c r="O866" s="90"/>
      <c r="P866" s="90"/>
      <c r="Q866" s="90"/>
      <c r="R866" s="90"/>
      <c r="S866" s="90"/>
      <c r="T866" s="90"/>
      <c r="U866" s="90"/>
      <c r="V866" s="90"/>
      <c r="W866" s="90"/>
      <c r="X866" s="90"/>
      <c r="Y866" s="90"/>
      <c r="Z866" s="90"/>
      <c r="AA866" s="90"/>
      <c r="AB866" s="90"/>
    </row>
    <row r="867" spans="1:28" ht="16">
      <c r="A867" s="100"/>
      <c r="B867" s="91"/>
      <c r="C867" s="97"/>
      <c r="D867" s="98"/>
      <c r="E867" s="99"/>
      <c r="F867" s="92"/>
      <c r="G867" s="93" t="b">
        <v>0</v>
      </c>
      <c r="H867" s="93"/>
      <c r="I867" s="90"/>
      <c r="J867" s="90"/>
      <c r="K867" s="90"/>
      <c r="L867" s="90"/>
      <c r="M867" s="90"/>
      <c r="N867" s="90"/>
      <c r="O867" s="90"/>
      <c r="P867" s="90"/>
      <c r="Q867" s="90"/>
      <c r="R867" s="90"/>
      <c r="S867" s="90"/>
      <c r="T867" s="90"/>
      <c r="U867" s="90"/>
      <c r="V867" s="90"/>
      <c r="W867" s="90"/>
      <c r="X867" s="90"/>
      <c r="Y867" s="90"/>
      <c r="Z867" s="90"/>
      <c r="AA867" s="90"/>
      <c r="AB867" s="90"/>
    </row>
    <row r="868" spans="1:28" ht="16">
      <c r="A868" s="100"/>
      <c r="B868" s="87"/>
      <c r="C868" s="94"/>
      <c r="D868" s="95"/>
      <c r="E868" s="96"/>
      <c r="F868" s="88"/>
      <c r="G868" s="89" t="b">
        <v>0</v>
      </c>
      <c r="H868" s="89"/>
      <c r="I868" s="90"/>
      <c r="J868" s="90"/>
      <c r="K868" s="90"/>
      <c r="L868" s="90"/>
      <c r="M868" s="90"/>
      <c r="N868" s="90"/>
      <c r="O868" s="90"/>
      <c r="P868" s="90"/>
      <c r="Q868" s="90"/>
      <c r="R868" s="90"/>
      <c r="S868" s="90"/>
      <c r="T868" s="90"/>
      <c r="U868" s="90"/>
      <c r="V868" s="90"/>
      <c r="W868" s="90"/>
      <c r="X868" s="90"/>
      <c r="Y868" s="90"/>
      <c r="Z868" s="90"/>
      <c r="AA868" s="90"/>
      <c r="AB868" s="90"/>
    </row>
    <row r="869" spans="1:28" ht="16">
      <c r="A869" s="100"/>
      <c r="B869" s="91"/>
      <c r="C869" s="97"/>
      <c r="D869" s="98"/>
      <c r="E869" s="99"/>
      <c r="F869" s="92"/>
      <c r="G869" s="93" t="b">
        <v>0</v>
      </c>
      <c r="H869" s="93"/>
      <c r="I869" s="90"/>
      <c r="J869" s="90"/>
      <c r="K869" s="90"/>
      <c r="L869" s="90"/>
      <c r="M869" s="90"/>
      <c r="N869" s="90"/>
      <c r="O869" s="90"/>
      <c r="P869" s="90"/>
      <c r="Q869" s="90"/>
      <c r="R869" s="90"/>
      <c r="S869" s="90"/>
      <c r="T869" s="90"/>
      <c r="U869" s="90"/>
      <c r="V869" s="90"/>
      <c r="W869" s="90"/>
      <c r="X869" s="90"/>
      <c r="Y869" s="90"/>
      <c r="Z869" s="90"/>
      <c r="AA869" s="90"/>
      <c r="AB869" s="90"/>
    </row>
    <row r="870" spans="1:28" ht="16">
      <c r="A870" s="100"/>
      <c r="B870" s="87"/>
      <c r="C870" s="94"/>
      <c r="D870" s="95"/>
      <c r="E870" s="96"/>
      <c r="F870" s="88"/>
      <c r="G870" s="89" t="b">
        <v>0</v>
      </c>
      <c r="H870" s="89"/>
      <c r="I870" s="90"/>
      <c r="J870" s="90"/>
      <c r="K870" s="90"/>
      <c r="L870" s="90"/>
      <c r="M870" s="90"/>
      <c r="N870" s="90"/>
      <c r="O870" s="90"/>
      <c r="P870" s="90"/>
      <c r="Q870" s="90"/>
      <c r="R870" s="90"/>
      <c r="S870" s="90"/>
      <c r="T870" s="90"/>
      <c r="U870" s="90"/>
      <c r="V870" s="90"/>
      <c r="W870" s="90"/>
      <c r="X870" s="90"/>
      <c r="Y870" s="90"/>
      <c r="Z870" s="90"/>
      <c r="AA870" s="90"/>
      <c r="AB870" s="90"/>
    </row>
    <row r="871" spans="1:28" ht="16">
      <c r="A871" s="100"/>
      <c r="B871" s="91"/>
      <c r="C871" s="97"/>
      <c r="D871" s="98"/>
      <c r="E871" s="99"/>
      <c r="F871" s="92"/>
      <c r="G871" s="93" t="b">
        <v>0</v>
      </c>
      <c r="H871" s="93"/>
      <c r="I871" s="90"/>
      <c r="J871" s="90"/>
      <c r="K871" s="90"/>
      <c r="L871" s="90"/>
      <c r="M871" s="90"/>
      <c r="N871" s="90"/>
      <c r="O871" s="90"/>
      <c r="P871" s="90"/>
      <c r="Q871" s="90"/>
      <c r="R871" s="90"/>
      <c r="S871" s="90"/>
      <c r="T871" s="90"/>
      <c r="U871" s="90"/>
      <c r="V871" s="90"/>
      <c r="W871" s="90"/>
      <c r="X871" s="90"/>
      <c r="Y871" s="90"/>
      <c r="Z871" s="90"/>
      <c r="AA871" s="90"/>
      <c r="AB871" s="90"/>
    </row>
    <row r="872" spans="1:28" ht="16">
      <c r="A872" s="100"/>
      <c r="B872" s="87"/>
      <c r="C872" s="94"/>
      <c r="D872" s="95"/>
      <c r="E872" s="96"/>
      <c r="F872" s="88"/>
      <c r="G872" s="89" t="b">
        <v>0</v>
      </c>
      <c r="H872" s="89"/>
      <c r="I872" s="90"/>
      <c r="J872" s="90"/>
      <c r="K872" s="90"/>
      <c r="L872" s="90"/>
      <c r="M872" s="90"/>
      <c r="N872" s="90"/>
      <c r="O872" s="90"/>
      <c r="P872" s="90"/>
      <c r="Q872" s="90"/>
      <c r="R872" s="90"/>
      <c r="S872" s="90"/>
      <c r="T872" s="90"/>
      <c r="U872" s="90"/>
      <c r="V872" s="90"/>
      <c r="W872" s="90"/>
      <c r="X872" s="90"/>
      <c r="Y872" s="90"/>
      <c r="Z872" s="90"/>
      <c r="AA872" s="90"/>
      <c r="AB872" s="90"/>
    </row>
    <row r="873" spans="1:28" ht="16">
      <c r="A873" s="100"/>
      <c r="B873" s="91"/>
      <c r="C873" s="97"/>
      <c r="D873" s="98"/>
      <c r="E873" s="99"/>
      <c r="F873" s="92"/>
      <c r="G873" s="93" t="b">
        <v>0</v>
      </c>
      <c r="H873" s="93"/>
      <c r="I873" s="90"/>
      <c r="J873" s="90"/>
      <c r="K873" s="90"/>
      <c r="L873" s="90"/>
      <c r="M873" s="90"/>
      <c r="N873" s="90"/>
      <c r="O873" s="90"/>
      <c r="P873" s="90"/>
      <c r="Q873" s="90"/>
      <c r="R873" s="90"/>
      <c r="S873" s="90"/>
      <c r="T873" s="90"/>
      <c r="U873" s="90"/>
      <c r="V873" s="90"/>
      <c r="W873" s="90"/>
      <c r="X873" s="90"/>
      <c r="Y873" s="90"/>
      <c r="Z873" s="90"/>
      <c r="AA873" s="90"/>
      <c r="AB873" s="90"/>
    </row>
    <row r="874" spans="1:28" ht="16">
      <c r="A874" s="100"/>
      <c r="B874" s="87"/>
      <c r="C874" s="94"/>
      <c r="D874" s="95"/>
      <c r="E874" s="96"/>
      <c r="F874" s="88"/>
      <c r="G874" s="89" t="b">
        <v>0</v>
      </c>
      <c r="H874" s="89"/>
      <c r="I874" s="90"/>
      <c r="J874" s="90"/>
      <c r="K874" s="90"/>
      <c r="L874" s="90"/>
      <c r="M874" s="90"/>
      <c r="N874" s="90"/>
      <c r="O874" s="90"/>
      <c r="P874" s="90"/>
      <c r="Q874" s="90"/>
      <c r="R874" s="90"/>
      <c r="S874" s="90"/>
      <c r="T874" s="90"/>
      <c r="U874" s="90"/>
      <c r="V874" s="90"/>
      <c r="W874" s="90"/>
      <c r="X874" s="90"/>
      <c r="Y874" s="90"/>
      <c r="Z874" s="90"/>
      <c r="AA874" s="90"/>
      <c r="AB874" s="90"/>
    </row>
    <row r="875" spans="1:28" ht="16">
      <c r="A875" s="100"/>
      <c r="B875" s="91"/>
      <c r="C875" s="97"/>
      <c r="D875" s="98"/>
      <c r="E875" s="99"/>
      <c r="F875" s="92"/>
      <c r="G875" s="93" t="b">
        <v>0</v>
      </c>
      <c r="H875" s="93"/>
      <c r="I875" s="90"/>
      <c r="J875" s="90"/>
      <c r="K875" s="90"/>
      <c r="L875" s="90"/>
      <c r="M875" s="90"/>
      <c r="N875" s="90"/>
      <c r="O875" s="90"/>
      <c r="P875" s="90"/>
      <c r="Q875" s="90"/>
      <c r="R875" s="90"/>
      <c r="S875" s="90"/>
      <c r="T875" s="90"/>
      <c r="U875" s="90"/>
      <c r="V875" s="90"/>
      <c r="W875" s="90"/>
      <c r="X875" s="90"/>
      <c r="Y875" s="90"/>
      <c r="Z875" s="90"/>
      <c r="AA875" s="90"/>
      <c r="AB875" s="90"/>
    </row>
    <row r="876" spans="1:28" ht="16">
      <c r="A876" s="100"/>
      <c r="B876" s="87"/>
      <c r="C876" s="94"/>
      <c r="D876" s="95"/>
      <c r="E876" s="96"/>
      <c r="F876" s="88"/>
      <c r="G876" s="89" t="b">
        <v>0</v>
      </c>
      <c r="H876" s="89"/>
      <c r="I876" s="90"/>
      <c r="J876" s="90"/>
      <c r="K876" s="90"/>
      <c r="L876" s="90"/>
      <c r="M876" s="90"/>
      <c r="N876" s="90"/>
      <c r="O876" s="90"/>
      <c r="P876" s="90"/>
      <c r="Q876" s="90"/>
      <c r="R876" s="90"/>
      <c r="S876" s="90"/>
      <c r="T876" s="90"/>
      <c r="U876" s="90"/>
      <c r="V876" s="90"/>
      <c r="W876" s="90"/>
      <c r="X876" s="90"/>
      <c r="Y876" s="90"/>
      <c r="Z876" s="90"/>
      <c r="AA876" s="90"/>
      <c r="AB876" s="90"/>
    </row>
    <row r="877" spans="1:28" ht="16">
      <c r="A877" s="100"/>
      <c r="B877" s="91"/>
      <c r="C877" s="97"/>
      <c r="D877" s="98"/>
      <c r="E877" s="99"/>
      <c r="F877" s="92"/>
      <c r="G877" s="93" t="b">
        <v>0</v>
      </c>
      <c r="H877" s="93"/>
      <c r="I877" s="90"/>
      <c r="J877" s="90"/>
      <c r="K877" s="90"/>
      <c r="L877" s="90"/>
      <c r="M877" s="90"/>
      <c r="N877" s="90"/>
      <c r="O877" s="90"/>
      <c r="P877" s="90"/>
      <c r="Q877" s="90"/>
      <c r="R877" s="90"/>
      <c r="S877" s="90"/>
      <c r="T877" s="90"/>
      <c r="U877" s="90"/>
      <c r="V877" s="90"/>
      <c r="W877" s="90"/>
      <c r="X877" s="90"/>
      <c r="Y877" s="90"/>
      <c r="Z877" s="90"/>
      <c r="AA877" s="90"/>
      <c r="AB877" s="90"/>
    </row>
    <row r="878" spans="1:28" ht="16">
      <c r="A878" s="100"/>
      <c r="B878" s="87"/>
      <c r="C878" s="94"/>
      <c r="D878" s="95"/>
      <c r="E878" s="96"/>
      <c r="F878" s="88"/>
      <c r="G878" s="89" t="b">
        <v>0</v>
      </c>
      <c r="H878" s="89"/>
      <c r="I878" s="90"/>
      <c r="J878" s="90"/>
      <c r="K878" s="90"/>
      <c r="L878" s="90"/>
      <c r="M878" s="90"/>
      <c r="N878" s="90"/>
      <c r="O878" s="90"/>
      <c r="P878" s="90"/>
      <c r="Q878" s="90"/>
      <c r="R878" s="90"/>
      <c r="S878" s="90"/>
      <c r="T878" s="90"/>
      <c r="U878" s="90"/>
      <c r="V878" s="90"/>
      <c r="W878" s="90"/>
      <c r="X878" s="90"/>
      <c r="Y878" s="90"/>
      <c r="Z878" s="90"/>
      <c r="AA878" s="90"/>
      <c r="AB878" s="90"/>
    </row>
    <row r="879" spans="1:28" ht="16">
      <c r="A879" s="100"/>
      <c r="B879" s="91"/>
      <c r="C879" s="97"/>
      <c r="D879" s="98"/>
      <c r="E879" s="99"/>
      <c r="F879" s="92"/>
      <c r="G879" s="93" t="b">
        <v>0</v>
      </c>
      <c r="H879" s="93"/>
      <c r="I879" s="90"/>
      <c r="J879" s="90"/>
      <c r="K879" s="90"/>
      <c r="L879" s="90"/>
      <c r="M879" s="90"/>
      <c r="N879" s="90"/>
      <c r="O879" s="90"/>
      <c r="P879" s="90"/>
      <c r="Q879" s="90"/>
      <c r="R879" s="90"/>
      <c r="S879" s="90"/>
      <c r="T879" s="90"/>
      <c r="U879" s="90"/>
      <c r="V879" s="90"/>
      <c r="W879" s="90"/>
      <c r="X879" s="90"/>
      <c r="Y879" s="90"/>
      <c r="Z879" s="90"/>
      <c r="AA879" s="90"/>
      <c r="AB879" s="90"/>
    </row>
    <row r="880" spans="1:28" ht="16">
      <c r="A880" s="100"/>
      <c r="B880" s="87"/>
      <c r="C880" s="94"/>
      <c r="D880" s="95"/>
      <c r="E880" s="96"/>
      <c r="F880" s="88"/>
      <c r="G880" s="89" t="b">
        <v>0</v>
      </c>
      <c r="H880" s="89"/>
      <c r="I880" s="90"/>
      <c r="J880" s="90"/>
      <c r="K880" s="90"/>
      <c r="L880" s="90"/>
      <c r="M880" s="90"/>
      <c r="N880" s="90"/>
      <c r="O880" s="90"/>
      <c r="P880" s="90"/>
      <c r="Q880" s="90"/>
      <c r="R880" s="90"/>
      <c r="S880" s="90"/>
      <c r="T880" s="90"/>
      <c r="U880" s="90"/>
      <c r="V880" s="90"/>
      <c r="W880" s="90"/>
      <c r="X880" s="90"/>
      <c r="Y880" s="90"/>
      <c r="Z880" s="90"/>
      <c r="AA880" s="90"/>
      <c r="AB880" s="90"/>
    </row>
    <row r="881" spans="1:28" ht="16">
      <c r="A881" s="100"/>
      <c r="B881" s="91"/>
      <c r="C881" s="97"/>
      <c r="D881" s="98"/>
      <c r="E881" s="99"/>
      <c r="F881" s="92"/>
      <c r="G881" s="93" t="b">
        <v>0</v>
      </c>
      <c r="H881" s="93"/>
      <c r="I881" s="90"/>
      <c r="J881" s="90"/>
      <c r="K881" s="90"/>
      <c r="L881" s="90"/>
      <c r="M881" s="90"/>
      <c r="N881" s="90"/>
      <c r="O881" s="90"/>
      <c r="P881" s="90"/>
      <c r="Q881" s="90"/>
      <c r="R881" s="90"/>
      <c r="S881" s="90"/>
      <c r="T881" s="90"/>
      <c r="U881" s="90"/>
      <c r="V881" s="90"/>
      <c r="W881" s="90"/>
      <c r="X881" s="90"/>
      <c r="Y881" s="90"/>
      <c r="Z881" s="90"/>
      <c r="AA881" s="90"/>
      <c r="AB881" s="90"/>
    </row>
    <row r="882" spans="1:28" ht="16">
      <c r="A882" s="100"/>
      <c r="B882" s="87"/>
      <c r="C882" s="94"/>
      <c r="D882" s="95"/>
      <c r="E882" s="96"/>
      <c r="F882" s="88"/>
      <c r="G882" s="89" t="b">
        <v>0</v>
      </c>
      <c r="H882" s="89"/>
      <c r="I882" s="90"/>
      <c r="J882" s="90"/>
      <c r="K882" s="90"/>
      <c r="L882" s="90"/>
      <c r="M882" s="90"/>
      <c r="N882" s="90"/>
      <c r="O882" s="90"/>
      <c r="P882" s="90"/>
      <c r="Q882" s="90"/>
      <c r="R882" s="90"/>
      <c r="S882" s="90"/>
      <c r="T882" s="90"/>
      <c r="U882" s="90"/>
      <c r="V882" s="90"/>
      <c r="W882" s="90"/>
      <c r="X882" s="90"/>
      <c r="Y882" s="90"/>
      <c r="Z882" s="90"/>
      <c r="AA882" s="90"/>
      <c r="AB882" s="90"/>
    </row>
    <row r="883" spans="1:28" ht="16">
      <c r="A883" s="100"/>
      <c r="B883" s="91"/>
      <c r="C883" s="97"/>
      <c r="D883" s="98"/>
      <c r="E883" s="99"/>
      <c r="F883" s="92"/>
      <c r="G883" s="93" t="b">
        <v>0</v>
      </c>
      <c r="H883" s="93"/>
      <c r="I883" s="90"/>
      <c r="J883" s="90"/>
      <c r="K883" s="90"/>
      <c r="L883" s="90"/>
      <c r="M883" s="90"/>
      <c r="N883" s="90"/>
      <c r="O883" s="90"/>
      <c r="P883" s="90"/>
      <c r="Q883" s="90"/>
      <c r="R883" s="90"/>
      <c r="S883" s="90"/>
      <c r="T883" s="90"/>
      <c r="U883" s="90"/>
      <c r="V883" s="90"/>
      <c r="W883" s="90"/>
      <c r="X883" s="90"/>
      <c r="Y883" s="90"/>
      <c r="Z883" s="90"/>
      <c r="AA883" s="90"/>
      <c r="AB883" s="90"/>
    </row>
    <row r="884" spans="1:28" ht="16">
      <c r="A884" s="100"/>
      <c r="B884" s="87"/>
      <c r="C884" s="94"/>
      <c r="D884" s="95"/>
      <c r="E884" s="96"/>
      <c r="F884" s="88"/>
      <c r="G884" s="89" t="b">
        <v>0</v>
      </c>
      <c r="H884" s="89"/>
      <c r="I884" s="90"/>
      <c r="J884" s="90"/>
      <c r="K884" s="90"/>
      <c r="L884" s="90"/>
      <c r="M884" s="90"/>
      <c r="N884" s="90"/>
      <c r="O884" s="90"/>
      <c r="P884" s="90"/>
      <c r="Q884" s="90"/>
      <c r="R884" s="90"/>
      <c r="S884" s="90"/>
      <c r="T884" s="90"/>
      <c r="U884" s="90"/>
      <c r="V884" s="90"/>
      <c r="W884" s="90"/>
      <c r="X884" s="90"/>
      <c r="Y884" s="90"/>
      <c r="Z884" s="90"/>
      <c r="AA884" s="90"/>
      <c r="AB884" s="90"/>
    </row>
    <row r="885" spans="1:28" ht="16">
      <c r="A885" s="100"/>
      <c r="B885" s="91"/>
      <c r="C885" s="97"/>
      <c r="D885" s="98"/>
      <c r="E885" s="99"/>
      <c r="F885" s="92"/>
      <c r="G885" s="93" t="b">
        <v>0</v>
      </c>
      <c r="H885" s="93"/>
      <c r="I885" s="90"/>
      <c r="J885" s="90"/>
      <c r="K885" s="90"/>
      <c r="L885" s="90"/>
      <c r="M885" s="90"/>
      <c r="N885" s="90"/>
      <c r="O885" s="90"/>
      <c r="P885" s="90"/>
      <c r="Q885" s="90"/>
      <c r="R885" s="90"/>
      <c r="S885" s="90"/>
      <c r="T885" s="90"/>
      <c r="U885" s="90"/>
      <c r="V885" s="90"/>
      <c r="W885" s="90"/>
      <c r="X885" s="90"/>
      <c r="Y885" s="90"/>
      <c r="Z885" s="90"/>
      <c r="AA885" s="90"/>
      <c r="AB885" s="90"/>
    </row>
    <row r="886" spans="1:28" ht="16">
      <c r="A886" s="100"/>
      <c r="B886" s="87"/>
      <c r="C886" s="94"/>
      <c r="D886" s="95"/>
      <c r="E886" s="96"/>
      <c r="F886" s="88"/>
      <c r="G886" s="89" t="b">
        <v>0</v>
      </c>
      <c r="H886" s="89"/>
      <c r="I886" s="90"/>
      <c r="J886" s="90"/>
      <c r="K886" s="90"/>
      <c r="L886" s="90"/>
      <c r="M886" s="90"/>
      <c r="N886" s="90"/>
      <c r="O886" s="90"/>
      <c r="P886" s="90"/>
      <c r="Q886" s="90"/>
      <c r="R886" s="90"/>
      <c r="S886" s="90"/>
      <c r="T886" s="90"/>
      <c r="U886" s="90"/>
      <c r="V886" s="90"/>
      <c r="W886" s="90"/>
      <c r="X886" s="90"/>
      <c r="Y886" s="90"/>
      <c r="Z886" s="90"/>
      <c r="AA886" s="90"/>
      <c r="AB886" s="90"/>
    </row>
    <row r="887" spans="1:28" ht="16">
      <c r="A887" s="100"/>
      <c r="B887" s="91"/>
      <c r="C887" s="97"/>
      <c r="D887" s="98"/>
      <c r="E887" s="99"/>
      <c r="F887" s="92"/>
      <c r="G887" s="93" t="b">
        <v>0</v>
      </c>
      <c r="H887" s="93"/>
      <c r="I887" s="90"/>
      <c r="J887" s="90"/>
      <c r="K887" s="90"/>
      <c r="L887" s="90"/>
      <c r="M887" s="90"/>
      <c r="N887" s="90"/>
      <c r="O887" s="90"/>
      <c r="P887" s="90"/>
      <c r="Q887" s="90"/>
      <c r="R887" s="90"/>
      <c r="S887" s="90"/>
      <c r="T887" s="90"/>
      <c r="U887" s="90"/>
      <c r="V887" s="90"/>
      <c r="W887" s="90"/>
      <c r="X887" s="90"/>
      <c r="Y887" s="90"/>
      <c r="Z887" s="90"/>
      <c r="AA887" s="90"/>
      <c r="AB887" s="90"/>
    </row>
    <row r="888" spans="1:28" ht="16">
      <c r="A888" s="100"/>
      <c r="B888" s="87"/>
      <c r="C888" s="94"/>
      <c r="D888" s="95"/>
      <c r="E888" s="96"/>
      <c r="F888" s="88"/>
      <c r="G888" s="89" t="b">
        <v>0</v>
      </c>
      <c r="H888" s="89"/>
      <c r="I888" s="90"/>
      <c r="J888" s="90"/>
      <c r="K888" s="90"/>
      <c r="L888" s="90"/>
      <c r="M888" s="90"/>
      <c r="N888" s="90"/>
      <c r="O888" s="90"/>
      <c r="P888" s="90"/>
      <c r="Q888" s="90"/>
      <c r="R888" s="90"/>
      <c r="S888" s="90"/>
      <c r="T888" s="90"/>
      <c r="U888" s="90"/>
      <c r="V888" s="90"/>
      <c r="W888" s="90"/>
      <c r="X888" s="90"/>
      <c r="Y888" s="90"/>
      <c r="Z888" s="90"/>
      <c r="AA888" s="90"/>
      <c r="AB888" s="90"/>
    </row>
    <row r="889" spans="1:28" ht="16">
      <c r="A889" s="100"/>
      <c r="B889" s="91"/>
      <c r="C889" s="97"/>
      <c r="D889" s="98"/>
      <c r="E889" s="99"/>
      <c r="F889" s="92"/>
      <c r="G889" s="93" t="b">
        <v>0</v>
      </c>
      <c r="H889" s="93"/>
      <c r="I889" s="90"/>
      <c r="J889" s="90"/>
      <c r="K889" s="90"/>
      <c r="L889" s="90"/>
      <c r="M889" s="90"/>
      <c r="N889" s="90"/>
      <c r="O889" s="90"/>
      <c r="P889" s="90"/>
      <c r="Q889" s="90"/>
      <c r="R889" s="90"/>
      <c r="S889" s="90"/>
      <c r="T889" s="90"/>
      <c r="U889" s="90"/>
      <c r="V889" s="90"/>
      <c r="W889" s="90"/>
      <c r="X889" s="90"/>
      <c r="Y889" s="90"/>
      <c r="Z889" s="90"/>
      <c r="AA889" s="90"/>
      <c r="AB889" s="90"/>
    </row>
    <row r="890" spans="1:28" ht="16">
      <c r="A890" s="100"/>
      <c r="B890" s="87"/>
      <c r="C890" s="94"/>
      <c r="D890" s="95"/>
      <c r="E890" s="96"/>
      <c r="F890" s="88"/>
      <c r="G890" s="89" t="b">
        <v>0</v>
      </c>
      <c r="H890" s="89"/>
      <c r="I890" s="90"/>
      <c r="J890" s="90"/>
      <c r="K890" s="90"/>
      <c r="L890" s="90"/>
      <c r="M890" s="90"/>
      <c r="N890" s="90"/>
      <c r="O890" s="90"/>
      <c r="P890" s="90"/>
      <c r="Q890" s="90"/>
      <c r="R890" s="90"/>
      <c r="S890" s="90"/>
      <c r="T890" s="90"/>
      <c r="U890" s="90"/>
      <c r="V890" s="90"/>
      <c r="W890" s="90"/>
      <c r="X890" s="90"/>
      <c r="Y890" s="90"/>
      <c r="Z890" s="90"/>
      <c r="AA890" s="90"/>
      <c r="AB890" s="90"/>
    </row>
    <row r="891" spans="1:28" ht="16">
      <c r="A891" s="100"/>
      <c r="B891" s="91"/>
      <c r="C891" s="97"/>
      <c r="D891" s="98"/>
      <c r="E891" s="99"/>
      <c r="F891" s="92"/>
      <c r="G891" s="93" t="b">
        <v>0</v>
      </c>
      <c r="H891" s="93"/>
      <c r="I891" s="90"/>
      <c r="J891" s="90"/>
      <c r="K891" s="90"/>
      <c r="L891" s="90"/>
      <c r="M891" s="90"/>
      <c r="N891" s="90"/>
      <c r="O891" s="90"/>
      <c r="P891" s="90"/>
      <c r="Q891" s="90"/>
      <c r="R891" s="90"/>
      <c r="S891" s="90"/>
      <c r="T891" s="90"/>
      <c r="U891" s="90"/>
      <c r="V891" s="90"/>
      <c r="W891" s="90"/>
      <c r="X891" s="90"/>
      <c r="Y891" s="90"/>
      <c r="Z891" s="90"/>
      <c r="AA891" s="90"/>
      <c r="AB891" s="90"/>
    </row>
    <row r="892" spans="1:28" ht="16">
      <c r="A892" s="100"/>
      <c r="B892" s="87"/>
      <c r="C892" s="94"/>
      <c r="D892" s="95"/>
      <c r="E892" s="96"/>
      <c r="F892" s="88"/>
      <c r="G892" s="89" t="b">
        <v>0</v>
      </c>
      <c r="H892" s="89"/>
      <c r="I892" s="90"/>
      <c r="J892" s="90"/>
      <c r="K892" s="90"/>
      <c r="L892" s="90"/>
      <c r="M892" s="90"/>
      <c r="N892" s="90"/>
      <c r="O892" s="90"/>
      <c r="P892" s="90"/>
      <c r="Q892" s="90"/>
      <c r="R892" s="90"/>
      <c r="S892" s="90"/>
      <c r="T892" s="90"/>
      <c r="U892" s="90"/>
      <c r="V892" s="90"/>
      <c r="W892" s="90"/>
      <c r="X892" s="90"/>
      <c r="Y892" s="90"/>
      <c r="Z892" s="90"/>
      <c r="AA892" s="90"/>
      <c r="AB892" s="90"/>
    </row>
    <row r="893" spans="1:28" ht="16">
      <c r="A893" s="100"/>
      <c r="B893" s="91"/>
      <c r="C893" s="97"/>
      <c r="D893" s="98"/>
      <c r="E893" s="99"/>
      <c r="F893" s="92"/>
      <c r="G893" s="93" t="b">
        <v>0</v>
      </c>
      <c r="H893" s="93"/>
      <c r="I893" s="90"/>
      <c r="J893" s="90"/>
      <c r="K893" s="90"/>
      <c r="L893" s="90"/>
      <c r="M893" s="90"/>
      <c r="N893" s="90"/>
      <c r="O893" s="90"/>
      <c r="P893" s="90"/>
      <c r="Q893" s="90"/>
      <c r="R893" s="90"/>
      <c r="S893" s="90"/>
      <c r="T893" s="90"/>
      <c r="U893" s="90"/>
      <c r="V893" s="90"/>
      <c r="W893" s="90"/>
      <c r="X893" s="90"/>
      <c r="Y893" s="90"/>
      <c r="Z893" s="90"/>
      <c r="AA893" s="90"/>
      <c r="AB893" s="90"/>
    </row>
    <row r="894" spans="1:28" ht="16">
      <c r="A894" s="100"/>
      <c r="B894" s="87"/>
      <c r="C894" s="94"/>
      <c r="D894" s="95"/>
      <c r="E894" s="96"/>
      <c r="F894" s="88"/>
      <c r="G894" s="89" t="b">
        <v>0</v>
      </c>
      <c r="H894" s="89"/>
      <c r="I894" s="90"/>
      <c r="J894" s="90"/>
      <c r="K894" s="90"/>
      <c r="L894" s="90"/>
      <c r="M894" s="90"/>
      <c r="N894" s="90"/>
      <c r="O894" s="90"/>
      <c r="P894" s="90"/>
      <c r="Q894" s="90"/>
      <c r="R894" s="90"/>
      <c r="S894" s="90"/>
      <c r="T894" s="90"/>
      <c r="U894" s="90"/>
      <c r="V894" s="90"/>
      <c r="W894" s="90"/>
      <c r="X894" s="90"/>
      <c r="Y894" s="90"/>
      <c r="Z894" s="90"/>
      <c r="AA894" s="90"/>
      <c r="AB894" s="90"/>
    </row>
    <row r="895" spans="1:28" ht="16">
      <c r="A895" s="100"/>
      <c r="B895" s="91"/>
      <c r="C895" s="97"/>
      <c r="D895" s="98"/>
      <c r="E895" s="99"/>
      <c r="F895" s="92"/>
      <c r="G895" s="93" t="b">
        <v>0</v>
      </c>
      <c r="H895" s="93"/>
      <c r="I895" s="90"/>
      <c r="J895" s="90"/>
      <c r="K895" s="90"/>
      <c r="L895" s="90"/>
      <c r="M895" s="90"/>
      <c r="N895" s="90"/>
      <c r="O895" s="90"/>
      <c r="P895" s="90"/>
      <c r="Q895" s="90"/>
      <c r="R895" s="90"/>
      <c r="S895" s="90"/>
      <c r="T895" s="90"/>
      <c r="U895" s="90"/>
      <c r="V895" s="90"/>
      <c r="W895" s="90"/>
      <c r="X895" s="90"/>
      <c r="Y895" s="90"/>
      <c r="Z895" s="90"/>
      <c r="AA895" s="90"/>
      <c r="AB895" s="90"/>
    </row>
    <row r="896" spans="1:28" ht="16">
      <c r="A896" s="100"/>
      <c r="B896" s="87"/>
      <c r="C896" s="94"/>
      <c r="D896" s="95"/>
      <c r="E896" s="96"/>
      <c r="F896" s="88"/>
      <c r="G896" s="89" t="b">
        <v>0</v>
      </c>
      <c r="H896" s="89"/>
      <c r="I896" s="90"/>
      <c r="J896" s="90"/>
      <c r="K896" s="90"/>
      <c r="L896" s="90"/>
      <c r="M896" s="90"/>
      <c r="N896" s="90"/>
      <c r="O896" s="90"/>
      <c r="P896" s="90"/>
      <c r="Q896" s="90"/>
      <c r="R896" s="90"/>
      <c r="S896" s="90"/>
      <c r="T896" s="90"/>
      <c r="U896" s="90"/>
      <c r="V896" s="90"/>
      <c r="W896" s="90"/>
      <c r="X896" s="90"/>
      <c r="Y896" s="90"/>
      <c r="Z896" s="90"/>
      <c r="AA896" s="90"/>
      <c r="AB896" s="90"/>
    </row>
    <row r="897" spans="1:28" ht="16">
      <c r="A897" s="100"/>
      <c r="B897" s="91"/>
      <c r="C897" s="97"/>
      <c r="D897" s="98"/>
      <c r="E897" s="99"/>
      <c r="F897" s="92"/>
      <c r="G897" s="93" t="b">
        <v>0</v>
      </c>
      <c r="H897" s="93"/>
      <c r="I897" s="90"/>
      <c r="J897" s="90"/>
      <c r="K897" s="90"/>
      <c r="L897" s="90"/>
      <c r="M897" s="90"/>
      <c r="N897" s="90"/>
      <c r="O897" s="90"/>
      <c r="P897" s="90"/>
      <c r="Q897" s="90"/>
      <c r="R897" s="90"/>
      <c r="S897" s="90"/>
      <c r="T897" s="90"/>
      <c r="U897" s="90"/>
      <c r="V897" s="90"/>
      <c r="W897" s="90"/>
      <c r="X897" s="90"/>
      <c r="Y897" s="90"/>
      <c r="Z897" s="90"/>
      <c r="AA897" s="90"/>
      <c r="AB897" s="90"/>
    </row>
    <row r="898" spans="1:28" ht="16">
      <c r="A898" s="100"/>
      <c r="B898" s="87"/>
      <c r="C898" s="94"/>
      <c r="D898" s="95"/>
      <c r="E898" s="96"/>
      <c r="F898" s="88"/>
      <c r="G898" s="89" t="b">
        <v>0</v>
      </c>
      <c r="H898" s="89"/>
      <c r="I898" s="90"/>
      <c r="J898" s="90"/>
      <c r="K898" s="90"/>
      <c r="L898" s="90"/>
      <c r="M898" s="90"/>
      <c r="N898" s="90"/>
      <c r="O898" s="90"/>
      <c r="P898" s="90"/>
      <c r="Q898" s="90"/>
      <c r="R898" s="90"/>
      <c r="S898" s="90"/>
      <c r="T898" s="90"/>
      <c r="U898" s="90"/>
      <c r="V898" s="90"/>
      <c r="W898" s="90"/>
      <c r="X898" s="90"/>
      <c r="Y898" s="90"/>
      <c r="Z898" s="90"/>
      <c r="AA898" s="90"/>
      <c r="AB898" s="90"/>
    </row>
    <row r="899" spans="1:28" ht="16">
      <c r="A899" s="100"/>
      <c r="B899" s="91"/>
      <c r="C899" s="97"/>
      <c r="D899" s="98"/>
      <c r="E899" s="99"/>
      <c r="F899" s="92"/>
      <c r="G899" s="93" t="b">
        <v>0</v>
      </c>
      <c r="H899" s="93"/>
      <c r="I899" s="90"/>
      <c r="J899" s="90"/>
      <c r="K899" s="90"/>
      <c r="L899" s="90"/>
      <c r="M899" s="90"/>
      <c r="N899" s="90"/>
      <c r="O899" s="90"/>
      <c r="P899" s="90"/>
      <c r="Q899" s="90"/>
      <c r="R899" s="90"/>
      <c r="S899" s="90"/>
      <c r="T899" s="90"/>
      <c r="U899" s="90"/>
      <c r="V899" s="90"/>
      <c r="W899" s="90"/>
      <c r="X899" s="90"/>
      <c r="Y899" s="90"/>
      <c r="Z899" s="90"/>
      <c r="AA899" s="90"/>
      <c r="AB899" s="90"/>
    </row>
    <row r="900" spans="1:28" ht="16">
      <c r="A900" s="100"/>
      <c r="B900" s="87"/>
      <c r="C900" s="94"/>
      <c r="D900" s="95"/>
      <c r="E900" s="96"/>
      <c r="F900" s="88"/>
      <c r="G900" s="89" t="b">
        <v>0</v>
      </c>
      <c r="H900" s="89"/>
      <c r="I900" s="90"/>
      <c r="J900" s="90"/>
      <c r="K900" s="90"/>
      <c r="L900" s="90"/>
      <c r="M900" s="90"/>
      <c r="N900" s="90"/>
      <c r="O900" s="90"/>
      <c r="P900" s="90"/>
      <c r="Q900" s="90"/>
      <c r="R900" s="90"/>
      <c r="S900" s="90"/>
      <c r="T900" s="90"/>
      <c r="U900" s="90"/>
      <c r="V900" s="90"/>
      <c r="W900" s="90"/>
      <c r="X900" s="90"/>
      <c r="Y900" s="90"/>
      <c r="Z900" s="90"/>
      <c r="AA900" s="90"/>
      <c r="AB900" s="90"/>
    </row>
    <row r="901" spans="1:28" ht="16">
      <c r="A901" s="100"/>
      <c r="B901" s="91"/>
      <c r="C901" s="97"/>
      <c r="D901" s="98"/>
      <c r="E901" s="99"/>
      <c r="F901" s="92"/>
      <c r="G901" s="93" t="b">
        <v>0</v>
      </c>
      <c r="H901" s="93"/>
      <c r="I901" s="90"/>
      <c r="J901" s="90"/>
      <c r="K901" s="90"/>
      <c r="L901" s="90"/>
      <c r="M901" s="90"/>
      <c r="N901" s="90"/>
      <c r="O901" s="90"/>
      <c r="P901" s="90"/>
      <c r="Q901" s="90"/>
      <c r="R901" s="90"/>
      <c r="S901" s="90"/>
      <c r="T901" s="90"/>
      <c r="U901" s="90"/>
      <c r="V901" s="90"/>
      <c r="W901" s="90"/>
      <c r="X901" s="90"/>
      <c r="Y901" s="90"/>
      <c r="Z901" s="90"/>
      <c r="AA901" s="90"/>
      <c r="AB901" s="90"/>
    </row>
    <row r="902" spans="1:28" ht="16">
      <c r="A902" s="100"/>
      <c r="B902" s="87"/>
      <c r="C902" s="94"/>
      <c r="D902" s="95"/>
      <c r="E902" s="96"/>
      <c r="F902" s="88"/>
      <c r="G902" s="89" t="b">
        <v>0</v>
      </c>
      <c r="H902" s="89"/>
      <c r="I902" s="90"/>
      <c r="J902" s="90"/>
      <c r="K902" s="90"/>
      <c r="L902" s="90"/>
      <c r="M902" s="90"/>
      <c r="N902" s="90"/>
      <c r="O902" s="90"/>
      <c r="P902" s="90"/>
      <c r="Q902" s="90"/>
      <c r="R902" s="90"/>
      <c r="S902" s="90"/>
      <c r="T902" s="90"/>
      <c r="U902" s="90"/>
      <c r="V902" s="90"/>
      <c r="W902" s="90"/>
      <c r="X902" s="90"/>
      <c r="Y902" s="90"/>
      <c r="Z902" s="90"/>
      <c r="AA902" s="90"/>
      <c r="AB902" s="90"/>
    </row>
    <row r="903" spans="1:28" ht="16">
      <c r="A903" s="100"/>
      <c r="B903" s="91"/>
      <c r="C903" s="97"/>
      <c r="D903" s="98"/>
      <c r="E903" s="99"/>
      <c r="F903" s="92"/>
      <c r="G903" s="93" t="b">
        <v>0</v>
      </c>
      <c r="H903" s="93"/>
      <c r="I903" s="90"/>
      <c r="J903" s="90"/>
      <c r="K903" s="90"/>
      <c r="L903" s="90"/>
      <c r="M903" s="90"/>
      <c r="N903" s="90"/>
      <c r="O903" s="90"/>
      <c r="P903" s="90"/>
      <c r="Q903" s="90"/>
      <c r="R903" s="90"/>
      <c r="S903" s="90"/>
      <c r="T903" s="90"/>
      <c r="U903" s="90"/>
      <c r="V903" s="90"/>
      <c r="W903" s="90"/>
      <c r="X903" s="90"/>
      <c r="Y903" s="90"/>
      <c r="Z903" s="90"/>
      <c r="AA903" s="90"/>
      <c r="AB903" s="90"/>
    </row>
    <row r="904" spans="1:28" ht="16">
      <c r="A904" s="100"/>
      <c r="B904" s="87"/>
      <c r="C904" s="94"/>
      <c r="D904" s="95"/>
      <c r="E904" s="96"/>
      <c r="F904" s="88"/>
      <c r="G904" s="89" t="b">
        <v>0</v>
      </c>
      <c r="H904" s="89"/>
      <c r="I904" s="90"/>
      <c r="J904" s="90"/>
      <c r="K904" s="90"/>
      <c r="L904" s="90"/>
      <c r="M904" s="90"/>
      <c r="N904" s="90"/>
      <c r="O904" s="90"/>
      <c r="P904" s="90"/>
      <c r="Q904" s="90"/>
      <c r="R904" s="90"/>
      <c r="S904" s="90"/>
      <c r="T904" s="90"/>
      <c r="U904" s="90"/>
      <c r="V904" s="90"/>
      <c r="W904" s="90"/>
      <c r="X904" s="90"/>
      <c r="Y904" s="90"/>
      <c r="Z904" s="90"/>
      <c r="AA904" s="90"/>
      <c r="AB904" s="90"/>
    </row>
    <row r="905" spans="1:28" ht="16">
      <c r="A905" s="100"/>
      <c r="B905" s="91"/>
      <c r="C905" s="97"/>
      <c r="D905" s="98"/>
      <c r="E905" s="99"/>
      <c r="F905" s="92"/>
      <c r="G905" s="93" t="b">
        <v>0</v>
      </c>
      <c r="H905" s="93"/>
      <c r="I905" s="90"/>
      <c r="J905" s="90"/>
      <c r="K905" s="90"/>
      <c r="L905" s="90"/>
      <c r="M905" s="90"/>
      <c r="N905" s="90"/>
      <c r="O905" s="90"/>
      <c r="P905" s="90"/>
      <c r="Q905" s="90"/>
      <c r="R905" s="90"/>
      <c r="S905" s="90"/>
      <c r="T905" s="90"/>
      <c r="U905" s="90"/>
      <c r="V905" s="90"/>
      <c r="W905" s="90"/>
      <c r="X905" s="90"/>
      <c r="Y905" s="90"/>
      <c r="Z905" s="90"/>
      <c r="AA905" s="90"/>
      <c r="AB905" s="90"/>
    </row>
    <row r="906" spans="1:28" ht="16">
      <c r="A906" s="100"/>
      <c r="B906" s="87"/>
      <c r="C906" s="94"/>
      <c r="D906" s="95"/>
      <c r="E906" s="96"/>
      <c r="F906" s="88"/>
      <c r="G906" s="89" t="b">
        <v>0</v>
      </c>
      <c r="H906" s="89"/>
      <c r="I906" s="90"/>
      <c r="J906" s="90"/>
      <c r="K906" s="90"/>
      <c r="L906" s="90"/>
      <c r="M906" s="90"/>
      <c r="N906" s="90"/>
      <c r="O906" s="90"/>
      <c r="P906" s="90"/>
      <c r="Q906" s="90"/>
      <c r="R906" s="90"/>
      <c r="S906" s="90"/>
      <c r="T906" s="90"/>
      <c r="U906" s="90"/>
      <c r="V906" s="90"/>
      <c r="W906" s="90"/>
      <c r="X906" s="90"/>
      <c r="Y906" s="90"/>
      <c r="Z906" s="90"/>
      <c r="AA906" s="90"/>
      <c r="AB906" s="90"/>
    </row>
    <row r="907" spans="1:28" ht="16">
      <c r="A907" s="100"/>
      <c r="B907" s="91"/>
      <c r="C907" s="97"/>
      <c r="D907" s="98"/>
      <c r="E907" s="99"/>
      <c r="F907" s="92"/>
      <c r="G907" s="93" t="b">
        <v>0</v>
      </c>
      <c r="H907" s="93"/>
      <c r="I907" s="90"/>
      <c r="J907" s="90"/>
      <c r="K907" s="90"/>
      <c r="L907" s="90"/>
      <c r="M907" s="90"/>
      <c r="N907" s="90"/>
      <c r="O907" s="90"/>
      <c r="P907" s="90"/>
      <c r="Q907" s="90"/>
      <c r="R907" s="90"/>
      <c r="S907" s="90"/>
      <c r="T907" s="90"/>
      <c r="U907" s="90"/>
      <c r="V907" s="90"/>
      <c r="W907" s="90"/>
      <c r="X907" s="90"/>
      <c r="Y907" s="90"/>
      <c r="Z907" s="90"/>
      <c r="AA907" s="90"/>
      <c r="AB907" s="90"/>
    </row>
    <row r="908" spans="1:28" ht="16">
      <c r="A908" s="100"/>
      <c r="B908" s="87"/>
      <c r="C908" s="94"/>
      <c r="D908" s="95"/>
      <c r="E908" s="96"/>
      <c r="F908" s="88"/>
      <c r="G908" s="89" t="b">
        <v>0</v>
      </c>
      <c r="H908" s="89"/>
      <c r="I908" s="90"/>
      <c r="J908" s="90"/>
      <c r="K908" s="90"/>
      <c r="L908" s="90"/>
      <c r="M908" s="90"/>
      <c r="N908" s="90"/>
      <c r="O908" s="90"/>
      <c r="P908" s="90"/>
      <c r="Q908" s="90"/>
      <c r="R908" s="90"/>
      <c r="S908" s="90"/>
      <c r="T908" s="90"/>
      <c r="U908" s="90"/>
      <c r="V908" s="90"/>
      <c r="W908" s="90"/>
      <c r="X908" s="90"/>
      <c r="Y908" s="90"/>
      <c r="Z908" s="90"/>
      <c r="AA908" s="90"/>
      <c r="AB908" s="90"/>
    </row>
    <row r="909" spans="1:28" ht="16">
      <c r="A909" s="100"/>
      <c r="B909" s="91"/>
      <c r="C909" s="97"/>
      <c r="D909" s="98"/>
      <c r="E909" s="99"/>
      <c r="F909" s="92"/>
      <c r="G909" s="93" t="b">
        <v>0</v>
      </c>
      <c r="H909" s="93"/>
      <c r="I909" s="90"/>
      <c r="J909" s="90"/>
      <c r="K909" s="90"/>
      <c r="L909" s="90"/>
      <c r="M909" s="90"/>
      <c r="N909" s="90"/>
      <c r="O909" s="90"/>
      <c r="P909" s="90"/>
      <c r="Q909" s="90"/>
      <c r="R909" s="90"/>
      <c r="S909" s="90"/>
      <c r="T909" s="90"/>
      <c r="U909" s="90"/>
      <c r="V909" s="90"/>
      <c r="W909" s="90"/>
      <c r="X909" s="90"/>
      <c r="Y909" s="90"/>
      <c r="Z909" s="90"/>
      <c r="AA909" s="90"/>
      <c r="AB909" s="90"/>
    </row>
    <row r="910" spans="1:28" ht="16">
      <c r="A910" s="100"/>
      <c r="B910" s="87"/>
      <c r="C910" s="94"/>
      <c r="D910" s="95"/>
      <c r="E910" s="96"/>
      <c r="F910" s="88"/>
      <c r="G910" s="89" t="b">
        <v>0</v>
      </c>
      <c r="H910" s="89"/>
      <c r="I910" s="90"/>
      <c r="J910" s="90"/>
      <c r="K910" s="90"/>
      <c r="L910" s="90"/>
      <c r="M910" s="90"/>
      <c r="N910" s="90"/>
      <c r="O910" s="90"/>
      <c r="P910" s="90"/>
      <c r="Q910" s="90"/>
      <c r="R910" s="90"/>
      <c r="S910" s="90"/>
      <c r="T910" s="90"/>
      <c r="U910" s="90"/>
      <c r="V910" s="90"/>
      <c r="W910" s="90"/>
      <c r="X910" s="90"/>
      <c r="Y910" s="90"/>
      <c r="Z910" s="90"/>
      <c r="AA910" s="90"/>
      <c r="AB910" s="90"/>
    </row>
    <row r="911" spans="1:28" ht="16">
      <c r="A911" s="100"/>
      <c r="B911" s="91"/>
      <c r="C911" s="97"/>
      <c r="D911" s="98"/>
      <c r="E911" s="99"/>
      <c r="F911" s="92"/>
      <c r="G911" s="93" t="b">
        <v>0</v>
      </c>
      <c r="H911" s="93"/>
      <c r="I911" s="90"/>
      <c r="J911" s="90"/>
      <c r="K911" s="90"/>
      <c r="L911" s="90"/>
      <c r="M911" s="90"/>
      <c r="N911" s="90"/>
      <c r="O911" s="90"/>
      <c r="P911" s="90"/>
      <c r="Q911" s="90"/>
      <c r="R911" s="90"/>
      <c r="S911" s="90"/>
      <c r="T911" s="90"/>
      <c r="U911" s="90"/>
      <c r="V911" s="90"/>
      <c r="W911" s="90"/>
      <c r="X911" s="90"/>
      <c r="Y911" s="90"/>
      <c r="Z911" s="90"/>
      <c r="AA911" s="90"/>
      <c r="AB911" s="90"/>
    </row>
    <row r="912" spans="1:28" ht="16">
      <c r="A912" s="100"/>
      <c r="B912" s="87"/>
      <c r="C912" s="94"/>
      <c r="D912" s="95"/>
      <c r="E912" s="96"/>
      <c r="F912" s="88"/>
      <c r="G912" s="89" t="b">
        <v>0</v>
      </c>
      <c r="H912" s="89"/>
      <c r="I912" s="90"/>
      <c r="J912" s="90"/>
      <c r="K912" s="90"/>
      <c r="L912" s="90"/>
      <c r="M912" s="90"/>
      <c r="N912" s="90"/>
      <c r="O912" s="90"/>
      <c r="P912" s="90"/>
      <c r="Q912" s="90"/>
      <c r="R912" s="90"/>
      <c r="S912" s="90"/>
      <c r="T912" s="90"/>
      <c r="U912" s="90"/>
      <c r="V912" s="90"/>
      <c r="W912" s="90"/>
      <c r="X912" s="90"/>
      <c r="Y912" s="90"/>
      <c r="Z912" s="90"/>
      <c r="AA912" s="90"/>
      <c r="AB912" s="90"/>
    </row>
    <row r="913" spans="1:28" ht="16">
      <c r="A913" s="100"/>
      <c r="B913" s="91"/>
      <c r="C913" s="97"/>
      <c r="D913" s="98"/>
      <c r="E913" s="99"/>
      <c r="F913" s="92"/>
      <c r="G913" s="93" t="b">
        <v>0</v>
      </c>
      <c r="H913" s="93"/>
      <c r="I913" s="90"/>
      <c r="J913" s="90"/>
      <c r="K913" s="90"/>
      <c r="L913" s="90"/>
      <c r="M913" s="90"/>
      <c r="N913" s="90"/>
      <c r="O913" s="90"/>
      <c r="P913" s="90"/>
      <c r="Q913" s="90"/>
      <c r="R913" s="90"/>
      <c r="S913" s="90"/>
      <c r="T913" s="90"/>
      <c r="U913" s="90"/>
      <c r="V913" s="90"/>
      <c r="W913" s="90"/>
      <c r="X913" s="90"/>
      <c r="Y913" s="90"/>
      <c r="Z913" s="90"/>
      <c r="AA913" s="90"/>
      <c r="AB913" s="90"/>
    </row>
    <row r="914" spans="1:28" ht="16">
      <c r="A914" s="100"/>
      <c r="B914" s="87"/>
      <c r="C914" s="94"/>
      <c r="D914" s="95"/>
      <c r="E914" s="96"/>
      <c r="F914" s="88"/>
      <c r="G914" s="89" t="b">
        <v>0</v>
      </c>
      <c r="H914" s="89"/>
      <c r="I914" s="90"/>
      <c r="J914" s="90"/>
      <c r="K914" s="90"/>
      <c r="L914" s="90"/>
      <c r="M914" s="90"/>
      <c r="N914" s="90"/>
      <c r="O914" s="90"/>
      <c r="P914" s="90"/>
      <c r="Q914" s="90"/>
      <c r="R914" s="90"/>
      <c r="S914" s="90"/>
      <c r="T914" s="90"/>
      <c r="U914" s="90"/>
      <c r="V914" s="90"/>
      <c r="W914" s="90"/>
      <c r="X914" s="90"/>
      <c r="Y914" s="90"/>
      <c r="Z914" s="90"/>
      <c r="AA914" s="90"/>
      <c r="AB914" s="90"/>
    </row>
    <row r="915" spans="1:28" ht="16">
      <c r="A915" s="100"/>
      <c r="B915" s="91"/>
      <c r="C915" s="97"/>
      <c r="D915" s="98"/>
      <c r="E915" s="99"/>
      <c r="F915" s="92"/>
      <c r="G915" s="93" t="b">
        <v>0</v>
      </c>
      <c r="H915" s="93"/>
      <c r="I915" s="90"/>
      <c r="J915" s="90"/>
      <c r="K915" s="90"/>
      <c r="L915" s="90"/>
      <c r="M915" s="90"/>
      <c r="N915" s="90"/>
      <c r="O915" s="90"/>
      <c r="P915" s="90"/>
      <c r="Q915" s="90"/>
      <c r="R915" s="90"/>
      <c r="S915" s="90"/>
      <c r="T915" s="90"/>
      <c r="U915" s="90"/>
      <c r="V915" s="90"/>
      <c r="W915" s="90"/>
      <c r="X915" s="90"/>
      <c r="Y915" s="90"/>
      <c r="Z915" s="90"/>
      <c r="AA915" s="90"/>
      <c r="AB915" s="90"/>
    </row>
    <row r="916" spans="1:28" ht="16">
      <c r="A916" s="100"/>
      <c r="B916" s="87"/>
      <c r="C916" s="94"/>
      <c r="D916" s="95"/>
      <c r="E916" s="96"/>
      <c r="F916" s="88"/>
      <c r="G916" s="89" t="b">
        <v>0</v>
      </c>
      <c r="H916" s="89"/>
      <c r="I916" s="90"/>
      <c r="J916" s="90"/>
      <c r="K916" s="90"/>
      <c r="L916" s="90"/>
      <c r="M916" s="90"/>
      <c r="N916" s="90"/>
      <c r="O916" s="90"/>
      <c r="P916" s="90"/>
      <c r="Q916" s="90"/>
      <c r="R916" s="90"/>
      <c r="S916" s="90"/>
      <c r="T916" s="90"/>
      <c r="U916" s="90"/>
      <c r="V916" s="90"/>
      <c r="W916" s="90"/>
      <c r="X916" s="90"/>
      <c r="Y916" s="90"/>
      <c r="Z916" s="90"/>
      <c r="AA916" s="90"/>
      <c r="AB916" s="90"/>
    </row>
    <row r="917" spans="1:28" ht="16">
      <c r="A917" s="100"/>
      <c r="B917" s="91"/>
      <c r="C917" s="97"/>
      <c r="D917" s="98"/>
      <c r="E917" s="99"/>
      <c r="F917" s="92"/>
      <c r="G917" s="93" t="b">
        <v>0</v>
      </c>
      <c r="H917" s="93"/>
      <c r="I917" s="90"/>
      <c r="J917" s="90"/>
      <c r="K917" s="90"/>
      <c r="L917" s="90"/>
      <c r="M917" s="90"/>
      <c r="N917" s="90"/>
      <c r="O917" s="90"/>
      <c r="P917" s="90"/>
      <c r="Q917" s="90"/>
      <c r="R917" s="90"/>
      <c r="S917" s="90"/>
      <c r="T917" s="90"/>
      <c r="U917" s="90"/>
      <c r="V917" s="90"/>
      <c r="W917" s="90"/>
      <c r="X917" s="90"/>
      <c r="Y917" s="90"/>
      <c r="Z917" s="90"/>
      <c r="AA917" s="90"/>
      <c r="AB917" s="90"/>
    </row>
    <row r="918" spans="1:28" ht="16">
      <c r="A918" s="100"/>
      <c r="B918" s="87"/>
      <c r="C918" s="94"/>
      <c r="D918" s="95"/>
      <c r="E918" s="96"/>
      <c r="F918" s="88"/>
      <c r="G918" s="89" t="b">
        <v>0</v>
      </c>
      <c r="H918" s="89"/>
      <c r="I918" s="90"/>
      <c r="J918" s="90"/>
      <c r="K918" s="90"/>
      <c r="L918" s="90"/>
      <c r="M918" s="90"/>
      <c r="N918" s="90"/>
      <c r="O918" s="90"/>
      <c r="P918" s="90"/>
      <c r="Q918" s="90"/>
      <c r="R918" s="90"/>
      <c r="S918" s="90"/>
      <c r="T918" s="90"/>
      <c r="U918" s="90"/>
      <c r="V918" s="90"/>
      <c r="W918" s="90"/>
      <c r="X918" s="90"/>
      <c r="Y918" s="90"/>
      <c r="Z918" s="90"/>
      <c r="AA918" s="90"/>
      <c r="AB918" s="90"/>
    </row>
    <row r="919" spans="1:28" ht="16">
      <c r="A919" s="100"/>
      <c r="B919" s="91"/>
      <c r="C919" s="97"/>
      <c r="D919" s="98"/>
      <c r="E919" s="99"/>
      <c r="F919" s="92"/>
      <c r="G919" s="93" t="b">
        <v>0</v>
      </c>
      <c r="H919" s="93"/>
      <c r="I919" s="90"/>
      <c r="J919" s="90"/>
      <c r="K919" s="90"/>
      <c r="L919" s="90"/>
      <c r="M919" s="90"/>
      <c r="N919" s="90"/>
      <c r="O919" s="90"/>
      <c r="P919" s="90"/>
      <c r="Q919" s="90"/>
      <c r="R919" s="90"/>
      <c r="S919" s="90"/>
      <c r="T919" s="90"/>
      <c r="U919" s="90"/>
      <c r="V919" s="90"/>
      <c r="W919" s="90"/>
      <c r="X919" s="90"/>
      <c r="Y919" s="90"/>
      <c r="Z919" s="90"/>
      <c r="AA919" s="90"/>
      <c r="AB919" s="90"/>
    </row>
    <row r="920" spans="1:28" ht="16">
      <c r="A920" s="100"/>
      <c r="B920" s="87"/>
      <c r="C920" s="94"/>
      <c r="D920" s="95"/>
      <c r="E920" s="96"/>
      <c r="F920" s="88"/>
      <c r="G920" s="89" t="b">
        <v>0</v>
      </c>
      <c r="H920" s="89"/>
      <c r="I920" s="90"/>
      <c r="J920" s="90"/>
      <c r="K920" s="90"/>
      <c r="L920" s="90"/>
      <c r="M920" s="90"/>
      <c r="N920" s="90"/>
      <c r="O920" s="90"/>
      <c r="P920" s="90"/>
      <c r="Q920" s="90"/>
      <c r="R920" s="90"/>
      <c r="S920" s="90"/>
      <c r="T920" s="90"/>
      <c r="U920" s="90"/>
      <c r="V920" s="90"/>
      <c r="W920" s="90"/>
      <c r="X920" s="90"/>
      <c r="Y920" s="90"/>
      <c r="Z920" s="90"/>
      <c r="AA920" s="90"/>
      <c r="AB920" s="90"/>
    </row>
    <row r="921" spans="1:28" ht="16">
      <c r="A921" s="100"/>
      <c r="B921" s="91"/>
      <c r="C921" s="97"/>
      <c r="D921" s="98"/>
      <c r="E921" s="99"/>
      <c r="F921" s="92"/>
      <c r="G921" s="93" t="b">
        <v>0</v>
      </c>
      <c r="H921" s="93"/>
      <c r="I921" s="90"/>
      <c r="J921" s="90"/>
      <c r="K921" s="90"/>
      <c r="L921" s="90"/>
      <c r="M921" s="90"/>
      <c r="N921" s="90"/>
      <c r="O921" s="90"/>
      <c r="P921" s="90"/>
      <c r="Q921" s="90"/>
      <c r="R921" s="90"/>
      <c r="S921" s="90"/>
      <c r="T921" s="90"/>
      <c r="U921" s="90"/>
      <c r="V921" s="90"/>
      <c r="W921" s="90"/>
      <c r="X921" s="90"/>
      <c r="Y921" s="90"/>
      <c r="Z921" s="90"/>
      <c r="AA921" s="90"/>
      <c r="AB921" s="90"/>
    </row>
    <row r="922" spans="1:28" ht="16">
      <c r="A922" s="100"/>
      <c r="B922" s="87"/>
      <c r="C922" s="94"/>
      <c r="D922" s="95"/>
      <c r="E922" s="96"/>
      <c r="F922" s="88"/>
      <c r="G922" s="89" t="b">
        <v>0</v>
      </c>
      <c r="H922" s="89"/>
      <c r="I922" s="90"/>
      <c r="J922" s="90"/>
      <c r="K922" s="90"/>
      <c r="L922" s="90"/>
      <c r="M922" s="90"/>
      <c r="N922" s="90"/>
      <c r="O922" s="90"/>
      <c r="P922" s="90"/>
      <c r="Q922" s="90"/>
      <c r="R922" s="90"/>
      <c r="S922" s="90"/>
      <c r="T922" s="90"/>
      <c r="U922" s="90"/>
      <c r="V922" s="90"/>
      <c r="W922" s="90"/>
      <c r="X922" s="90"/>
      <c r="Y922" s="90"/>
      <c r="Z922" s="90"/>
      <c r="AA922" s="90"/>
      <c r="AB922" s="90"/>
    </row>
    <row r="923" spans="1:28" ht="16">
      <c r="A923" s="100"/>
      <c r="B923" s="91"/>
      <c r="C923" s="97"/>
      <c r="D923" s="98"/>
      <c r="E923" s="99"/>
      <c r="F923" s="92"/>
      <c r="G923" s="93" t="b">
        <v>0</v>
      </c>
      <c r="H923" s="93"/>
      <c r="I923" s="90"/>
      <c r="J923" s="90"/>
      <c r="K923" s="90"/>
      <c r="L923" s="90"/>
      <c r="M923" s="90"/>
      <c r="N923" s="90"/>
      <c r="O923" s="90"/>
      <c r="P923" s="90"/>
      <c r="Q923" s="90"/>
      <c r="R923" s="90"/>
      <c r="S923" s="90"/>
      <c r="T923" s="90"/>
      <c r="U923" s="90"/>
      <c r="V923" s="90"/>
      <c r="W923" s="90"/>
      <c r="X923" s="90"/>
      <c r="Y923" s="90"/>
      <c r="Z923" s="90"/>
      <c r="AA923" s="90"/>
      <c r="AB923" s="90"/>
    </row>
    <row r="924" spans="1:28" ht="16">
      <c r="A924" s="100"/>
      <c r="B924" s="87"/>
      <c r="C924" s="94"/>
      <c r="D924" s="95"/>
      <c r="E924" s="96"/>
      <c r="F924" s="88"/>
      <c r="G924" s="89" t="b">
        <v>0</v>
      </c>
      <c r="H924" s="89"/>
      <c r="I924" s="90"/>
      <c r="J924" s="90"/>
      <c r="K924" s="90"/>
      <c r="L924" s="90"/>
      <c r="M924" s="90"/>
      <c r="N924" s="90"/>
      <c r="O924" s="90"/>
      <c r="P924" s="90"/>
      <c r="Q924" s="90"/>
      <c r="R924" s="90"/>
      <c r="S924" s="90"/>
      <c r="T924" s="90"/>
      <c r="U924" s="90"/>
      <c r="V924" s="90"/>
      <c r="W924" s="90"/>
      <c r="X924" s="90"/>
      <c r="Y924" s="90"/>
      <c r="Z924" s="90"/>
      <c r="AA924" s="90"/>
      <c r="AB924" s="90"/>
    </row>
    <row r="925" spans="1:28" ht="16">
      <c r="A925" s="100"/>
      <c r="B925" s="91"/>
      <c r="C925" s="97"/>
      <c r="D925" s="98"/>
      <c r="E925" s="99"/>
      <c r="F925" s="92"/>
      <c r="G925" s="93" t="b">
        <v>0</v>
      </c>
      <c r="H925" s="93"/>
      <c r="I925" s="90"/>
      <c r="J925" s="90"/>
      <c r="K925" s="90"/>
      <c r="L925" s="90"/>
      <c r="M925" s="90"/>
      <c r="N925" s="90"/>
      <c r="O925" s="90"/>
      <c r="P925" s="90"/>
      <c r="Q925" s="90"/>
      <c r="R925" s="90"/>
      <c r="S925" s="90"/>
      <c r="T925" s="90"/>
      <c r="U925" s="90"/>
      <c r="V925" s="90"/>
      <c r="W925" s="90"/>
      <c r="X925" s="90"/>
      <c r="Y925" s="90"/>
      <c r="Z925" s="90"/>
      <c r="AA925" s="90"/>
      <c r="AB925" s="90"/>
    </row>
    <row r="926" spans="1:28" ht="16">
      <c r="A926" s="100"/>
      <c r="B926" s="87"/>
      <c r="C926" s="94"/>
      <c r="D926" s="95"/>
      <c r="E926" s="96"/>
      <c r="F926" s="88"/>
      <c r="G926" s="89" t="b">
        <v>0</v>
      </c>
      <c r="H926" s="89"/>
      <c r="I926" s="90"/>
      <c r="J926" s="90"/>
      <c r="K926" s="90"/>
      <c r="L926" s="90"/>
      <c r="M926" s="90"/>
      <c r="N926" s="90"/>
      <c r="O926" s="90"/>
      <c r="P926" s="90"/>
      <c r="Q926" s="90"/>
      <c r="R926" s="90"/>
      <c r="S926" s="90"/>
      <c r="T926" s="90"/>
      <c r="U926" s="90"/>
      <c r="V926" s="90"/>
      <c r="W926" s="90"/>
      <c r="X926" s="90"/>
      <c r="Y926" s="90"/>
      <c r="Z926" s="90"/>
      <c r="AA926" s="90"/>
      <c r="AB926" s="90"/>
    </row>
    <row r="927" spans="1:28" ht="16">
      <c r="A927" s="100"/>
      <c r="B927" s="91"/>
      <c r="C927" s="97"/>
      <c r="D927" s="98"/>
      <c r="E927" s="99"/>
      <c r="F927" s="92"/>
      <c r="G927" s="93" t="b">
        <v>0</v>
      </c>
      <c r="H927" s="93"/>
      <c r="I927" s="90"/>
      <c r="J927" s="90"/>
      <c r="K927" s="90"/>
      <c r="L927" s="90"/>
      <c r="M927" s="90"/>
      <c r="N927" s="90"/>
      <c r="O927" s="90"/>
      <c r="P927" s="90"/>
      <c r="Q927" s="90"/>
      <c r="R927" s="90"/>
      <c r="S927" s="90"/>
      <c r="T927" s="90"/>
      <c r="U927" s="90"/>
      <c r="V927" s="90"/>
      <c r="W927" s="90"/>
      <c r="X927" s="90"/>
      <c r="Y927" s="90"/>
      <c r="Z927" s="90"/>
      <c r="AA927" s="90"/>
      <c r="AB927" s="90"/>
    </row>
    <row r="928" spans="1:28" ht="16">
      <c r="A928" s="100"/>
      <c r="B928" s="87"/>
      <c r="C928" s="94"/>
      <c r="D928" s="95"/>
      <c r="E928" s="96"/>
      <c r="F928" s="88"/>
      <c r="G928" s="89" t="b">
        <v>0</v>
      </c>
      <c r="H928" s="89"/>
      <c r="I928" s="90"/>
      <c r="J928" s="90"/>
      <c r="K928" s="90"/>
      <c r="L928" s="90"/>
      <c r="M928" s="90"/>
      <c r="N928" s="90"/>
      <c r="O928" s="90"/>
      <c r="P928" s="90"/>
      <c r="Q928" s="90"/>
      <c r="R928" s="90"/>
      <c r="S928" s="90"/>
      <c r="T928" s="90"/>
      <c r="U928" s="90"/>
      <c r="V928" s="90"/>
      <c r="W928" s="90"/>
      <c r="X928" s="90"/>
      <c r="Y928" s="90"/>
      <c r="Z928" s="90"/>
      <c r="AA928" s="90"/>
      <c r="AB928" s="90"/>
    </row>
    <row r="929" spans="1:28" ht="16">
      <c r="A929" s="100"/>
      <c r="B929" s="91"/>
      <c r="C929" s="97"/>
      <c r="D929" s="98"/>
      <c r="E929" s="99"/>
      <c r="F929" s="92"/>
      <c r="G929" s="93" t="b">
        <v>0</v>
      </c>
      <c r="H929" s="93"/>
      <c r="I929" s="90"/>
      <c r="J929" s="90"/>
      <c r="K929" s="90"/>
      <c r="L929" s="90"/>
      <c r="M929" s="90"/>
      <c r="N929" s="90"/>
      <c r="O929" s="90"/>
      <c r="P929" s="90"/>
      <c r="Q929" s="90"/>
      <c r="R929" s="90"/>
      <c r="S929" s="90"/>
      <c r="T929" s="90"/>
      <c r="U929" s="90"/>
      <c r="V929" s="90"/>
      <c r="W929" s="90"/>
      <c r="X929" s="90"/>
      <c r="Y929" s="90"/>
      <c r="Z929" s="90"/>
      <c r="AA929" s="90"/>
      <c r="AB929" s="90"/>
    </row>
    <row r="930" spans="1:28" ht="16">
      <c r="A930" s="100"/>
      <c r="B930" s="87"/>
      <c r="C930" s="94"/>
      <c r="D930" s="95"/>
      <c r="E930" s="96"/>
      <c r="F930" s="88"/>
      <c r="G930" s="89" t="b">
        <v>0</v>
      </c>
      <c r="H930" s="89"/>
      <c r="I930" s="90"/>
      <c r="J930" s="90"/>
      <c r="K930" s="90"/>
      <c r="L930" s="90"/>
      <c r="M930" s="90"/>
      <c r="N930" s="90"/>
      <c r="O930" s="90"/>
      <c r="P930" s="90"/>
      <c r="Q930" s="90"/>
      <c r="R930" s="90"/>
      <c r="S930" s="90"/>
      <c r="T930" s="90"/>
      <c r="U930" s="90"/>
      <c r="V930" s="90"/>
      <c r="W930" s="90"/>
      <c r="X930" s="90"/>
      <c r="Y930" s="90"/>
      <c r="Z930" s="90"/>
      <c r="AA930" s="90"/>
      <c r="AB930" s="90"/>
    </row>
    <row r="931" spans="1:28" ht="16">
      <c r="A931" s="100"/>
      <c r="B931" s="91"/>
      <c r="C931" s="97"/>
      <c r="D931" s="98"/>
      <c r="E931" s="99"/>
      <c r="F931" s="92"/>
      <c r="G931" s="93" t="b">
        <v>0</v>
      </c>
      <c r="H931" s="93"/>
      <c r="I931" s="90"/>
      <c r="J931" s="90"/>
      <c r="K931" s="90"/>
      <c r="L931" s="90"/>
      <c r="M931" s="90"/>
      <c r="N931" s="90"/>
      <c r="O931" s="90"/>
      <c r="P931" s="90"/>
      <c r="Q931" s="90"/>
      <c r="R931" s="90"/>
      <c r="S931" s="90"/>
      <c r="T931" s="90"/>
      <c r="U931" s="90"/>
      <c r="V931" s="90"/>
      <c r="W931" s="90"/>
      <c r="X931" s="90"/>
      <c r="Y931" s="90"/>
      <c r="Z931" s="90"/>
      <c r="AA931" s="90"/>
      <c r="AB931" s="90"/>
    </row>
    <row r="932" spans="1:28" ht="16">
      <c r="A932" s="100"/>
      <c r="B932" s="87"/>
      <c r="C932" s="94"/>
      <c r="D932" s="95"/>
      <c r="E932" s="96"/>
      <c r="F932" s="88"/>
      <c r="G932" s="89" t="b">
        <v>0</v>
      </c>
      <c r="H932" s="89"/>
      <c r="I932" s="90"/>
      <c r="J932" s="90"/>
      <c r="K932" s="90"/>
      <c r="L932" s="90"/>
      <c r="M932" s="90"/>
      <c r="N932" s="90"/>
      <c r="O932" s="90"/>
      <c r="P932" s="90"/>
      <c r="Q932" s="90"/>
      <c r="R932" s="90"/>
      <c r="S932" s="90"/>
      <c r="T932" s="90"/>
      <c r="U932" s="90"/>
      <c r="V932" s="90"/>
      <c r="W932" s="90"/>
      <c r="X932" s="90"/>
      <c r="Y932" s="90"/>
      <c r="Z932" s="90"/>
      <c r="AA932" s="90"/>
      <c r="AB932" s="90"/>
    </row>
    <row r="933" spans="1:28" ht="16">
      <c r="A933" s="100"/>
      <c r="B933" s="91"/>
      <c r="C933" s="97"/>
      <c r="D933" s="98"/>
      <c r="E933" s="99"/>
      <c r="F933" s="92"/>
      <c r="G933" s="93" t="b">
        <v>0</v>
      </c>
      <c r="H933" s="93"/>
      <c r="I933" s="90"/>
      <c r="J933" s="90"/>
      <c r="K933" s="90"/>
      <c r="L933" s="90"/>
      <c r="M933" s="90"/>
      <c r="N933" s="90"/>
      <c r="O933" s="90"/>
      <c r="P933" s="90"/>
      <c r="Q933" s="90"/>
      <c r="R933" s="90"/>
      <c r="S933" s="90"/>
      <c r="T933" s="90"/>
      <c r="U933" s="90"/>
      <c r="V933" s="90"/>
      <c r="W933" s="90"/>
      <c r="X933" s="90"/>
      <c r="Y933" s="90"/>
      <c r="Z933" s="90"/>
      <c r="AA933" s="90"/>
      <c r="AB933" s="90"/>
    </row>
    <row r="934" spans="1:28" ht="16">
      <c r="A934" s="100"/>
      <c r="B934" s="87"/>
      <c r="C934" s="94"/>
      <c r="D934" s="95"/>
      <c r="E934" s="96"/>
      <c r="F934" s="88"/>
      <c r="G934" s="89" t="b">
        <v>0</v>
      </c>
      <c r="H934" s="89"/>
      <c r="I934" s="90"/>
      <c r="J934" s="90"/>
      <c r="K934" s="90"/>
      <c r="L934" s="90"/>
      <c r="M934" s="90"/>
      <c r="N934" s="90"/>
      <c r="O934" s="90"/>
      <c r="P934" s="90"/>
      <c r="Q934" s="90"/>
      <c r="R934" s="90"/>
      <c r="S934" s="90"/>
      <c r="T934" s="90"/>
      <c r="U934" s="90"/>
      <c r="V934" s="90"/>
      <c r="W934" s="90"/>
      <c r="X934" s="90"/>
      <c r="Y934" s="90"/>
      <c r="Z934" s="90"/>
      <c r="AA934" s="90"/>
      <c r="AB934" s="90"/>
    </row>
    <row r="935" spans="1:28" ht="16">
      <c r="A935" s="100"/>
      <c r="B935" s="91"/>
      <c r="C935" s="97"/>
      <c r="D935" s="98"/>
      <c r="E935" s="99"/>
      <c r="F935" s="92"/>
      <c r="G935" s="93" t="b">
        <v>0</v>
      </c>
      <c r="H935" s="93"/>
      <c r="I935" s="90"/>
      <c r="J935" s="90"/>
      <c r="K935" s="90"/>
      <c r="L935" s="90"/>
      <c r="M935" s="90"/>
      <c r="N935" s="90"/>
      <c r="O935" s="90"/>
      <c r="P935" s="90"/>
      <c r="Q935" s="90"/>
      <c r="R935" s="90"/>
      <c r="S935" s="90"/>
      <c r="T935" s="90"/>
      <c r="U935" s="90"/>
      <c r="V935" s="90"/>
      <c r="W935" s="90"/>
      <c r="X935" s="90"/>
      <c r="Y935" s="90"/>
      <c r="Z935" s="90"/>
      <c r="AA935" s="90"/>
      <c r="AB935" s="90"/>
    </row>
    <row r="936" spans="1:28" ht="16">
      <c r="A936" s="100"/>
      <c r="B936" s="87"/>
      <c r="C936" s="94"/>
      <c r="D936" s="95"/>
      <c r="E936" s="96"/>
      <c r="F936" s="88"/>
      <c r="G936" s="89" t="b">
        <v>0</v>
      </c>
      <c r="H936" s="89"/>
      <c r="I936" s="90"/>
      <c r="J936" s="90"/>
      <c r="K936" s="90"/>
      <c r="L936" s="90"/>
      <c r="M936" s="90"/>
      <c r="N936" s="90"/>
      <c r="O936" s="90"/>
      <c r="P936" s="90"/>
      <c r="Q936" s="90"/>
      <c r="R936" s="90"/>
      <c r="S936" s="90"/>
      <c r="T936" s="90"/>
      <c r="U936" s="90"/>
      <c r="V936" s="90"/>
      <c r="W936" s="90"/>
      <c r="X936" s="90"/>
      <c r="Y936" s="90"/>
      <c r="Z936" s="90"/>
      <c r="AA936" s="90"/>
      <c r="AB936" s="90"/>
    </row>
    <row r="937" spans="1:28" ht="16">
      <c r="A937" s="100"/>
      <c r="B937" s="91"/>
      <c r="C937" s="97"/>
      <c r="D937" s="98"/>
      <c r="E937" s="99"/>
      <c r="F937" s="92"/>
      <c r="G937" s="93" t="b">
        <v>0</v>
      </c>
      <c r="H937" s="93"/>
      <c r="I937" s="90"/>
      <c r="J937" s="90"/>
      <c r="K937" s="90"/>
      <c r="L937" s="90"/>
      <c r="M937" s="90"/>
      <c r="N937" s="90"/>
      <c r="O937" s="90"/>
      <c r="P937" s="90"/>
      <c r="Q937" s="90"/>
      <c r="R937" s="90"/>
      <c r="S937" s="90"/>
      <c r="T937" s="90"/>
      <c r="U937" s="90"/>
      <c r="V937" s="90"/>
      <c r="W937" s="90"/>
      <c r="X937" s="90"/>
      <c r="Y937" s="90"/>
      <c r="Z937" s="90"/>
      <c r="AA937" s="90"/>
      <c r="AB937" s="90"/>
    </row>
    <row r="938" spans="1:28" ht="16">
      <c r="A938" s="100"/>
      <c r="B938" s="87"/>
      <c r="C938" s="94"/>
      <c r="D938" s="95"/>
      <c r="E938" s="96"/>
      <c r="F938" s="88"/>
      <c r="G938" s="89" t="b">
        <v>0</v>
      </c>
      <c r="H938" s="89"/>
      <c r="I938" s="90"/>
      <c r="J938" s="90"/>
      <c r="K938" s="90"/>
      <c r="L938" s="90"/>
      <c r="M938" s="90"/>
      <c r="N938" s="90"/>
      <c r="O938" s="90"/>
      <c r="P938" s="90"/>
      <c r="Q938" s="90"/>
      <c r="R938" s="90"/>
      <c r="S938" s="90"/>
      <c r="T938" s="90"/>
      <c r="U938" s="90"/>
      <c r="V938" s="90"/>
      <c r="W938" s="90"/>
      <c r="X938" s="90"/>
      <c r="Y938" s="90"/>
      <c r="Z938" s="90"/>
      <c r="AA938" s="90"/>
      <c r="AB938" s="90"/>
    </row>
    <row r="939" spans="1:28" ht="16">
      <c r="A939" s="100"/>
      <c r="B939" s="91"/>
      <c r="C939" s="97"/>
      <c r="D939" s="98"/>
      <c r="E939" s="99"/>
      <c r="F939" s="92"/>
      <c r="G939" s="93" t="b">
        <v>0</v>
      </c>
      <c r="H939" s="93"/>
      <c r="I939" s="90"/>
      <c r="J939" s="90"/>
      <c r="K939" s="90"/>
      <c r="L939" s="90"/>
      <c r="M939" s="90"/>
      <c r="N939" s="90"/>
      <c r="O939" s="90"/>
      <c r="P939" s="90"/>
      <c r="Q939" s="90"/>
      <c r="R939" s="90"/>
      <c r="S939" s="90"/>
      <c r="T939" s="90"/>
      <c r="U939" s="90"/>
      <c r="V939" s="90"/>
      <c r="W939" s="90"/>
      <c r="X939" s="90"/>
      <c r="Y939" s="90"/>
      <c r="Z939" s="90"/>
      <c r="AA939" s="90"/>
      <c r="AB939" s="90"/>
    </row>
    <row r="940" spans="1:28" ht="16">
      <c r="A940" s="100"/>
      <c r="B940" s="87"/>
      <c r="C940" s="94"/>
      <c r="D940" s="95"/>
      <c r="E940" s="96"/>
      <c r="F940" s="88"/>
      <c r="G940" s="89" t="b">
        <v>0</v>
      </c>
      <c r="H940" s="89"/>
      <c r="I940" s="90"/>
      <c r="J940" s="90"/>
      <c r="K940" s="90"/>
      <c r="L940" s="90"/>
      <c r="M940" s="90"/>
      <c r="N940" s="90"/>
      <c r="O940" s="90"/>
      <c r="P940" s="90"/>
      <c r="Q940" s="90"/>
      <c r="R940" s="90"/>
      <c r="S940" s="90"/>
      <c r="T940" s="90"/>
      <c r="U940" s="90"/>
      <c r="V940" s="90"/>
      <c r="W940" s="90"/>
      <c r="X940" s="90"/>
      <c r="Y940" s="90"/>
      <c r="Z940" s="90"/>
      <c r="AA940" s="90"/>
      <c r="AB940" s="90"/>
    </row>
    <row r="941" spans="1:28" ht="16">
      <c r="A941" s="100"/>
      <c r="B941" s="91"/>
      <c r="C941" s="97"/>
      <c r="D941" s="98"/>
      <c r="E941" s="99"/>
      <c r="F941" s="92"/>
      <c r="G941" s="93" t="b">
        <v>0</v>
      </c>
      <c r="H941" s="93"/>
      <c r="I941" s="90"/>
      <c r="J941" s="90"/>
      <c r="K941" s="90"/>
      <c r="L941" s="90"/>
      <c r="M941" s="90"/>
      <c r="N941" s="90"/>
      <c r="O941" s="90"/>
      <c r="P941" s="90"/>
      <c r="Q941" s="90"/>
      <c r="R941" s="90"/>
      <c r="S941" s="90"/>
      <c r="T941" s="90"/>
      <c r="U941" s="90"/>
      <c r="V941" s="90"/>
      <c r="W941" s="90"/>
      <c r="X941" s="90"/>
      <c r="Y941" s="90"/>
      <c r="Z941" s="90"/>
      <c r="AA941" s="90"/>
      <c r="AB941" s="90"/>
    </row>
    <row r="942" spans="1:28" ht="16">
      <c r="A942" s="100"/>
      <c r="B942" s="87"/>
      <c r="C942" s="94"/>
      <c r="D942" s="95"/>
      <c r="E942" s="96"/>
      <c r="F942" s="88"/>
      <c r="G942" s="89" t="b">
        <v>0</v>
      </c>
      <c r="H942" s="89"/>
      <c r="I942" s="90"/>
      <c r="J942" s="90"/>
      <c r="K942" s="90"/>
      <c r="L942" s="90"/>
      <c r="M942" s="90"/>
      <c r="N942" s="90"/>
      <c r="O942" s="90"/>
      <c r="P942" s="90"/>
      <c r="Q942" s="90"/>
      <c r="R942" s="90"/>
      <c r="S942" s="90"/>
      <c r="T942" s="90"/>
      <c r="U942" s="90"/>
      <c r="V942" s="90"/>
      <c r="W942" s="90"/>
      <c r="X942" s="90"/>
      <c r="Y942" s="90"/>
      <c r="Z942" s="90"/>
      <c r="AA942" s="90"/>
      <c r="AB942" s="90"/>
    </row>
    <row r="943" spans="1:28" ht="16">
      <c r="A943" s="100"/>
      <c r="B943" s="91"/>
      <c r="C943" s="97"/>
      <c r="D943" s="98"/>
      <c r="E943" s="99"/>
      <c r="F943" s="92"/>
      <c r="G943" s="93" t="b">
        <v>0</v>
      </c>
      <c r="H943" s="93"/>
      <c r="I943" s="90"/>
      <c r="J943" s="90"/>
      <c r="K943" s="90"/>
      <c r="L943" s="90"/>
      <c r="M943" s="90"/>
      <c r="N943" s="90"/>
      <c r="O943" s="90"/>
      <c r="P943" s="90"/>
      <c r="Q943" s="90"/>
      <c r="R943" s="90"/>
      <c r="S943" s="90"/>
      <c r="T943" s="90"/>
      <c r="U943" s="90"/>
      <c r="V943" s="90"/>
      <c r="W943" s="90"/>
      <c r="X943" s="90"/>
      <c r="Y943" s="90"/>
      <c r="Z943" s="90"/>
      <c r="AA943" s="90"/>
      <c r="AB943" s="90"/>
    </row>
    <row r="944" spans="1:28" ht="16">
      <c r="A944" s="100"/>
      <c r="B944" s="87"/>
      <c r="C944" s="94"/>
      <c r="D944" s="95"/>
      <c r="E944" s="96"/>
      <c r="F944" s="88"/>
      <c r="G944" s="89" t="b">
        <v>0</v>
      </c>
      <c r="H944" s="89"/>
      <c r="I944" s="90"/>
      <c r="J944" s="90"/>
      <c r="K944" s="90"/>
      <c r="L944" s="90"/>
      <c r="M944" s="90"/>
      <c r="N944" s="90"/>
      <c r="O944" s="90"/>
      <c r="P944" s="90"/>
      <c r="Q944" s="90"/>
      <c r="R944" s="90"/>
      <c r="S944" s="90"/>
      <c r="T944" s="90"/>
      <c r="U944" s="90"/>
      <c r="V944" s="90"/>
      <c r="W944" s="90"/>
      <c r="X944" s="90"/>
      <c r="Y944" s="90"/>
      <c r="Z944" s="90"/>
      <c r="AA944" s="90"/>
      <c r="AB944" s="90"/>
    </row>
    <row r="945" spans="1:28" ht="16">
      <c r="A945" s="100"/>
      <c r="B945" s="91"/>
      <c r="C945" s="97"/>
      <c r="D945" s="98"/>
      <c r="E945" s="99"/>
      <c r="F945" s="92"/>
      <c r="G945" s="93" t="b">
        <v>0</v>
      </c>
      <c r="H945" s="93"/>
      <c r="I945" s="90"/>
      <c r="J945" s="90"/>
      <c r="K945" s="90"/>
      <c r="L945" s="90"/>
      <c r="M945" s="90"/>
      <c r="N945" s="90"/>
      <c r="O945" s="90"/>
      <c r="P945" s="90"/>
      <c r="Q945" s="90"/>
      <c r="R945" s="90"/>
      <c r="S945" s="90"/>
      <c r="T945" s="90"/>
      <c r="U945" s="90"/>
      <c r="V945" s="90"/>
      <c r="W945" s="90"/>
      <c r="X945" s="90"/>
      <c r="Y945" s="90"/>
      <c r="Z945" s="90"/>
      <c r="AA945" s="90"/>
      <c r="AB945" s="90"/>
    </row>
    <row r="946" spans="1:28" ht="16">
      <c r="A946" s="100"/>
      <c r="B946" s="87"/>
      <c r="C946" s="94"/>
      <c r="D946" s="95"/>
      <c r="E946" s="96"/>
      <c r="F946" s="88"/>
      <c r="G946" s="89" t="b">
        <v>0</v>
      </c>
      <c r="H946" s="89"/>
      <c r="I946" s="90"/>
      <c r="J946" s="90"/>
      <c r="K946" s="90"/>
      <c r="L946" s="90"/>
      <c r="M946" s="90"/>
      <c r="N946" s="90"/>
      <c r="O946" s="90"/>
      <c r="P946" s="90"/>
      <c r="Q946" s="90"/>
      <c r="R946" s="90"/>
      <c r="S946" s="90"/>
      <c r="T946" s="90"/>
      <c r="U946" s="90"/>
      <c r="V946" s="90"/>
      <c r="W946" s="90"/>
      <c r="X946" s="90"/>
      <c r="Y946" s="90"/>
      <c r="Z946" s="90"/>
      <c r="AA946" s="90"/>
      <c r="AB946" s="90"/>
    </row>
    <row r="947" spans="1:28" ht="16">
      <c r="A947" s="100"/>
      <c r="B947" s="91"/>
      <c r="C947" s="97"/>
      <c r="D947" s="98"/>
      <c r="E947" s="99"/>
      <c r="F947" s="92"/>
      <c r="G947" s="93" t="b">
        <v>0</v>
      </c>
      <c r="H947" s="93"/>
      <c r="I947" s="90"/>
      <c r="J947" s="90"/>
      <c r="K947" s="90"/>
      <c r="L947" s="90"/>
      <c r="M947" s="90"/>
      <c r="N947" s="90"/>
      <c r="O947" s="90"/>
      <c r="P947" s="90"/>
      <c r="Q947" s="90"/>
      <c r="R947" s="90"/>
      <c r="S947" s="90"/>
      <c r="T947" s="90"/>
      <c r="U947" s="90"/>
      <c r="V947" s="90"/>
      <c r="W947" s="90"/>
      <c r="X947" s="90"/>
      <c r="Y947" s="90"/>
      <c r="Z947" s="90"/>
      <c r="AA947" s="90"/>
      <c r="AB947" s="90"/>
    </row>
    <row r="948" spans="1:28" ht="16">
      <c r="A948" s="100"/>
      <c r="B948" s="87"/>
      <c r="C948" s="94"/>
      <c r="D948" s="95"/>
      <c r="E948" s="96"/>
      <c r="F948" s="88"/>
      <c r="G948" s="89" t="b">
        <v>0</v>
      </c>
      <c r="H948" s="89"/>
      <c r="I948" s="90"/>
      <c r="J948" s="90"/>
      <c r="K948" s="90"/>
      <c r="L948" s="90"/>
      <c r="M948" s="90"/>
      <c r="N948" s="90"/>
      <c r="O948" s="90"/>
      <c r="P948" s="90"/>
      <c r="Q948" s="90"/>
      <c r="R948" s="90"/>
      <c r="S948" s="90"/>
      <c r="T948" s="90"/>
      <c r="U948" s="90"/>
      <c r="V948" s="90"/>
      <c r="W948" s="90"/>
      <c r="X948" s="90"/>
      <c r="Y948" s="90"/>
      <c r="Z948" s="90"/>
      <c r="AA948" s="90"/>
      <c r="AB948" s="90"/>
    </row>
    <row r="949" spans="1:28" ht="16">
      <c r="A949" s="100"/>
      <c r="B949" s="91"/>
      <c r="C949" s="97"/>
      <c r="D949" s="98"/>
      <c r="E949" s="99"/>
      <c r="F949" s="92"/>
      <c r="G949" s="93" t="b">
        <v>0</v>
      </c>
      <c r="H949" s="93"/>
      <c r="I949" s="90"/>
      <c r="J949" s="90"/>
      <c r="K949" s="90"/>
      <c r="L949" s="90"/>
      <c r="M949" s="90"/>
      <c r="N949" s="90"/>
      <c r="O949" s="90"/>
      <c r="P949" s="90"/>
      <c r="Q949" s="90"/>
      <c r="R949" s="90"/>
      <c r="S949" s="90"/>
      <c r="T949" s="90"/>
      <c r="U949" s="90"/>
      <c r="V949" s="90"/>
      <c r="W949" s="90"/>
      <c r="X949" s="90"/>
      <c r="Y949" s="90"/>
      <c r="Z949" s="90"/>
      <c r="AA949" s="90"/>
      <c r="AB949" s="90"/>
    </row>
    <row r="950" spans="1:28" ht="16">
      <c r="A950" s="100"/>
      <c r="B950" s="87"/>
      <c r="C950" s="94"/>
      <c r="D950" s="95"/>
      <c r="E950" s="96"/>
      <c r="F950" s="88"/>
      <c r="G950" s="89" t="b">
        <v>0</v>
      </c>
      <c r="H950" s="89"/>
      <c r="I950" s="90"/>
      <c r="J950" s="90"/>
      <c r="K950" s="90"/>
      <c r="L950" s="90"/>
      <c r="M950" s="90"/>
      <c r="N950" s="90"/>
      <c r="O950" s="90"/>
      <c r="P950" s="90"/>
      <c r="Q950" s="90"/>
      <c r="R950" s="90"/>
      <c r="S950" s="90"/>
      <c r="T950" s="90"/>
      <c r="U950" s="90"/>
      <c r="V950" s="90"/>
      <c r="W950" s="90"/>
      <c r="X950" s="90"/>
      <c r="Y950" s="90"/>
      <c r="Z950" s="90"/>
      <c r="AA950" s="90"/>
      <c r="AB950" s="90"/>
    </row>
    <row r="951" spans="1:28" ht="16">
      <c r="A951" s="100"/>
      <c r="B951" s="91"/>
      <c r="C951" s="97"/>
      <c r="D951" s="98"/>
      <c r="E951" s="99"/>
      <c r="F951" s="92"/>
      <c r="G951" s="93" t="b">
        <v>0</v>
      </c>
      <c r="H951" s="93"/>
      <c r="I951" s="90"/>
      <c r="J951" s="90"/>
      <c r="K951" s="90"/>
      <c r="L951" s="90"/>
      <c r="M951" s="90"/>
      <c r="N951" s="90"/>
      <c r="O951" s="90"/>
      <c r="P951" s="90"/>
      <c r="Q951" s="90"/>
      <c r="R951" s="90"/>
      <c r="S951" s="90"/>
      <c r="T951" s="90"/>
      <c r="U951" s="90"/>
      <c r="V951" s="90"/>
      <c r="W951" s="90"/>
      <c r="X951" s="90"/>
      <c r="Y951" s="90"/>
      <c r="Z951" s="90"/>
      <c r="AA951" s="90"/>
      <c r="AB951" s="90"/>
    </row>
    <row r="952" spans="1:28" ht="16">
      <c r="A952" s="100"/>
      <c r="B952" s="87"/>
      <c r="C952" s="94"/>
      <c r="D952" s="95"/>
      <c r="E952" s="96"/>
      <c r="F952" s="88"/>
      <c r="G952" s="89" t="b">
        <v>0</v>
      </c>
      <c r="H952" s="89"/>
      <c r="I952" s="90"/>
      <c r="J952" s="90"/>
      <c r="K952" s="90"/>
      <c r="L952" s="90"/>
      <c r="M952" s="90"/>
      <c r="N952" s="90"/>
      <c r="O952" s="90"/>
      <c r="P952" s="90"/>
      <c r="Q952" s="90"/>
      <c r="R952" s="90"/>
      <c r="S952" s="90"/>
      <c r="T952" s="90"/>
      <c r="U952" s="90"/>
      <c r="V952" s="90"/>
      <c r="W952" s="90"/>
      <c r="X952" s="90"/>
      <c r="Y952" s="90"/>
      <c r="Z952" s="90"/>
      <c r="AA952" s="90"/>
      <c r="AB952" s="90"/>
    </row>
    <row r="953" spans="1:28" ht="16">
      <c r="A953" s="100"/>
      <c r="B953" s="91"/>
      <c r="C953" s="97"/>
      <c r="D953" s="98"/>
      <c r="E953" s="99"/>
      <c r="F953" s="92"/>
      <c r="G953" s="93" t="b">
        <v>0</v>
      </c>
      <c r="H953" s="93"/>
      <c r="I953" s="90"/>
      <c r="J953" s="90"/>
      <c r="K953" s="90"/>
      <c r="L953" s="90"/>
      <c r="M953" s="90"/>
      <c r="N953" s="90"/>
      <c r="O953" s="90"/>
      <c r="P953" s="90"/>
      <c r="Q953" s="90"/>
      <c r="R953" s="90"/>
      <c r="S953" s="90"/>
      <c r="T953" s="90"/>
      <c r="U953" s="90"/>
      <c r="V953" s="90"/>
      <c r="W953" s="90"/>
      <c r="X953" s="90"/>
      <c r="Y953" s="90"/>
      <c r="Z953" s="90"/>
      <c r="AA953" s="90"/>
      <c r="AB953" s="90"/>
    </row>
    <row r="954" spans="1:28" ht="16">
      <c r="A954" s="100"/>
      <c r="B954" s="87"/>
      <c r="C954" s="94"/>
      <c r="D954" s="95"/>
      <c r="E954" s="96"/>
      <c r="F954" s="88"/>
      <c r="G954" s="89" t="b">
        <v>0</v>
      </c>
      <c r="H954" s="89"/>
      <c r="I954" s="90"/>
      <c r="J954" s="90"/>
      <c r="K954" s="90"/>
      <c r="L954" s="90"/>
      <c r="M954" s="90"/>
      <c r="N954" s="90"/>
      <c r="O954" s="90"/>
      <c r="P954" s="90"/>
      <c r="Q954" s="90"/>
      <c r="R954" s="90"/>
      <c r="S954" s="90"/>
      <c r="T954" s="90"/>
      <c r="U954" s="90"/>
      <c r="V954" s="90"/>
      <c r="W954" s="90"/>
      <c r="X954" s="90"/>
      <c r="Y954" s="90"/>
      <c r="Z954" s="90"/>
      <c r="AA954" s="90"/>
      <c r="AB954" s="90"/>
    </row>
    <row r="955" spans="1:28" ht="16">
      <c r="A955" s="100"/>
      <c r="B955" s="91"/>
      <c r="C955" s="97"/>
      <c r="D955" s="98"/>
      <c r="E955" s="99"/>
      <c r="F955" s="92"/>
      <c r="G955" s="93" t="b">
        <v>0</v>
      </c>
      <c r="H955" s="93"/>
      <c r="I955" s="90"/>
      <c r="J955" s="90"/>
      <c r="K955" s="90"/>
      <c r="L955" s="90"/>
      <c r="M955" s="90"/>
      <c r="N955" s="90"/>
      <c r="O955" s="90"/>
      <c r="P955" s="90"/>
      <c r="Q955" s="90"/>
      <c r="R955" s="90"/>
      <c r="S955" s="90"/>
      <c r="T955" s="90"/>
      <c r="U955" s="90"/>
      <c r="V955" s="90"/>
      <c r="W955" s="90"/>
      <c r="X955" s="90"/>
      <c r="Y955" s="90"/>
      <c r="Z955" s="90"/>
      <c r="AA955" s="90"/>
      <c r="AB955" s="90"/>
    </row>
    <row r="956" spans="1:28" ht="16">
      <c r="A956" s="100"/>
      <c r="B956" s="87"/>
      <c r="C956" s="94"/>
      <c r="D956" s="95"/>
      <c r="E956" s="96"/>
      <c r="F956" s="88"/>
      <c r="G956" s="89" t="b">
        <v>0</v>
      </c>
      <c r="H956" s="89"/>
      <c r="I956" s="90"/>
      <c r="J956" s="90"/>
      <c r="K956" s="90"/>
      <c r="L956" s="90"/>
      <c r="M956" s="90"/>
      <c r="N956" s="90"/>
      <c r="O956" s="90"/>
      <c r="P956" s="90"/>
      <c r="Q956" s="90"/>
      <c r="R956" s="90"/>
      <c r="S956" s="90"/>
      <c r="T956" s="90"/>
      <c r="U956" s="90"/>
      <c r="V956" s="90"/>
      <c r="W956" s="90"/>
      <c r="X956" s="90"/>
      <c r="Y956" s="90"/>
      <c r="Z956" s="90"/>
      <c r="AA956" s="90"/>
      <c r="AB956" s="90"/>
    </row>
    <row r="957" spans="1:28" ht="16">
      <c r="A957" s="100"/>
      <c r="B957" s="91"/>
      <c r="C957" s="97"/>
      <c r="D957" s="98"/>
      <c r="E957" s="99"/>
      <c r="F957" s="92"/>
      <c r="G957" s="93" t="b">
        <v>0</v>
      </c>
      <c r="H957" s="93"/>
      <c r="I957" s="90"/>
      <c r="J957" s="90"/>
      <c r="K957" s="90"/>
      <c r="L957" s="90"/>
      <c r="M957" s="90"/>
      <c r="N957" s="90"/>
      <c r="O957" s="90"/>
      <c r="P957" s="90"/>
      <c r="Q957" s="90"/>
      <c r="R957" s="90"/>
      <c r="S957" s="90"/>
      <c r="T957" s="90"/>
      <c r="U957" s="90"/>
      <c r="V957" s="90"/>
      <c r="W957" s="90"/>
      <c r="X957" s="90"/>
      <c r="Y957" s="90"/>
      <c r="Z957" s="90"/>
      <c r="AA957" s="90"/>
      <c r="AB957" s="90"/>
    </row>
    <row r="958" spans="1:28" ht="16">
      <c r="A958" s="100"/>
      <c r="B958" s="87"/>
      <c r="C958" s="94"/>
      <c r="D958" s="95"/>
      <c r="E958" s="96"/>
      <c r="F958" s="88"/>
      <c r="G958" s="89" t="b">
        <v>0</v>
      </c>
      <c r="H958" s="89"/>
      <c r="I958" s="90"/>
      <c r="J958" s="90"/>
      <c r="K958" s="90"/>
      <c r="L958" s="90"/>
      <c r="M958" s="90"/>
      <c r="N958" s="90"/>
      <c r="O958" s="90"/>
      <c r="P958" s="90"/>
      <c r="Q958" s="90"/>
      <c r="R958" s="90"/>
      <c r="S958" s="90"/>
      <c r="T958" s="90"/>
      <c r="U958" s="90"/>
      <c r="V958" s="90"/>
      <c r="W958" s="90"/>
      <c r="X958" s="90"/>
      <c r="Y958" s="90"/>
      <c r="Z958" s="90"/>
      <c r="AA958" s="90"/>
      <c r="AB958" s="90"/>
    </row>
    <row r="959" spans="1:28" ht="16">
      <c r="A959" s="100"/>
      <c r="B959" s="91"/>
      <c r="C959" s="97"/>
      <c r="D959" s="98"/>
      <c r="E959" s="99"/>
      <c r="F959" s="92"/>
      <c r="G959" s="93" t="b">
        <v>0</v>
      </c>
      <c r="H959" s="93"/>
      <c r="I959" s="90"/>
      <c r="J959" s="90"/>
      <c r="K959" s="90"/>
      <c r="L959" s="90"/>
      <c r="M959" s="90"/>
      <c r="N959" s="90"/>
      <c r="O959" s="90"/>
      <c r="P959" s="90"/>
      <c r="Q959" s="90"/>
      <c r="R959" s="90"/>
      <c r="S959" s="90"/>
      <c r="T959" s="90"/>
      <c r="U959" s="90"/>
      <c r="V959" s="90"/>
      <c r="W959" s="90"/>
      <c r="X959" s="90"/>
      <c r="Y959" s="90"/>
      <c r="Z959" s="90"/>
      <c r="AA959" s="90"/>
      <c r="AB959" s="90"/>
    </row>
    <row r="960" spans="1:28" ht="16">
      <c r="A960" s="100"/>
      <c r="B960" s="87"/>
      <c r="C960" s="94"/>
      <c r="D960" s="95"/>
      <c r="E960" s="96"/>
      <c r="F960" s="88"/>
      <c r="G960" s="89" t="b">
        <v>0</v>
      </c>
      <c r="H960" s="89"/>
      <c r="I960" s="90"/>
      <c r="J960" s="90"/>
      <c r="K960" s="90"/>
      <c r="L960" s="90"/>
      <c r="M960" s="90"/>
      <c r="N960" s="90"/>
      <c r="O960" s="90"/>
      <c r="P960" s="90"/>
      <c r="Q960" s="90"/>
      <c r="R960" s="90"/>
      <c r="S960" s="90"/>
      <c r="T960" s="90"/>
      <c r="U960" s="90"/>
      <c r="V960" s="90"/>
      <c r="W960" s="90"/>
      <c r="X960" s="90"/>
      <c r="Y960" s="90"/>
      <c r="Z960" s="90"/>
      <c r="AA960" s="90"/>
      <c r="AB960" s="90"/>
    </row>
    <row r="961" spans="1:28" ht="16">
      <c r="A961" s="100"/>
      <c r="B961" s="91"/>
      <c r="C961" s="97"/>
      <c r="D961" s="98"/>
      <c r="E961" s="99"/>
      <c r="F961" s="92"/>
      <c r="G961" s="93" t="b">
        <v>0</v>
      </c>
      <c r="H961" s="93"/>
      <c r="I961" s="90"/>
      <c r="J961" s="90"/>
      <c r="K961" s="90"/>
      <c r="L961" s="90"/>
      <c r="M961" s="90"/>
      <c r="N961" s="90"/>
      <c r="O961" s="90"/>
      <c r="P961" s="90"/>
      <c r="Q961" s="90"/>
      <c r="R961" s="90"/>
      <c r="S961" s="90"/>
      <c r="T961" s="90"/>
      <c r="U961" s="90"/>
      <c r="V961" s="90"/>
      <c r="W961" s="90"/>
      <c r="X961" s="90"/>
      <c r="Y961" s="90"/>
      <c r="Z961" s="90"/>
      <c r="AA961" s="90"/>
      <c r="AB961" s="90"/>
    </row>
    <row r="962" spans="1:28" ht="16">
      <c r="A962" s="100"/>
      <c r="B962" s="87"/>
      <c r="C962" s="94"/>
      <c r="D962" s="95"/>
      <c r="E962" s="96"/>
      <c r="F962" s="88"/>
      <c r="G962" s="89" t="b">
        <v>0</v>
      </c>
      <c r="H962" s="89"/>
      <c r="I962" s="90"/>
      <c r="J962" s="90"/>
      <c r="K962" s="90"/>
      <c r="L962" s="90"/>
      <c r="M962" s="90"/>
      <c r="N962" s="90"/>
      <c r="O962" s="90"/>
      <c r="P962" s="90"/>
      <c r="Q962" s="90"/>
      <c r="R962" s="90"/>
      <c r="S962" s="90"/>
      <c r="T962" s="90"/>
      <c r="U962" s="90"/>
      <c r="V962" s="90"/>
      <c r="W962" s="90"/>
      <c r="X962" s="90"/>
      <c r="Y962" s="90"/>
      <c r="Z962" s="90"/>
      <c r="AA962" s="90"/>
      <c r="AB962" s="90"/>
    </row>
    <row r="963" spans="1:28" ht="16">
      <c r="A963" s="100"/>
      <c r="B963" s="91"/>
      <c r="C963" s="97"/>
      <c r="D963" s="98"/>
      <c r="E963" s="99"/>
      <c r="F963" s="92"/>
      <c r="G963" s="93" t="b">
        <v>0</v>
      </c>
      <c r="H963" s="93"/>
      <c r="I963" s="90"/>
      <c r="J963" s="90"/>
      <c r="K963" s="90"/>
      <c r="L963" s="90"/>
      <c r="M963" s="90"/>
      <c r="N963" s="90"/>
      <c r="O963" s="90"/>
      <c r="P963" s="90"/>
      <c r="Q963" s="90"/>
      <c r="R963" s="90"/>
      <c r="S963" s="90"/>
      <c r="T963" s="90"/>
      <c r="U963" s="90"/>
      <c r="V963" s="90"/>
      <c r="W963" s="90"/>
      <c r="X963" s="90"/>
      <c r="Y963" s="90"/>
      <c r="Z963" s="90"/>
      <c r="AA963" s="90"/>
      <c r="AB963" s="90"/>
    </row>
    <row r="964" spans="1:28" ht="16">
      <c r="A964" s="100"/>
      <c r="B964" s="87"/>
      <c r="C964" s="94"/>
      <c r="D964" s="95"/>
      <c r="E964" s="96"/>
      <c r="F964" s="88"/>
      <c r="G964" s="89" t="b">
        <v>0</v>
      </c>
      <c r="H964" s="89"/>
      <c r="I964" s="90"/>
      <c r="J964" s="90"/>
      <c r="K964" s="90"/>
      <c r="L964" s="90"/>
      <c r="M964" s="90"/>
      <c r="N964" s="90"/>
      <c r="O964" s="90"/>
      <c r="P964" s="90"/>
      <c r="Q964" s="90"/>
      <c r="R964" s="90"/>
      <c r="S964" s="90"/>
      <c r="T964" s="90"/>
      <c r="U964" s="90"/>
      <c r="V964" s="90"/>
      <c r="W964" s="90"/>
      <c r="X964" s="90"/>
      <c r="Y964" s="90"/>
      <c r="Z964" s="90"/>
      <c r="AA964" s="90"/>
      <c r="AB964" s="90"/>
    </row>
    <row r="965" spans="1:28" ht="16">
      <c r="A965" s="100"/>
      <c r="B965" s="91"/>
      <c r="C965" s="97"/>
      <c r="D965" s="98"/>
      <c r="E965" s="99"/>
      <c r="F965" s="92"/>
      <c r="G965" s="93" t="b">
        <v>0</v>
      </c>
      <c r="H965" s="93"/>
      <c r="I965" s="90"/>
      <c r="J965" s="90"/>
      <c r="K965" s="90"/>
      <c r="L965" s="90"/>
      <c r="M965" s="90"/>
      <c r="N965" s="90"/>
      <c r="O965" s="90"/>
      <c r="P965" s="90"/>
      <c r="Q965" s="90"/>
      <c r="R965" s="90"/>
      <c r="S965" s="90"/>
      <c r="T965" s="90"/>
      <c r="U965" s="90"/>
      <c r="V965" s="90"/>
      <c r="W965" s="90"/>
      <c r="X965" s="90"/>
      <c r="Y965" s="90"/>
      <c r="Z965" s="90"/>
      <c r="AA965" s="90"/>
      <c r="AB965" s="90"/>
    </row>
    <row r="966" spans="1:28" ht="16">
      <c r="A966" s="100"/>
      <c r="B966" s="87"/>
      <c r="C966" s="94"/>
      <c r="D966" s="95"/>
      <c r="E966" s="96"/>
      <c r="F966" s="88"/>
      <c r="G966" s="89" t="b">
        <v>0</v>
      </c>
      <c r="H966" s="89"/>
      <c r="I966" s="90"/>
      <c r="J966" s="90"/>
      <c r="K966" s="90"/>
      <c r="L966" s="90"/>
      <c r="M966" s="90"/>
      <c r="N966" s="90"/>
      <c r="O966" s="90"/>
      <c r="P966" s="90"/>
      <c r="Q966" s="90"/>
      <c r="R966" s="90"/>
      <c r="S966" s="90"/>
      <c r="T966" s="90"/>
      <c r="U966" s="90"/>
      <c r="V966" s="90"/>
      <c r="W966" s="90"/>
      <c r="X966" s="90"/>
      <c r="Y966" s="90"/>
      <c r="Z966" s="90"/>
      <c r="AA966" s="90"/>
      <c r="AB966" s="90"/>
    </row>
    <row r="967" spans="1:28" ht="16">
      <c r="A967" s="100"/>
      <c r="B967" s="91"/>
      <c r="C967" s="97"/>
      <c r="D967" s="98"/>
      <c r="E967" s="99"/>
      <c r="F967" s="92"/>
      <c r="G967" s="93" t="b">
        <v>0</v>
      </c>
      <c r="H967" s="93"/>
      <c r="I967" s="90"/>
      <c r="J967" s="90"/>
      <c r="K967" s="90"/>
      <c r="L967" s="90"/>
      <c r="M967" s="90"/>
      <c r="N967" s="90"/>
      <c r="O967" s="90"/>
      <c r="P967" s="90"/>
      <c r="Q967" s="90"/>
      <c r="R967" s="90"/>
      <c r="S967" s="90"/>
      <c r="T967" s="90"/>
      <c r="U967" s="90"/>
      <c r="V967" s="90"/>
      <c r="W967" s="90"/>
      <c r="X967" s="90"/>
      <c r="Y967" s="90"/>
      <c r="Z967" s="90"/>
      <c r="AA967" s="90"/>
      <c r="AB967" s="90"/>
    </row>
    <row r="968" spans="1:28" ht="16">
      <c r="A968" s="100"/>
      <c r="B968" s="87"/>
      <c r="C968" s="94"/>
      <c r="D968" s="95"/>
      <c r="E968" s="96"/>
      <c r="F968" s="88"/>
      <c r="G968" s="89" t="b">
        <v>0</v>
      </c>
      <c r="H968" s="89"/>
      <c r="I968" s="90"/>
      <c r="J968" s="90"/>
      <c r="K968" s="90"/>
      <c r="L968" s="90"/>
      <c r="M968" s="90"/>
      <c r="N968" s="90"/>
      <c r="O968" s="90"/>
      <c r="P968" s="90"/>
      <c r="Q968" s="90"/>
      <c r="R968" s="90"/>
      <c r="S968" s="90"/>
      <c r="T968" s="90"/>
      <c r="U968" s="90"/>
      <c r="V968" s="90"/>
      <c r="W968" s="90"/>
      <c r="X968" s="90"/>
      <c r="Y968" s="90"/>
      <c r="Z968" s="90"/>
      <c r="AA968" s="90"/>
      <c r="AB968" s="90"/>
    </row>
    <row r="969" spans="1:28" ht="16">
      <c r="A969" s="100"/>
      <c r="B969" s="91"/>
      <c r="C969" s="97"/>
      <c r="D969" s="98"/>
      <c r="E969" s="99"/>
      <c r="F969" s="92"/>
      <c r="G969" s="93" t="b">
        <v>0</v>
      </c>
      <c r="H969" s="93"/>
      <c r="I969" s="90"/>
      <c r="J969" s="90"/>
      <c r="K969" s="90"/>
      <c r="L969" s="90"/>
      <c r="M969" s="90"/>
      <c r="N969" s="90"/>
      <c r="O969" s="90"/>
      <c r="P969" s="90"/>
      <c r="Q969" s="90"/>
      <c r="R969" s="90"/>
      <c r="S969" s="90"/>
      <c r="T969" s="90"/>
      <c r="U969" s="90"/>
      <c r="V969" s="90"/>
      <c r="W969" s="90"/>
      <c r="X969" s="90"/>
      <c r="Y969" s="90"/>
      <c r="Z969" s="90"/>
      <c r="AA969" s="90"/>
      <c r="AB969" s="90"/>
    </row>
    <row r="970" spans="1:28" ht="16">
      <c r="A970" s="100"/>
      <c r="B970" s="87"/>
      <c r="C970" s="94"/>
      <c r="D970" s="95"/>
      <c r="E970" s="96"/>
      <c r="F970" s="88"/>
      <c r="G970" s="89" t="b">
        <v>0</v>
      </c>
      <c r="H970" s="89"/>
      <c r="I970" s="90"/>
      <c r="J970" s="90"/>
      <c r="K970" s="90"/>
      <c r="L970" s="90"/>
      <c r="M970" s="90"/>
      <c r="N970" s="90"/>
      <c r="O970" s="90"/>
      <c r="P970" s="90"/>
      <c r="Q970" s="90"/>
      <c r="R970" s="90"/>
      <c r="S970" s="90"/>
      <c r="T970" s="90"/>
      <c r="U970" s="90"/>
      <c r="V970" s="90"/>
      <c r="W970" s="90"/>
      <c r="X970" s="90"/>
      <c r="Y970" s="90"/>
      <c r="Z970" s="90"/>
      <c r="AA970" s="90"/>
      <c r="AB970" s="90"/>
    </row>
    <row r="971" spans="1:28" ht="16">
      <c r="A971" s="100"/>
      <c r="B971" s="91"/>
      <c r="C971" s="97"/>
      <c r="D971" s="98"/>
      <c r="E971" s="99"/>
      <c r="F971" s="92"/>
      <c r="G971" s="93" t="b">
        <v>0</v>
      </c>
      <c r="H971" s="93"/>
      <c r="I971" s="90"/>
      <c r="J971" s="90"/>
      <c r="K971" s="90"/>
      <c r="L971" s="90"/>
      <c r="M971" s="90"/>
      <c r="N971" s="90"/>
      <c r="O971" s="90"/>
      <c r="P971" s="90"/>
      <c r="Q971" s="90"/>
      <c r="R971" s="90"/>
      <c r="S971" s="90"/>
      <c r="T971" s="90"/>
      <c r="U971" s="90"/>
      <c r="V971" s="90"/>
      <c r="W971" s="90"/>
      <c r="X971" s="90"/>
      <c r="Y971" s="90"/>
      <c r="Z971" s="90"/>
      <c r="AA971" s="90"/>
      <c r="AB971" s="90"/>
    </row>
    <row r="972" spans="1:28" ht="16">
      <c r="A972" s="100"/>
      <c r="B972" s="87"/>
      <c r="C972" s="94"/>
      <c r="D972" s="95"/>
      <c r="E972" s="96"/>
      <c r="F972" s="88"/>
      <c r="G972" s="89" t="b">
        <v>0</v>
      </c>
      <c r="H972" s="89"/>
      <c r="I972" s="90"/>
      <c r="J972" s="90"/>
      <c r="K972" s="90"/>
      <c r="L972" s="90"/>
      <c r="M972" s="90"/>
      <c r="N972" s="90"/>
      <c r="O972" s="90"/>
      <c r="P972" s="90"/>
      <c r="Q972" s="90"/>
      <c r="R972" s="90"/>
      <c r="S972" s="90"/>
      <c r="T972" s="90"/>
      <c r="U972" s="90"/>
      <c r="V972" s="90"/>
      <c r="W972" s="90"/>
      <c r="X972" s="90"/>
      <c r="Y972" s="90"/>
      <c r="Z972" s="90"/>
      <c r="AA972" s="90"/>
      <c r="AB972" s="90"/>
    </row>
    <row r="973" spans="1:28" ht="16">
      <c r="A973" s="100"/>
      <c r="B973" s="91"/>
      <c r="C973" s="97"/>
      <c r="D973" s="98"/>
      <c r="E973" s="99"/>
      <c r="F973" s="92"/>
      <c r="G973" s="93" t="b">
        <v>0</v>
      </c>
      <c r="H973" s="93"/>
      <c r="I973" s="90"/>
      <c r="J973" s="90"/>
      <c r="K973" s="90"/>
      <c r="L973" s="90"/>
      <c r="M973" s="90"/>
      <c r="N973" s="90"/>
      <c r="O973" s="90"/>
      <c r="P973" s="90"/>
      <c r="Q973" s="90"/>
      <c r="R973" s="90"/>
      <c r="S973" s="90"/>
      <c r="T973" s="90"/>
      <c r="U973" s="90"/>
      <c r="V973" s="90"/>
      <c r="W973" s="90"/>
      <c r="X973" s="90"/>
      <c r="Y973" s="90"/>
      <c r="Z973" s="90"/>
      <c r="AA973" s="90"/>
      <c r="AB973" s="90"/>
    </row>
    <row r="974" spans="1:28" ht="16">
      <c r="A974" s="100"/>
      <c r="B974" s="87"/>
      <c r="C974" s="94"/>
      <c r="D974" s="95"/>
      <c r="E974" s="96"/>
      <c r="F974" s="88"/>
      <c r="G974" s="89" t="b">
        <v>0</v>
      </c>
      <c r="H974" s="89"/>
      <c r="I974" s="90"/>
      <c r="J974" s="90"/>
      <c r="K974" s="90"/>
      <c r="L974" s="90"/>
      <c r="M974" s="90"/>
      <c r="N974" s="90"/>
      <c r="O974" s="90"/>
      <c r="P974" s="90"/>
      <c r="Q974" s="90"/>
      <c r="R974" s="90"/>
      <c r="S974" s="90"/>
      <c r="T974" s="90"/>
      <c r="U974" s="90"/>
      <c r="V974" s="90"/>
      <c r="W974" s="90"/>
      <c r="X974" s="90"/>
      <c r="Y974" s="90"/>
      <c r="Z974" s="90"/>
      <c r="AA974" s="90"/>
      <c r="AB974" s="90"/>
    </row>
    <row r="975" spans="1:28" ht="16">
      <c r="A975" s="100"/>
      <c r="B975" s="91"/>
      <c r="C975" s="97"/>
      <c r="D975" s="98"/>
      <c r="E975" s="99"/>
      <c r="F975" s="92"/>
      <c r="G975" s="93" t="b">
        <v>0</v>
      </c>
      <c r="H975" s="93"/>
      <c r="I975" s="90"/>
      <c r="J975" s="90"/>
      <c r="K975" s="90"/>
      <c r="L975" s="90"/>
      <c r="M975" s="90"/>
      <c r="N975" s="90"/>
      <c r="O975" s="90"/>
      <c r="P975" s="90"/>
      <c r="Q975" s="90"/>
      <c r="R975" s="90"/>
      <c r="S975" s="90"/>
      <c r="T975" s="90"/>
      <c r="U975" s="90"/>
      <c r="V975" s="90"/>
      <c r="W975" s="90"/>
      <c r="X975" s="90"/>
      <c r="Y975" s="90"/>
      <c r="Z975" s="90"/>
      <c r="AA975" s="90"/>
      <c r="AB975" s="90"/>
    </row>
    <row r="976" spans="1:28" ht="16">
      <c r="A976" s="100"/>
      <c r="B976" s="87"/>
      <c r="C976" s="94"/>
      <c r="D976" s="95"/>
      <c r="E976" s="96"/>
      <c r="F976" s="88"/>
      <c r="G976" s="89" t="b">
        <v>0</v>
      </c>
      <c r="H976" s="89"/>
      <c r="I976" s="90"/>
      <c r="J976" s="90"/>
      <c r="K976" s="90"/>
      <c r="L976" s="90"/>
      <c r="M976" s="90"/>
      <c r="N976" s="90"/>
      <c r="O976" s="90"/>
      <c r="P976" s="90"/>
      <c r="Q976" s="90"/>
      <c r="R976" s="90"/>
      <c r="S976" s="90"/>
      <c r="T976" s="90"/>
      <c r="U976" s="90"/>
      <c r="V976" s="90"/>
      <c r="W976" s="90"/>
      <c r="X976" s="90"/>
      <c r="Y976" s="90"/>
      <c r="Z976" s="90"/>
      <c r="AA976" s="90"/>
      <c r="AB976" s="90"/>
    </row>
    <row r="977" spans="1:28" ht="16">
      <c r="A977" s="100"/>
      <c r="B977" s="91"/>
      <c r="C977" s="97"/>
      <c r="D977" s="98"/>
      <c r="E977" s="99"/>
      <c r="F977" s="92"/>
      <c r="G977" s="93" t="b">
        <v>0</v>
      </c>
      <c r="H977" s="93"/>
      <c r="I977" s="90"/>
      <c r="J977" s="90"/>
      <c r="K977" s="90"/>
      <c r="L977" s="90"/>
      <c r="M977" s="90"/>
      <c r="N977" s="90"/>
      <c r="O977" s="90"/>
      <c r="P977" s="90"/>
      <c r="Q977" s="90"/>
      <c r="R977" s="90"/>
      <c r="S977" s="90"/>
      <c r="T977" s="90"/>
      <c r="U977" s="90"/>
      <c r="V977" s="90"/>
      <c r="W977" s="90"/>
      <c r="X977" s="90"/>
      <c r="Y977" s="90"/>
      <c r="Z977" s="90"/>
      <c r="AA977" s="90"/>
      <c r="AB977" s="90"/>
    </row>
    <row r="978" spans="1:28" ht="16">
      <c r="A978" s="100"/>
      <c r="B978" s="87"/>
      <c r="C978" s="94"/>
      <c r="D978" s="95"/>
      <c r="E978" s="96"/>
      <c r="F978" s="88"/>
      <c r="G978" s="89" t="b">
        <v>0</v>
      </c>
      <c r="H978" s="89"/>
      <c r="I978" s="90"/>
      <c r="J978" s="90"/>
      <c r="K978" s="90"/>
      <c r="L978" s="90"/>
      <c r="M978" s="90"/>
      <c r="N978" s="90"/>
      <c r="O978" s="90"/>
      <c r="P978" s="90"/>
      <c r="Q978" s="90"/>
      <c r="R978" s="90"/>
      <c r="S978" s="90"/>
      <c r="T978" s="90"/>
      <c r="U978" s="90"/>
      <c r="V978" s="90"/>
      <c r="W978" s="90"/>
      <c r="X978" s="90"/>
      <c r="Y978" s="90"/>
      <c r="Z978" s="90"/>
      <c r="AA978" s="90"/>
      <c r="AB978" s="90"/>
    </row>
    <row r="979" spans="1:28" ht="16">
      <c r="A979" s="100"/>
      <c r="B979" s="91"/>
      <c r="C979" s="97"/>
      <c r="D979" s="98"/>
      <c r="E979" s="99"/>
      <c r="F979" s="92"/>
      <c r="G979" s="93" t="b">
        <v>0</v>
      </c>
      <c r="H979" s="93"/>
      <c r="I979" s="90"/>
      <c r="J979" s="90"/>
      <c r="K979" s="90"/>
      <c r="L979" s="90"/>
      <c r="M979" s="90"/>
      <c r="N979" s="90"/>
      <c r="O979" s="90"/>
      <c r="P979" s="90"/>
      <c r="Q979" s="90"/>
      <c r="R979" s="90"/>
      <c r="S979" s="90"/>
      <c r="T979" s="90"/>
      <c r="U979" s="90"/>
      <c r="V979" s="90"/>
      <c r="W979" s="90"/>
      <c r="X979" s="90"/>
      <c r="Y979" s="90"/>
      <c r="Z979" s="90"/>
      <c r="AA979" s="90"/>
      <c r="AB979" s="90"/>
    </row>
    <row r="980" spans="1:28" ht="16">
      <c r="A980" s="100"/>
      <c r="B980" s="87"/>
      <c r="C980" s="94"/>
      <c r="D980" s="95"/>
      <c r="E980" s="96"/>
      <c r="F980" s="88"/>
      <c r="G980" s="89" t="b">
        <v>0</v>
      </c>
      <c r="H980" s="89"/>
      <c r="I980" s="90"/>
      <c r="J980" s="90"/>
      <c r="K980" s="90"/>
      <c r="L980" s="90"/>
      <c r="M980" s="90"/>
      <c r="N980" s="90"/>
      <c r="O980" s="90"/>
      <c r="P980" s="90"/>
      <c r="Q980" s="90"/>
      <c r="R980" s="90"/>
      <c r="S980" s="90"/>
      <c r="T980" s="90"/>
      <c r="U980" s="90"/>
      <c r="V980" s="90"/>
      <c r="W980" s="90"/>
      <c r="X980" s="90"/>
      <c r="Y980" s="90"/>
      <c r="Z980" s="90"/>
      <c r="AA980" s="90"/>
      <c r="AB980" s="90"/>
    </row>
    <row r="981" spans="1:28" ht="16">
      <c r="A981" s="100"/>
      <c r="B981" s="91"/>
      <c r="C981" s="97"/>
      <c r="D981" s="98"/>
      <c r="E981" s="99"/>
      <c r="F981" s="92"/>
      <c r="G981" s="93" t="b">
        <v>0</v>
      </c>
      <c r="H981" s="93"/>
      <c r="I981" s="90"/>
      <c r="J981" s="90"/>
      <c r="K981" s="90"/>
      <c r="L981" s="90"/>
      <c r="M981" s="90"/>
      <c r="N981" s="90"/>
      <c r="O981" s="90"/>
      <c r="P981" s="90"/>
      <c r="Q981" s="90"/>
      <c r="R981" s="90"/>
      <c r="S981" s="90"/>
      <c r="T981" s="90"/>
      <c r="U981" s="90"/>
      <c r="V981" s="90"/>
      <c r="W981" s="90"/>
      <c r="X981" s="90"/>
      <c r="Y981" s="90"/>
      <c r="Z981" s="90"/>
      <c r="AA981" s="90"/>
      <c r="AB981" s="90"/>
    </row>
    <row r="982" spans="1:28" ht="16">
      <c r="A982" s="100"/>
      <c r="B982" s="87"/>
      <c r="C982" s="94"/>
      <c r="D982" s="95"/>
      <c r="E982" s="96"/>
      <c r="F982" s="88"/>
      <c r="G982" s="89" t="b">
        <v>0</v>
      </c>
      <c r="H982" s="89"/>
      <c r="I982" s="90"/>
      <c r="J982" s="90"/>
      <c r="K982" s="90"/>
      <c r="L982" s="90"/>
      <c r="M982" s="90"/>
      <c r="N982" s="90"/>
      <c r="O982" s="90"/>
      <c r="P982" s="90"/>
      <c r="Q982" s="90"/>
      <c r="R982" s="90"/>
      <c r="S982" s="90"/>
      <c r="T982" s="90"/>
      <c r="U982" s="90"/>
      <c r="V982" s="90"/>
      <c r="W982" s="90"/>
      <c r="X982" s="90"/>
      <c r="Y982" s="90"/>
      <c r="Z982" s="90"/>
      <c r="AA982" s="90"/>
      <c r="AB982" s="90"/>
    </row>
    <row r="983" spans="1:28" ht="16">
      <c r="A983" s="100"/>
      <c r="B983" s="91"/>
      <c r="C983" s="97"/>
      <c r="D983" s="98"/>
      <c r="E983" s="99"/>
      <c r="F983" s="92"/>
      <c r="G983" s="93" t="b">
        <v>0</v>
      </c>
      <c r="H983" s="93"/>
      <c r="I983" s="90"/>
      <c r="J983" s="90"/>
      <c r="K983" s="90"/>
      <c r="L983" s="90"/>
      <c r="M983" s="90"/>
      <c r="N983" s="90"/>
      <c r="O983" s="90"/>
      <c r="P983" s="90"/>
      <c r="Q983" s="90"/>
      <c r="R983" s="90"/>
      <c r="S983" s="90"/>
      <c r="T983" s="90"/>
      <c r="U983" s="90"/>
      <c r="V983" s="90"/>
      <c r="W983" s="90"/>
      <c r="X983" s="90"/>
      <c r="Y983" s="90"/>
      <c r="Z983" s="90"/>
      <c r="AA983" s="90"/>
      <c r="AB983" s="90"/>
    </row>
    <row r="984" spans="1:28" ht="16">
      <c r="A984" s="100"/>
      <c r="B984" s="87"/>
      <c r="C984" s="94"/>
      <c r="D984" s="95"/>
      <c r="E984" s="96"/>
      <c r="F984" s="88"/>
      <c r="G984" s="89" t="b">
        <v>0</v>
      </c>
      <c r="H984" s="89"/>
      <c r="I984" s="90"/>
      <c r="J984" s="90"/>
      <c r="K984" s="90"/>
      <c r="L984" s="90"/>
      <c r="M984" s="90"/>
      <c r="N984" s="90"/>
      <c r="O984" s="90"/>
      <c r="P984" s="90"/>
      <c r="Q984" s="90"/>
      <c r="R984" s="90"/>
      <c r="S984" s="90"/>
      <c r="T984" s="90"/>
      <c r="U984" s="90"/>
      <c r="V984" s="90"/>
      <c r="W984" s="90"/>
      <c r="X984" s="90"/>
      <c r="Y984" s="90"/>
      <c r="Z984" s="90"/>
      <c r="AA984" s="90"/>
      <c r="AB984" s="90"/>
    </row>
    <row r="985" spans="1:28" ht="16">
      <c r="A985" s="100"/>
      <c r="B985" s="91"/>
      <c r="C985" s="97"/>
      <c r="D985" s="98"/>
      <c r="E985" s="99"/>
      <c r="F985" s="92"/>
      <c r="G985" s="93" t="b">
        <v>0</v>
      </c>
      <c r="H985" s="93"/>
      <c r="I985" s="90"/>
      <c r="J985" s="90"/>
      <c r="K985" s="90"/>
      <c r="L985" s="90"/>
      <c r="M985" s="90"/>
      <c r="N985" s="90"/>
      <c r="O985" s="90"/>
      <c r="P985" s="90"/>
      <c r="Q985" s="90"/>
      <c r="R985" s="90"/>
      <c r="S985" s="90"/>
      <c r="T985" s="90"/>
      <c r="U985" s="90"/>
      <c r="V985" s="90"/>
      <c r="W985" s="90"/>
      <c r="X985" s="90"/>
      <c r="Y985" s="90"/>
      <c r="Z985" s="90"/>
      <c r="AA985" s="90"/>
      <c r="AB985" s="90"/>
    </row>
    <row r="986" spans="1:28" ht="16">
      <c r="A986" s="100"/>
      <c r="B986" s="87"/>
      <c r="C986" s="94"/>
      <c r="D986" s="95"/>
      <c r="E986" s="96"/>
      <c r="F986" s="88"/>
      <c r="G986" s="89" t="b">
        <v>0</v>
      </c>
      <c r="H986" s="89"/>
      <c r="I986" s="90"/>
      <c r="J986" s="90"/>
      <c r="K986" s="90"/>
      <c r="L986" s="90"/>
      <c r="M986" s="90"/>
      <c r="N986" s="90"/>
      <c r="O986" s="90"/>
      <c r="P986" s="90"/>
      <c r="Q986" s="90"/>
      <c r="R986" s="90"/>
      <c r="S986" s="90"/>
      <c r="T986" s="90"/>
      <c r="U986" s="90"/>
      <c r="V986" s="90"/>
      <c r="W986" s="90"/>
      <c r="X986" s="90"/>
      <c r="Y986" s="90"/>
      <c r="Z986" s="90"/>
      <c r="AA986" s="90"/>
      <c r="AB986" s="90"/>
    </row>
    <row r="987" spans="1:28" ht="16">
      <c r="A987" s="100"/>
      <c r="B987" s="91"/>
      <c r="C987" s="97"/>
      <c r="D987" s="98"/>
      <c r="E987" s="99"/>
      <c r="F987" s="92"/>
      <c r="G987" s="93" t="b">
        <v>0</v>
      </c>
      <c r="H987" s="93"/>
      <c r="I987" s="90"/>
      <c r="J987" s="90"/>
      <c r="K987" s="90"/>
      <c r="L987" s="90"/>
      <c r="M987" s="90"/>
      <c r="N987" s="90"/>
      <c r="O987" s="90"/>
      <c r="P987" s="90"/>
      <c r="Q987" s="90"/>
      <c r="R987" s="90"/>
      <c r="S987" s="90"/>
      <c r="T987" s="90"/>
      <c r="U987" s="90"/>
      <c r="V987" s="90"/>
      <c r="W987" s="90"/>
      <c r="X987" s="90"/>
      <c r="Y987" s="90"/>
      <c r="Z987" s="90"/>
      <c r="AA987" s="90"/>
      <c r="AB987" s="90"/>
    </row>
    <row r="988" spans="1:28" ht="16">
      <c r="A988" s="100"/>
      <c r="B988" s="87"/>
      <c r="C988" s="94"/>
      <c r="D988" s="95"/>
      <c r="E988" s="96"/>
      <c r="F988" s="88"/>
      <c r="G988" s="89" t="b">
        <v>0</v>
      </c>
      <c r="H988" s="89"/>
      <c r="I988" s="90"/>
      <c r="J988" s="90"/>
      <c r="K988" s="90"/>
      <c r="L988" s="90"/>
      <c r="M988" s="90"/>
      <c r="N988" s="90"/>
      <c r="O988" s="90"/>
      <c r="P988" s="90"/>
      <c r="Q988" s="90"/>
      <c r="R988" s="90"/>
      <c r="S988" s="90"/>
      <c r="T988" s="90"/>
      <c r="U988" s="90"/>
      <c r="V988" s="90"/>
      <c r="W988" s="90"/>
      <c r="X988" s="90"/>
      <c r="Y988" s="90"/>
      <c r="Z988" s="90"/>
      <c r="AA988" s="90"/>
      <c r="AB988" s="90"/>
    </row>
    <row r="989" spans="1:28" ht="16">
      <c r="A989" s="100"/>
      <c r="B989" s="91"/>
      <c r="C989" s="97"/>
      <c r="D989" s="98"/>
      <c r="E989" s="99"/>
      <c r="F989" s="92"/>
      <c r="G989" s="93" t="b">
        <v>0</v>
      </c>
      <c r="H989" s="93"/>
      <c r="I989" s="90"/>
      <c r="J989" s="90"/>
      <c r="K989" s="90"/>
      <c r="L989" s="90"/>
      <c r="M989" s="90"/>
      <c r="N989" s="90"/>
      <c r="O989" s="90"/>
      <c r="P989" s="90"/>
      <c r="Q989" s="90"/>
      <c r="R989" s="90"/>
      <c r="S989" s="90"/>
      <c r="T989" s="90"/>
      <c r="U989" s="90"/>
      <c r="V989" s="90"/>
      <c r="W989" s="90"/>
      <c r="X989" s="90"/>
      <c r="Y989" s="90"/>
      <c r="Z989" s="90"/>
      <c r="AA989" s="90"/>
      <c r="AB989" s="90"/>
    </row>
    <row r="990" spans="1:28" ht="16">
      <c r="A990" s="100"/>
      <c r="B990" s="87"/>
      <c r="C990" s="94"/>
      <c r="D990" s="95"/>
      <c r="E990" s="96"/>
      <c r="F990" s="88"/>
      <c r="G990" s="89" t="b">
        <v>0</v>
      </c>
      <c r="H990" s="89"/>
      <c r="I990" s="90"/>
      <c r="J990" s="90"/>
      <c r="K990" s="90"/>
      <c r="L990" s="90"/>
      <c r="M990" s="90"/>
      <c r="N990" s="90"/>
      <c r="O990" s="90"/>
      <c r="P990" s="90"/>
      <c r="Q990" s="90"/>
      <c r="R990" s="90"/>
      <c r="S990" s="90"/>
      <c r="T990" s="90"/>
      <c r="U990" s="90"/>
      <c r="V990" s="90"/>
      <c r="W990" s="90"/>
      <c r="X990" s="90"/>
      <c r="Y990" s="90"/>
      <c r="Z990" s="90"/>
      <c r="AA990" s="90"/>
      <c r="AB990" s="90"/>
    </row>
    <row r="991" spans="1:28" ht="16">
      <c r="A991" s="100"/>
      <c r="B991" s="91"/>
      <c r="C991" s="97"/>
      <c r="D991" s="98"/>
      <c r="E991" s="99"/>
      <c r="F991" s="92"/>
      <c r="G991" s="93" t="b">
        <v>0</v>
      </c>
      <c r="H991" s="93"/>
      <c r="I991" s="90"/>
      <c r="J991" s="90"/>
      <c r="K991" s="90"/>
      <c r="L991" s="90"/>
      <c r="M991" s="90"/>
      <c r="N991" s="90"/>
      <c r="O991" s="90"/>
      <c r="P991" s="90"/>
      <c r="Q991" s="90"/>
      <c r="R991" s="90"/>
      <c r="S991" s="90"/>
      <c r="T991" s="90"/>
      <c r="U991" s="90"/>
      <c r="V991" s="90"/>
      <c r="W991" s="90"/>
      <c r="X991" s="90"/>
      <c r="Y991" s="90"/>
      <c r="Z991" s="90"/>
      <c r="AA991" s="90"/>
      <c r="AB991" s="90"/>
    </row>
    <row r="992" spans="1:28" ht="16">
      <c r="A992" s="100"/>
      <c r="B992" s="87"/>
      <c r="C992" s="94"/>
      <c r="D992" s="95"/>
      <c r="E992" s="96"/>
      <c r="F992" s="88"/>
      <c r="G992" s="89" t="b">
        <v>0</v>
      </c>
      <c r="H992" s="89"/>
      <c r="I992" s="90"/>
      <c r="J992" s="90"/>
      <c r="K992" s="90"/>
      <c r="L992" s="90"/>
      <c r="M992" s="90"/>
      <c r="N992" s="90"/>
      <c r="O992" s="90"/>
      <c r="P992" s="90"/>
      <c r="Q992" s="90"/>
      <c r="R992" s="90"/>
      <c r="S992" s="90"/>
      <c r="T992" s="90"/>
      <c r="U992" s="90"/>
      <c r="V992" s="90"/>
      <c r="W992" s="90"/>
      <c r="X992" s="90"/>
      <c r="Y992" s="90"/>
      <c r="Z992" s="90"/>
      <c r="AA992" s="90"/>
      <c r="AB992" s="90"/>
    </row>
    <row r="993" spans="1:28" ht="16">
      <c r="A993" s="100"/>
      <c r="B993" s="91"/>
      <c r="C993" s="97"/>
      <c r="D993" s="98"/>
      <c r="E993" s="99"/>
      <c r="F993" s="92"/>
      <c r="G993" s="93" t="b">
        <v>0</v>
      </c>
      <c r="H993" s="93"/>
      <c r="I993" s="90"/>
      <c r="J993" s="90"/>
      <c r="K993" s="90"/>
      <c r="L993" s="90"/>
      <c r="M993" s="90"/>
      <c r="N993" s="90"/>
      <c r="O993" s="90"/>
      <c r="P993" s="90"/>
      <c r="Q993" s="90"/>
      <c r="R993" s="90"/>
      <c r="S993" s="90"/>
      <c r="T993" s="90"/>
      <c r="U993" s="90"/>
      <c r="V993" s="90"/>
      <c r="W993" s="90"/>
      <c r="X993" s="90"/>
      <c r="Y993" s="90"/>
      <c r="Z993" s="90"/>
      <c r="AA993" s="90"/>
      <c r="AB993" s="90"/>
    </row>
    <row r="994" spans="1:28" ht="16">
      <c r="A994" s="100"/>
      <c r="B994" s="87"/>
      <c r="C994" s="94"/>
      <c r="D994" s="95"/>
      <c r="E994" s="96"/>
      <c r="F994" s="88"/>
      <c r="G994" s="89" t="b">
        <v>0</v>
      </c>
      <c r="H994" s="89"/>
      <c r="I994" s="90"/>
      <c r="J994" s="90"/>
      <c r="K994" s="90"/>
      <c r="L994" s="90"/>
      <c r="M994" s="90"/>
      <c r="N994" s="90"/>
      <c r="O994" s="90"/>
      <c r="P994" s="90"/>
      <c r="Q994" s="90"/>
      <c r="R994" s="90"/>
      <c r="S994" s="90"/>
      <c r="T994" s="90"/>
      <c r="U994" s="90"/>
      <c r="V994" s="90"/>
      <c r="W994" s="90"/>
      <c r="X994" s="90"/>
      <c r="Y994" s="90"/>
      <c r="Z994" s="90"/>
      <c r="AA994" s="90"/>
      <c r="AB994" s="90"/>
    </row>
    <row r="995" spans="1:28" ht="16">
      <c r="A995" s="100"/>
      <c r="B995" s="91"/>
      <c r="C995" s="97"/>
      <c r="D995" s="98"/>
      <c r="E995" s="99"/>
      <c r="F995" s="92"/>
      <c r="G995" s="93" t="b">
        <v>0</v>
      </c>
      <c r="H995" s="93"/>
      <c r="I995" s="90"/>
      <c r="J995" s="90"/>
      <c r="K995" s="90"/>
      <c r="L995" s="90"/>
      <c r="M995" s="90"/>
      <c r="N995" s="90"/>
      <c r="O995" s="90"/>
      <c r="P995" s="90"/>
      <c r="Q995" s="90"/>
      <c r="R995" s="90"/>
      <c r="S995" s="90"/>
      <c r="T995" s="90"/>
      <c r="U995" s="90"/>
      <c r="V995" s="90"/>
      <c r="W995" s="90"/>
      <c r="X995" s="90"/>
      <c r="Y995" s="90"/>
      <c r="Z995" s="90"/>
      <c r="AA995" s="90"/>
      <c r="AB995" s="90"/>
    </row>
    <row r="996" spans="1:28" ht="16">
      <c r="A996" s="100"/>
      <c r="B996" s="87"/>
      <c r="C996" s="94"/>
      <c r="D996" s="95"/>
      <c r="E996" s="96"/>
      <c r="F996" s="88"/>
      <c r="G996" s="89" t="b">
        <v>0</v>
      </c>
      <c r="H996" s="89"/>
      <c r="I996" s="90"/>
      <c r="J996" s="90"/>
      <c r="K996" s="90"/>
      <c r="L996" s="90"/>
      <c r="M996" s="90"/>
      <c r="N996" s="90"/>
      <c r="O996" s="90"/>
      <c r="P996" s="90"/>
      <c r="Q996" s="90"/>
      <c r="R996" s="90"/>
      <c r="S996" s="90"/>
      <c r="T996" s="90"/>
      <c r="U996" s="90"/>
      <c r="V996" s="90"/>
      <c r="W996" s="90"/>
      <c r="X996" s="90"/>
      <c r="Y996" s="90"/>
      <c r="Z996" s="90"/>
      <c r="AA996" s="90"/>
      <c r="AB996" s="90"/>
    </row>
    <row r="997" spans="1:28" ht="16">
      <c r="A997" s="100"/>
      <c r="B997" s="91"/>
      <c r="C997" s="97"/>
      <c r="D997" s="98"/>
      <c r="E997" s="99"/>
      <c r="F997" s="92"/>
      <c r="G997" s="93" t="b">
        <v>0</v>
      </c>
      <c r="H997" s="93"/>
      <c r="I997" s="90"/>
      <c r="J997" s="90"/>
      <c r="K997" s="90"/>
      <c r="L997" s="90"/>
      <c r="M997" s="90"/>
      <c r="N997" s="90"/>
      <c r="O997" s="90"/>
      <c r="P997" s="90"/>
      <c r="Q997" s="90"/>
      <c r="R997" s="90"/>
      <c r="S997" s="90"/>
      <c r="T997" s="90"/>
      <c r="U997" s="90"/>
      <c r="V997" s="90"/>
      <c r="W997" s="90"/>
      <c r="X997" s="90"/>
      <c r="Y997" s="90"/>
      <c r="Z997" s="90"/>
      <c r="AA997" s="90"/>
      <c r="AB997" s="90"/>
    </row>
    <row r="998" spans="1:28" ht="16">
      <c r="A998" s="100"/>
      <c r="B998" s="87"/>
      <c r="C998" s="94"/>
      <c r="D998" s="95"/>
      <c r="E998" s="96"/>
      <c r="F998" s="88"/>
      <c r="G998" s="89" t="b">
        <v>0</v>
      </c>
      <c r="H998" s="89"/>
      <c r="I998" s="90"/>
      <c r="J998" s="90"/>
      <c r="K998" s="90"/>
      <c r="L998" s="90"/>
      <c r="M998" s="90"/>
      <c r="N998" s="90"/>
      <c r="O998" s="90"/>
      <c r="P998" s="90"/>
      <c r="Q998" s="90"/>
      <c r="R998" s="90"/>
      <c r="S998" s="90"/>
      <c r="T998" s="90"/>
      <c r="U998" s="90"/>
      <c r="V998" s="90"/>
      <c r="W998" s="90"/>
      <c r="X998" s="90"/>
      <c r="Y998" s="90"/>
      <c r="Z998" s="90"/>
      <c r="AA998" s="90"/>
      <c r="AB998" s="90"/>
    </row>
    <row r="999" spans="1:28" ht="16">
      <c r="A999" s="100"/>
      <c r="B999" s="91"/>
      <c r="C999" s="97"/>
      <c r="D999" s="98"/>
      <c r="E999" s="99"/>
      <c r="F999" s="92"/>
      <c r="G999" s="93" t="b">
        <v>0</v>
      </c>
      <c r="H999" s="93"/>
      <c r="I999" s="90"/>
      <c r="J999" s="90"/>
      <c r="K999" s="90"/>
      <c r="L999" s="90"/>
      <c r="M999" s="90"/>
      <c r="N999" s="90"/>
      <c r="O999" s="90"/>
      <c r="P999" s="90"/>
      <c r="Q999" s="90"/>
      <c r="R999" s="90"/>
      <c r="S999" s="90"/>
      <c r="T999" s="90"/>
      <c r="U999" s="90"/>
      <c r="V999" s="90"/>
      <c r="W999" s="90"/>
      <c r="X999" s="90"/>
      <c r="Y999" s="90"/>
      <c r="Z999" s="90"/>
      <c r="AA999" s="90"/>
      <c r="AB999" s="90"/>
    </row>
    <row r="1000" spans="1:28" ht="16">
      <c r="A1000" s="100"/>
      <c r="B1000" s="87"/>
      <c r="C1000" s="94"/>
      <c r="D1000" s="95"/>
      <c r="E1000" s="96"/>
      <c r="F1000" s="88"/>
      <c r="G1000" s="89" t="b">
        <v>0</v>
      </c>
      <c r="H1000" s="89"/>
      <c r="I1000" s="90"/>
      <c r="J1000" s="90"/>
      <c r="K1000" s="90"/>
      <c r="L1000" s="90"/>
      <c r="M1000" s="90"/>
      <c r="N1000" s="90"/>
      <c r="O1000" s="90"/>
      <c r="P1000" s="90"/>
      <c r="Q1000" s="90"/>
      <c r="R1000" s="90"/>
      <c r="S1000" s="90"/>
      <c r="T1000" s="90"/>
      <c r="U1000" s="90"/>
      <c r="V1000" s="90"/>
      <c r="W1000" s="90"/>
      <c r="X1000" s="90"/>
      <c r="Y1000" s="90"/>
      <c r="Z1000" s="90"/>
      <c r="AA1000" s="90"/>
      <c r="AB1000" s="90"/>
    </row>
    <row r="1001" spans="1:28" ht="16">
      <c r="A1001" s="100"/>
      <c r="B1001" s="91"/>
      <c r="C1001" s="97"/>
      <c r="D1001" s="98"/>
      <c r="E1001" s="99"/>
      <c r="F1001" s="92"/>
      <c r="G1001" s="93" t="b">
        <v>0</v>
      </c>
      <c r="H1001" s="93"/>
      <c r="I1001" s="90"/>
      <c r="J1001" s="90"/>
      <c r="K1001" s="90"/>
      <c r="L1001" s="90"/>
      <c r="M1001" s="90"/>
      <c r="N1001" s="90"/>
      <c r="O1001" s="90"/>
      <c r="P1001" s="90"/>
      <c r="Q1001" s="90"/>
      <c r="R1001" s="90"/>
      <c r="S1001" s="90"/>
      <c r="T1001" s="90"/>
      <c r="U1001" s="90"/>
      <c r="V1001" s="90"/>
      <c r="W1001" s="90"/>
      <c r="X1001" s="90"/>
      <c r="Y1001" s="90"/>
      <c r="Z1001" s="90"/>
      <c r="AA1001" s="90"/>
      <c r="AB1001" s="90"/>
    </row>
    <row r="1002" spans="1:28" ht="16">
      <c r="A1002" s="100"/>
      <c r="B1002" s="87"/>
      <c r="C1002" s="94"/>
      <c r="D1002" s="95"/>
      <c r="E1002" s="96"/>
      <c r="F1002" s="88"/>
      <c r="G1002" s="89" t="b">
        <v>0</v>
      </c>
      <c r="H1002" s="89"/>
      <c r="I1002" s="90"/>
      <c r="J1002" s="90"/>
      <c r="K1002" s="90"/>
      <c r="L1002" s="90"/>
      <c r="M1002" s="90"/>
      <c r="N1002" s="90"/>
      <c r="O1002" s="90"/>
      <c r="P1002" s="90"/>
      <c r="Q1002" s="90"/>
      <c r="R1002" s="90"/>
      <c r="S1002" s="90"/>
      <c r="T1002" s="90"/>
      <c r="U1002" s="90"/>
      <c r="V1002" s="90"/>
      <c r="W1002" s="90"/>
      <c r="X1002" s="90"/>
      <c r="Y1002" s="90"/>
      <c r="Z1002" s="90"/>
      <c r="AA1002" s="90"/>
      <c r="AB1002" s="90"/>
    </row>
    <row r="1003" spans="1:28" ht="16">
      <c r="A1003" s="100"/>
      <c r="B1003" s="91"/>
      <c r="C1003" s="97"/>
      <c r="D1003" s="98"/>
      <c r="E1003" s="99"/>
      <c r="F1003" s="92"/>
      <c r="G1003" s="93" t="b">
        <v>0</v>
      </c>
      <c r="H1003" s="93"/>
      <c r="I1003" s="90"/>
      <c r="J1003" s="90"/>
      <c r="K1003" s="90"/>
      <c r="L1003" s="90"/>
      <c r="M1003" s="90"/>
      <c r="N1003" s="90"/>
      <c r="O1003" s="90"/>
      <c r="P1003" s="90"/>
      <c r="Q1003" s="90"/>
      <c r="R1003" s="90"/>
      <c r="S1003" s="90"/>
      <c r="T1003" s="90"/>
      <c r="U1003" s="90"/>
      <c r="V1003" s="90"/>
      <c r="W1003" s="90"/>
      <c r="X1003" s="90"/>
      <c r="Y1003" s="90"/>
      <c r="Z1003" s="90"/>
      <c r="AA1003" s="90"/>
      <c r="AB1003" s="90"/>
    </row>
    <row r="1004" spans="1:28" ht="16">
      <c r="A1004" s="100"/>
      <c r="B1004" s="87"/>
      <c r="C1004" s="94"/>
      <c r="D1004" s="95"/>
      <c r="E1004" s="96"/>
      <c r="F1004" s="88"/>
      <c r="G1004" s="89" t="b">
        <v>0</v>
      </c>
      <c r="H1004" s="89"/>
      <c r="I1004" s="90"/>
      <c r="J1004" s="90"/>
      <c r="K1004" s="90"/>
      <c r="L1004" s="90"/>
      <c r="M1004" s="90"/>
      <c r="N1004" s="90"/>
      <c r="O1004" s="90"/>
      <c r="P1004" s="90"/>
      <c r="Q1004" s="90"/>
      <c r="R1004" s="90"/>
      <c r="S1004" s="90"/>
      <c r="T1004" s="90"/>
      <c r="U1004" s="90"/>
      <c r="V1004" s="90"/>
      <c r="W1004" s="90"/>
      <c r="X1004" s="90"/>
      <c r="Y1004" s="90"/>
      <c r="Z1004" s="90"/>
      <c r="AA1004" s="90"/>
      <c r="AB1004" s="90"/>
    </row>
    <row r="1005" spans="1:28" ht="16">
      <c r="A1005" s="100"/>
      <c r="B1005" s="91"/>
      <c r="C1005" s="97"/>
      <c r="D1005" s="98"/>
      <c r="E1005" s="99"/>
      <c r="F1005" s="92"/>
      <c r="G1005" s="93" t="b">
        <v>0</v>
      </c>
      <c r="H1005" s="93"/>
      <c r="I1005" s="90"/>
      <c r="J1005" s="90"/>
      <c r="K1005" s="90"/>
      <c r="L1005" s="90"/>
      <c r="M1005" s="90"/>
      <c r="N1005" s="90"/>
      <c r="O1005" s="90"/>
      <c r="P1005" s="90"/>
      <c r="Q1005" s="90"/>
      <c r="R1005" s="90"/>
      <c r="S1005" s="90"/>
      <c r="T1005" s="90"/>
      <c r="U1005" s="90"/>
      <c r="V1005" s="90"/>
      <c r="W1005" s="90"/>
      <c r="X1005" s="90"/>
      <c r="Y1005" s="90"/>
      <c r="Z1005" s="90"/>
      <c r="AA1005" s="90"/>
      <c r="AB1005" s="90"/>
    </row>
    <row r="1006" spans="1:28" ht="16">
      <c r="A1006" s="100"/>
      <c r="B1006" s="87"/>
      <c r="C1006" s="94"/>
      <c r="D1006" s="95"/>
      <c r="E1006" s="96"/>
      <c r="F1006" s="88"/>
      <c r="G1006" s="89" t="b">
        <v>0</v>
      </c>
      <c r="H1006" s="89"/>
      <c r="I1006" s="90"/>
      <c r="J1006" s="90"/>
      <c r="K1006" s="90"/>
      <c r="L1006" s="90"/>
      <c r="M1006" s="90"/>
      <c r="N1006" s="90"/>
      <c r="O1006" s="90"/>
      <c r="P1006" s="90"/>
      <c r="Q1006" s="90"/>
      <c r="R1006" s="90"/>
      <c r="S1006" s="90"/>
      <c r="T1006" s="90"/>
      <c r="U1006" s="90"/>
      <c r="V1006" s="90"/>
      <c r="W1006" s="90"/>
      <c r="X1006" s="90"/>
      <c r="Y1006" s="90"/>
      <c r="Z1006" s="90"/>
      <c r="AA1006" s="90"/>
      <c r="AB1006" s="90"/>
    </row>
    <row r="1007" spans="1:28" ht="16">
      <c r="A1007" s="100"/>
      <c r="B1007" s="91"/>
      <c r="C1007" s="97"/>
      <c r="D1007" s="98"/>
      <c r="E1007" s="99"/>
      <c r="F1007" s="92"/>
      <c r="G1007" s="93" t="b">
        <v>0</v>
      </c>
      <c r="H1007" s="93"/>
      <c r="I1007" s="90"/>
      <c r="J1007" s="90"/>
      <c r="K1007" s="90"/>
      <c r="L1007" s="90"/>
      <c r="M1007" s="90"/>
      <c r="N1007" s="90"/>
      <c r="O1007" s="90"/>
      <c r="P1007" s="90"/>
      <c r="Q1007" s="90"/>
      <c r="R1007" s="90"/>
      <c r="S1007" s="90"/>
      <c r="T1007" s="90"/>
      <c r="U1007" s="90"/>
      <c r="V1007" s="90"/>
      <c r="W1007" s="90"/>
      <c r="X1007" s="90"/>
      <c r="Y1007" s="90"/>
      <c r="Z1007" s="90"/>
      <c r="AA1007" s="90"/>
      <c r="AB1007" s="90"/>
    </row>
    <row r="1008" spans="1:28" ht="16">
      <c r="A1008" s="100"/>
      <c r="B1008" s="87"/>
      <c r="C1008" s="94"/>
      <c r="D1008" s="95"/>
      <c r="E1008" s="96"/>
      <c r="F1008" s="88"/>
      <c r="G1008" s="89" t="b">
        <v>0</v>
      </c>
      <c r="H1008" s="89"/>
      <c r="I1008" s="90"/>
      <c r="J1008" s="90"/>
      <c r="K1008" s="90"/>
      <c r="L1008" s="90"/>
      <c r="M1008" s="90"/>
      <c r="N1008" s="90"/>
      <c r="O1008" s="90"/>
      <c r="P1008" s="90"/>
      <c r="Q1008" s="90"/>
      <c r="R1008" s="90"/>
      <c r="S1008" s="90"/>
      <c r="T1008" s="90"/>
      <c r="U1008" s="90"/>
      <c r="V1008" s="90"/>
      <c r="W1008" s="90"/>
      <c r="X1008" s="90"/>
      <c r="Y1008" s="90"/>
      <c r="Z1008" s="90"/>
      <c r="AA1008" s="90"/>
      <c r="AB1008" s="90"/>
    </row>
    <row r="1009" spans="1:28" ht="16">
      <c r="A1009" s="100"/>
      <c r="B1009" s="91"/>
      <c r="C1009" s="97"/>
      <c r="D1009" s="98"/>
      <c r="E1009" s="99"/>
      <c r="F1009" s="92"/>
      <c r="G1009" s="93" t="b">
        <v>0</v>
      </c>
      <c r="H1009" s="93"/>
      <c r="I1009" s="90"/>
      <c r="J1009" s="90"/>
      <c r="K1009" s="90"/>
      <c r="L1009" s="90"/>
      <c r="M1009" s="90"/>
      <c r="N1009" s="90"/>
      <c r="O1009" s="90"/>
      <c r="P1009" s="90"/>
      <c r="Q1009" s="90"/>
      <c r="R1009" s="90"/>
      <c r="S1009" s="90"/>
      <c r="T1009" s="90"/>
      <c r="U1009" s="90"/>
      <c r="V1009" s="90"/>
      <c r="W1009" s="90"/>
      <c r="X1009" s="90"/>
      <c r="Y1009" s="90"/>
      <c r="Z1009" s="90"/>
      <c r="AA1009" s="90"/>
      <c r="AB1009" s="90"/>
    </row>
    <row r="1010" spans="1:28" ht="16">
      <c r="A1010" s="100"/>
      <c r="B1010" s="87"/>
      <c r="C1010" s="94"/>
      <c r="D1010" s="95"/>
      <c r="E1010" s="96"/>
      <c r="F1010" s="88"/>
      <c r="G1010" s="89" t="b">
        <v>0</v>
      </c>
      <c r="H1010" s="89"/>
      <c r="I1010" s="90"/>
      <c r="J1010" s="90"/>
      <c r="K1010" s="90"/>
      <c r="L1010" s="90"/>
      <c r="M1010" s="90"/>
      <c r="N1010" s="90"/>
      <c r="O1010" s="90"/>
      <c r="P1010" s="90"/>
      <c r="Q1010" s="90"/>
      <c r="R1010" s="90"/>
      <c r="S1010" s="90"/>
      <c r="T1010" s="90"/>
      <c r="U1010" s="90"/>
      <c r="V1010" s="90"/>
      <c r="W1010" s="90"/>
      <c r="X1010" s="90"/>
      <c r="Y1010" s="90"/>
      <c r="Z1010" s="90"/>
      <c r="AA1010" s="90"/>
      <c r="AB1010" s="90"/>
    </row>
    <row r="1011" spans="1:28" ht="16">
      <c r="A1011" s="100"/>
      <c r="B1011" s="91"/>
      <c r="C1011" s="97"/>
      <c r="D1011" s="98"/>
      <c r="E1011" s="99"/>
      <c r="F1011" s="92"/>
      <c r="G1011" s="93" t="b">
        <v>0</v>
      </c>
      <c r="H1011" s="93"/>
      <c r="I1011" s="90"/>
      <c r="J1011" s="90"/>
      <c r="K1011" s="90"/>
      <c r="L1011" s="90"/>
      <c r="M1011" s="90"/>
      <c r="N1011" s="90"/>
      <c r="O1011" s="90"/>
      <c r="P1011" s="90"/>
      <c r="Q1011" s="90"/>
      <c r="R1011" s="90"/>
      <c r="S1011" s="90"/>
      <c r="T1011" s="90"/>
      <c r="U1011" s="90"/>
      <c r="V1011" s="90"/>
      <c r="W1011" s="90"/>
      <c r="X1011" s="90"/>
      <c r="Y1011" s="90"/>
      <c r="Z1011" s="90"/>
      <c r="AA1011" s="90"/>
      <c r="AB1011" s="90"/>
    </row>
    <row r="1012" spans="1:28" ht="16">
      <c r="A1012" s="100"/>
      <c r="B1012" s="87"/>
      <c r="C1012" s="94"/>
      <c r="D1012" s="95"/>
      <c r="E1012" s="96"/>
      <c r="F1012" s="88"/>
      <c r="G1012" s="89" t="b">
        <v>0</v>
      </c>
      <c r="H1012" s="89"/>
      <c r="I1012" s="90"/>
      <c r="J1012" s="90"/>
      <c r="K1012" s="90"/>
      <c r="L1012" s="90"/>
      <c r="M1012" s="90"/>
      <c r="N1012" s="90"/>
      <c r="O1012" s="90"/>
      <c r="P1012" s="90"/>
      <c r="Q1012" s="90"/>
      <c r="R1012" s="90"/>
      <c r="S1012" s="90"/>
      <c r="T1012" s="90"/>
      <c r="U1012" s="90"/>
      <c r="V1012" s="90"/>
      <c r="W1012" s="90"/>
      <c r="X1012" s="90"/>
      <c r="Y1012" s="90"/>
      <c r="Z1012" s="90"/>
      <c r="AA1012" s="90"/>
      <c r="AB1012" s="90"/>
    </row>
    <row r="1013" spans="1:28" ht="16">
      <c r="A1013" s="100"/>
      <c r="B1013" s="91"/>
      <c r="C1013" s="97"/>
      <c r="D1013" s="98"/>
      <c r="E1013" s="99"/>
      <c r="F1013" s="92"/>
      <c r="G1013" s="93" t="b">
        <v>0</v>
      </c>
      <c r="H1013" s="93"/>
      <c r="I1013" s="90"/>
      <c r="J1013" s="90"/>
      <c r="K1013" s="90"/>
      <c r="L1013" s="90"/>
      <c r="M1013" s="90"/>
      <c r="N1013" s="90"/>
      <c r="O1013" s="90"/>
      <c r="P1013" s="90"/>
      <c r="Q1013" s="90"/>
      <c r="R1013" s="90"/>
      <c r="S1013" s="90"/>
      <c r="T1013" s="90"/>
      <c r="U1013" s="90"/>
      <c r="V1013" s="90"/>
      <c r="W1013" s="90"/>
      <c r="X1013" s="90"/>
      <c r="Y1013" s="90"/>
      <c r="Z1013" s="90"/>
      <c r="AA1013" s="90"/>
      <c r="AB1013" s="90"/>
    </row>
    <row r="1014" spans="1:28" ht="16">
      <c r="A1014" s="100"/>
      <c r="B1014" s="87"/>
      <c r="C1014" s="94"/>
      <c r="D1014" s="95"/>
      <c r="E1014" s="96"/>
      <c r="F1014" s="88"/>
      <c r="G1014" s="89" t="b">
        <v>0</v>
      </c>
      <c r="H1014" s="89"/>
      <c r="I1014" s="90"/>
      <c r="J1014" s="90"/>
      <c r="K1014" s="90"/>
      <c r="L1014" s="90"/>
      <c r="M1014" s="90"/>
      <c r="N1014" s="90"/>
      <c r="O1014" s="90"/>
      <c r="P1014" s="90"/>
      <c r="Q1014" s="90"/>
      <c r="R1014" s="90"/>
      <c r="S1014" s="90"/>
      <c r="T1014" s="90"/>
      <c r="U1014" s="90"/>
      <c r="V1014" s="90"/>
      <c r="W1014" s="90"/>
      <c r="X1014" s="90"/>
      <c r="Y1014" s="90"/>
      <c r="Z1014" s="90"/>
      <c r="AA1014" s="90"/>
      <c r="AB1014" s="90"/>
    </row>
    <row r="1015" spans="1:28" ht="16">
      <c r="A1015" s="100"/>
      <c r="B1015" s="91"/>
      <c r="C1015" s="97"/>
      <c r="D1015" s="98"/>
      <c r="E1015" s="99"/>
      <c r="F1015" s="92"/>
      <c r="G1015" s="93" t="b">
        <v>0</v>
      </c>
      <c r="H1015" s="93"/>
      <c r="I1015" s="90"/>
      <c r="J1015" s="90"/>
      <c r="K1015" s="90"/>
      <c r="L1015" s="90"/>
      <c r="M1015" s="90"/>
      <c r="N1015" s="90"/>
      <c r="O1015" s="90"/>
      <c r="P1015" s="90"/>
      <c r="Q1015" s="90"/>
      <c r="R1015" s="90"/>
      <c r="S1015" s="90"/>
      <c r="T1015" s="90"/>
      <c r="U1015" s="90"/>
      <c r="V1015" s="90"/>
      <c r="W1015" s="90"/>
      <c r="X1015" s="90"/>
      <c r="Y1015" s="90"/>
      <c r="Z1015" s="90"/>
      <c r="AA1015" s="90"/>
      <c r="AB1015" s="90"/>
    </row>
    <row r="1016" spans="1:28" ht="16">
      <c r="A1016" s="100"/>
      <c r="B1016" s="87"/>
      <c r="C1016" s="94"/>
      <c r="D1016" s="95"/>
      <c r="E1016" s="96"/>
      <c r="F1016" s="88"/>
      <c r="G1016" s="89" t="b">
        <v>0</v>
      </c>
      <c r="H1016" s="89"/>
      <c r="I1016" s="90"/>
      <c r="J1016" s="90"/>
      <c r="K1016" s="90"/>
      <c r="L1016" s="90"/>
      <c r="M1016" s="90"/>
      <c r="N1016" s="90"/>
      <c r="O1016" s="90"/>
      <c r="P1016" s="90"/>
      <c r="Q1016" s="90"/>
      <c r="R1016" s="90"/>
      <c r="S1016" s="90"/>
      <c r="T1016" s="90"/>
      <c r="U1016" s="90"/>
      <c r="V1016" s="90"/>
      <c r="W1016" s="90"/>
      <c r="X1016" s="90"/>
      <c r="Y1016" s="90"/>
      <c r="Z1016" s="90"/>
      <c r="AA1016" s="90"/>
      <c r="AB1016" s="90"/>
    </row>
    <row r="1017" spans="1:28" ht="16">
      <c r="A1017" s="100"/>
      <c r="B1017" s="91"/>
      <c r="C1017" s="97"/>
      <c r="D1017" s="98"/>
      <c r="E1017" s="99"/>
      <c r="F1017" s="92"/>
      <c r="G1017" s="93" t="b">
        <v>0</v>
      </c>
      <c r="H1017" s="93"/>
      <c r="I1017" s="90"/>
      <c r="J1017" s="90"/>
      <c r="K1017" s="90"/>
      <c r="L1017" s="90"/>
      <c r="M1017" s="90"/>
      <c r="N1017" s="90"/>
      <c r="O1017" s="90"/>
      <c r="P1017" s="90"/>
      <c r="Q1017" s="90"/>
      <c r="R1017" s="90"/>
      <c r="S1017" s="90"/>
      <c r="T1017" s="90"/>
      <c r="U1017" s="90"/>
      <c r="V1017" s="90"/>
      <c r="W1017" s="90"/>
      <c r="X1017" s="90"/>
      <c r="Y1017" s="90"/>
      <c r="Z1017" s="90"/>
      <c r="AA1017" s="90"/>
      <c r="AB1017" s="90"/>
    </row>
    <row r="1018" spans="1:28" ht="16">
      <c r="A1018" s="100"/>
      <c r="B1018" s="87"/>
      <c r="C1018" s="94"/>
      <c r="D1018" s="95"/>
      <c r="E1018" s="96"/>
      <c r="F1018" s="88"/>
      <c r="G1018" s="89" t="b">
        <v>0</v>
      </c>
      <c r="H1018" s="89"/>
      <c r="I1018" s="90"/>
      <c r="J1018" s="90"/>
      <c r="K1018" s="90"/>
      <c r="L1018" s="90"/>
      <c r="M1018" s="90"/>
      <c r="N1018" s="90"/>
      <c r="O1018" s="90"/>
      <c r="P1018" s="90"/>
      <c r="Q1018" s="90"/>
      <c r="R1018" s="90"/>
      <c r="S1018" s="90"/>
      <c r="T1018" s="90"/>
      <c r="U1018" s="90"/>
      <c r="V1018" s="90"/>
      <c r="W1018" s="90"/>
      <c r="X1018" s="90"/>
      <c r="Y1018" s="90"/>
      <c r="Z1018" s="90"/>
      <c r="AA1018" s="90"/>
      <c r="AB1018" s="90"/>
    </row>
    <row r="1019" spans="1:28" ht="16">
      <c r="A1019" s="100"/>
      <c r="B1019" s="91"/>
      <c r="C1019" s="97"/>
      <c r="D1019" s="98"/>
      <c r="E1019" s="99"/>
      <c r="F1019" s="92"/>
      <c r="G1019" s="93" t="b">
        <v>0</v>
      </c>
      <c r="H1019" s="93"/>
      <c r="I1019" s="90"/>
      <c r="J1019" s="90"/>
      <c r="K1019" s="90"/>
      <c r="L1019" s="90"/>
      <c r="M1019" s="90"/>
      <c r="N1019" s="90"/>
      <c r="O1019" s="90"/>
      <c r="P1019" s="90"/>
      <c r="Q1019" s="90"/>
      <c r="R1019" s="90"/>
      <c r="S1019" s="90"/>
      <c r="T1019" s="90"/>
      <c r="U1019" s="90"/>
      <c r="V1019" s="90"/>
      <c r="W1019" s="90"/>
      <c r="X1019" s="90"/>
      <c r="Y1019" s="90"/>
      <c r="Z1019" s="90"/>
      <c r="AA1019" s="90"/>
      <c r="AB1019" s="90"/>
    </row>
    <row r="1020" spans="1:28" ht="16">
      <c r="A1020" s="100"/>
      <c r="B1020" s="87"/>
      <c r="C1020" s="94"/>
      <c r="D1020" s="95"/>
      <c r="E1020" s="96"/>
      <c r="F1020" s="88"/>
      <c r="G1020" s="89" t="b">
        <v>0</v>
      </c>
      <c r="H1020" s="89"/>
      <c r="I1020" s="90"/>
      <c r="J1020" s="90"/>
      <c r="K1020" s="90"/>
      <c r="L1020" s="90"/>
      <c r="M1020" s="90"/>
      <c r="N1020" s="90"/>
      <c r="O1020" s="90"/>
      <c r="P1020" s="90"/>
      <c r="Q1020" s="90"/>
      <c r="R1020" s="90"/>
      <c r="S1020" s="90"/>
      <c r="T1020" s="90"/>
      <c r="U1020" s="90"/>
      <c r="V1020" s="90"/>
      <c r="W1020" s="90"/>
      <c r="X1020" s="90"/>
      <c r="Y1020" s="90"/>
      <c r="Z1020" s="90"/>
      <c r="AA1020" s="90"/>
      <c r="AB1020" s="90"/>
    </row>
    <row r="1021" spans="1:28" ht="16">
      <c r="A1021" s="100"/>
      <c r="B1021" s="91"/>
      <c r="C1021" s="97"/>
      <c r="D1021" s="98"/>
      <c r="E1021" s="99"/>
      <c r="F1021" s="92"/>
      <c r="G1021" s="93" t="b">
        <v>0</v>
      </c>
      <c r="H1021" s="93"/>
      <c r="I1021" s="90"/>
      <c r="J1021" s="90"/>
      <c r="K1021" s="90"/>
      <c r="L1021" s="90"/>
      <c r="M1021" s="90"/>
      <c r="N1021" s="90"/>
      <c r="O1021" s="90"/>
      <c r="P1021" s="90"/>
      <c r="Q1021" s="90"/>
      <c r="R1021" s="90"/>
      <c r="S1021" s="90"/>
      <c r="T1021" s="90"/>
      <c r="U1021" s="90"/>
      <c r="V1021" s="90"/>
      <c r="W1021" s="90"/>
      <c r="X1021" s="90"/>
      <c r="Y1021" s="90"/>
      <c r="Z1021" s="90"/>
      <c r="AA1021" s="90"/>
      <c r="AB1021" s="90"/>
    </row>
    <row r="1022" spans="1:28" ht="16">
      <c r="A1022" s="100"/>
      <c r="B1022" s="87"/>
      <c r="C1022" s="94"/>
      <c r="D1022" s="95"/>
      <c r="E1022" s="96"/>
      <c r="F1022" s="88"/>
      <c r="G1022" s="89" t="b">
        <v>0</v>
      </c>
      <c r="H1022" s="89"/>
      <c r="I1022" s="90"/>
      <c r="J1022" s="90"/>
      <c r="K1022" s="90"/>
      <c r="L1022" s="90"/>
      <c r="M1022" s="90"/>
      <c r="N1022" s="90"/>
      <c r="O1022" s="90"/>
      <c r="P1022" s="90"/>
      <c r="Q1022" s="90"/>
      <c r="R1022" s="90"/>
      <c r="S1022" s="90"/>
      <c r="T1022" s="90"/>
      <c r="U1022" s="90"/>
      <c r="V1022" s="90"/>
      <c r="W1022" s="90"/>
      <c r="X1022" s="90"/>
      <c r="Y1022" s="90"/>
      <c r="Z1022" s="90"/>
      <c r="AA1022" s="90"/>
      <c r="AB1022" s="90"/>
    </row>
    <row r="1023" spans="1:28" ht="16">
      <c r="A1023" s="100"/>
      <c r="B1023" s="91"/>
      <c r="C1023" s="97"/>
      <c r="D1023" s="98"/>
      <c r="E1023" s="99"/>
      <c r="F1023" s="92"/>
      <c r="G1023" s="93" t="b">
        <v>0</v>
      </c>
      <c r="H1023" s="93"/>
      <c r="I1023" s="90"/>
      <c r="J1023" s="90"/>
      <c r="K1023" s="90"/>
      <c r="L1023" s="90"/>
      <c r="M1023" s="90"/>
      <c r="N1023" s="90"/>
      <c r="O1023" s="90"/>
      <c r="P1023" s="90"/>
      <c r="Q1023" s="90"/>
      <c r="R1023" s="90"/>
      <c r="S1023" s="90"/>
      <c r="T1023" s="90"/>
      <c r="U1023" s="90"/>
      <c r="V1023" s="90"/>
      <c r="W1023" s="90"/>
      <c r="X1023" s="90"/>
      <c r="Y1023" s="90"/>
      <c r="Z1023" s="90"/>
      <c r="AA1023" s="90"/>
      <c r="AB1023" s="90"/>
    </row>
    <row r="1024" spans="1:28" ht="16">
      <c r="A1024" s="100"/>
      <c r="B1024" s="87"/>
      <c r="C1024" s="94"/>
      <c r="D1024" s="95"/>
      <c r="E1024" s="96"/>
      <c r="F1024" s="88"/>
      <c r="G1024" s="89" t="b">
        <v>0</v>
      </c>
      <c r="H1024" s="89"/>
      <c r="I1024" s="90"/>
      <c r="J1024" s="90"/>
      <c r="K1024" s="90"/>
      <c r="L1024" s="90"/>
      <c r="M1024" s="90"/>
      <c r="N1024" s="90"/>
      <c r="O1024" s="90"/>
      <c r="P1024" s="90"/>
      <c r="Q1024" s="90"/>
      <c r="R1024" s="90"/>
      <c r="S1024" s="90"/>
      <c r="T1024" s="90"/>
      <c r="U1024" s="90"/>
      <c r="V1024" s="90"/>
      <c r="W1024" s="90"/>
      <c r="X1024" s="90"/>
      <c r="Y1024" s="90"/>
      <c r="Z1024" s="90"/>
      <c r="AA1024" s="90"/>
      <c r="AB1024" s="90"/>
    </row>
    <row r="1025" spans="1:28" ht="16">
      <c r="A1025" s="100"/>
      <c r="B1025" s="91"/>
      <c r="C1025" s="97"/>
      <c r="D1025" s="98"/>
      <c r="E1025" s="99"/>
      <c r="F1025" s="92"/>
      <c r="G1025" s="93" t="b">
        <v>0</v>
      </c>
      <c r="H1025" s="93"/>
      <c r="I1025" s="90"/>
      <c r="J1025" s="90"/>
      <c r="K1025" s="90"/>
      <c r="L1025" s="90"/>
      <c r="M1025" s="90"/>
      <c r="N1025" s="90"/>
      <c r="O1025" s="90"/>
      <c r="P1025" s="90"/>
      <c r="Q1025" s="90"/>
      <c r="R1025" s="90"/>
      <c r="S1025" s="90"/>
      <c r="T1025" s="90"/>
      <c r="U1025" s="90"/>
      <c r="V1025" s="90"/>
      <c r="W1025" s="90"/>
      <c r="X1025" s="90"/>
      <c r="Y1025" s="90"/>
      <c r="Z1025" s="90"/>
      <c r="AA1025" s="90"/>
      <c r="AB1025" s="90"/>
    </row>
    <row r="1026" spans="1:28" ht="16">
      <c r="A1026" s="100"/>
      <c r="B1026" s="87"/>
      <c r="C1026" s="94"/>
      <c r="D1026" s="95"/>
      <c r="E1026" s="96"/>
      <c r="F1026" s="88"/>
      <c r="G1026" s="89" t="b">
        <v>0</v>
      </c>
      <c r="H1026" s="89"/>
      <c r="I1026" s="90"/>
      <c r="J1026" s="90"/>
      <c r="K1026" s="90"/>
      <c r="L1026" s="90"/>
      <c r="M1026" s="90"/>
      <c r="N1026" s="90"/>
      <c r="O1026" s="90"/>
      <c r="P1026" s="90"/>
      <c r="Q1026" s="90"/>
      <c r="R1026" s="90"/>
      <c r="S1026" s="90"/>
      <c r="T1026" s="90"/>
      <c r="U1026" s="90"/>
      <c r="V1026" s="90"/>
      <c r="W1026" s="90"/>
      <c r="X1026" s="90"/>
      <c r="Y1026" s="90"/>
      <c r="Z1026" s="90"/>
      <c r="AA1026" s="90"/>
      <c r="AB1026" s="90"/>
    </row>
    <row r="1027" spans="1:28" ht="16">
      <c r="A1027" s="100"/>
      <c r="B1027" s="91"/>
      <c r="C1027" s="97"/>
      <c r="D1027" s="98"/>
      <c r="E1027" s="99"/>
      <c r="F1027" s="92"/>
      <c r="G1027" s="93" t="b">
        <v>0</v>
      </c>
      <c r="H1027" s="93"/>
      <c r="I1027" s="90"/>
      <c r="J1027" s="90"/>
      <c r="K1027" s="90"/>
      <c r="L1027" s="90"/>
      <c r="M1027" s="90"/>
      <c r="N1027" s="90"/>
      <c r="O1027" s="90"/>
      <c r="P1027" s="90"/>
      <c r="Q1027" s="90"/>
      <c r="R1027" s="90"/>
      <c r="S1027" s="90"/>
      <c r="T1027" s="90"/>
      <c r="U1027" s="90"/>
      <c r="V1027" s="90"/>
      <c r="W1027" s="90"/>
      <c r="X1027" s="90"/>
      <c r="Y1027" s="90"/>
      <c r="Z1027" s="90"/>
      <c r="AA1027" s="90"/>
      <c r="AB1027" s="90"/>
    </row>
    <row r="1028" spans="1:28" ht="16">
      <c r="A1028" s="100"/>
      <c r="B1028" s="87"/>
      <c r="C1028" s="94"/>
      <c r="D1028" s="95"/>
      <c r="E1028" s="96"/>
      <c r="F1028" s="88"/>
      <c r="G1028" s="89" t="b">
        <v>0</v>
      </c>
      <c r="H1028" s="89"/>
      <c r="I1028" s="90"/>
      <c r="J1028" s="90"/>
      <c r="K1028" s="90"/>
      <c r="L1028" s="90"/>
      <c r="M1028" s="90"/>
      <c r="N1028" s="90"/>
      <c r="O1028" s="90"/>
      <c r="P1028" s="90"/>
      <c r="Q1028" s="90"/>
      <c r="R1028" s="90"/>
      <c r="S1028" s="90"/>
      <c r="T1028" s="90"/>
      <c r="U1028" s="90"/>
      <c r="V1028" s="90"/>
      <c r="W1028" s="90"/>
      <c r="X1028" s="90"/>
      <c r="Y1028" s="90"/>
      <c r="Z1028" s="90"/>
      <c r="AA1028" s="90"/>
      <c r="AB1028" s="90"/>
    </row>
    <row r="1029" spans="1:28" ht="16">
      <c r="A1029" s="100"/>
      <c r="B1029" s="91"/>
      <c r="C1029" s="97"/>
      <c r="D1029" s="98"/>
      <c r="E1029" s="99"/>
      <c r="F1029" s="92"/>
      <c r="G1029" s="93" t="b">
        <v>0</v>
      </c>
      <c r="H1029" s="93"/>
      <c r="I1029" s="90"/>
      <c r="J1029" s="90"/>
      <c r="K1029" s="90"/>
      <c r="L1029" s="90"/>
      <c r="M1029" s="90"/>
      <c r="N1029" s="90"/>
      <c r="O1029" s="90"/>
      <c r="P1029" s="90"/>
      <c r="Q1029" s="90"/>
      <c r="R1029" s="90"/>
      <c r="S1029" s="90"/>
      <c r="T1029" s="90"/>
      <c r="U1029" s="90"/>
      <c r="V1029" s="90"/>
      <c r="W1029" s="90"/>
      <c r="X1029" s="90"/>
      <c r="Y1029" s="90"/>
      <c r="Z1029" s="90"/>
      <c r="AA1029" s="90"/>
      <c r="AB1029" s="90"/>
    </row>
    <row r="1030" spans="1:28" ht="16">
      <c r="A1030" s="100"/>
      <c r="B1030" s="87"/>
      <c r="C1030" s="94"/>
      <c r="D1030" s="95"/>
      <c r="E1030" s="96"/>
      <c r="F1030" s="88"/>
      <c r="G1030" s="89" t="b">
        <v>0</v>
      </c>
      <c r="H1030" s="89"/>
      <c r="I1030" s="90"/>
      <c r="J1030" s="90"/>
      <c r="K1030" s="90"/>
      <c r="L1030" s="90"/>
      <c r="M1030" s="90"/>
      <c r="N1030" s="90"/>
      <c r="O1030" s="90"/>
      <c r="P1030" s="90"/>
      <c r="Q1030" s="90"/>
      <c r="R1030" s="90"/>
      <c r="S1030" s="90"/>
      <c r="T1030" s="90"/>
      <c r="U1030" s="90"/>
      <c r="V1030" s="90"/>
      <c r="W1030" s="90"/>
      <c r="X1030" s="90"/>
      <c r="Y1030" s="90"/>
      <c r="Z1030" s="90"/>
      <c r="AA1030" s="90"/>
      <c r="AB1030" s="90"/>
    </row>
    <row r="1031" spans="1:28" ht="16">
      <c r="A1031" s="100"/>
      <c r="B1031" s="91"/>
      <c r="C1031" s="97"/>
      <c r="D1031" s="98"/>
      <c r="E1031" s="99"/>
      <c r="F1031" s="92"/>
      <c r="G1031" s="93" t="b">
        <v>0</v>
      </c>
      <c r="H1031" s="93"/>
      <c r="I1031" s="90"/>
      <c r="J1031" s="90"/>
      <c r="K1031" s="90"/>
      <c r="L1031" s="90"/>
      <c r="M1031" s="90"/>
      <c r="N1031" s="90"/>
      <c r="O1031" s="90"/>
      <c r="P1031" s="90"/>
      <c r="Q1031" s="90"/>
      <c r="R1031" s="90"/>
      <c r="S1031" s="90"/>
      <c r="T1031" s="90"/>
      <c r="U1031" s="90"/>
      <c r="V1031" s="90"/>
      <c r="W1031" s="90"/>
      <c r="X1031" s="90"/>
      <c r="Y1031" s="90"/>
      <c r="Z1031" s="90"/>
      <c r="AA1031" s="90"/>
      <c r="AB1031" s="90"/>
    </row>
    <row r="1032" spans="1:28" ht="16">
      <c r="A1032" s="100"/>
      <c r="B1032" s="87"/>
      <c r="C1032" s="94"/>
      <c r="D1032" s="95"/>
      <c r="E1032" s="96"/>
      <c r="F1032" s="88"/>
      <c r="G1032" s="89" t="b">
        <v>0</v>
      </c>
      <c r="H1032" s="89"/>
      <c r="I1032" s="90"/>
      <c r="J1032" s="90"/>
      <c r="K1032" s="90"/>
      <c r="L1032" s="90"/>
      <c r="M1032" s="90"/>
      <c r="N1032" s="90"/>
      <c r="O1032" s="90"/>
      <c r="P1032" s="90"/>
      <c r="Q1032" s="90"/>
      <c r="R1032" s="90"/>
      <c r="S1032" s="90"/>
      <c r="T1032" s="90"/>
      <c r="U1032" s="90"/>
      <c r="V1032" s="90"/>
      <c r="W1032" s="90"/>
      <c r="X1032" s="90"/>
      <c r="Y1032" s="90"/>
      <c r="Z1032" s="90"/>
      <c r="AA1032" s="90"/>
      <c r="AB1032" s="90"/>
    </row>
    <row r="1033" spans="1:28" ht="16">
      <c r="A1033" s="100"/>
      <c r="B1033" s="91"/>
      <c r="C1033" s="97"/>
      <c r="D1033" s="98"/>
      <c r="E1033" s="99"/>
      <c r="F1033" s="92"/>
      <c r="G1033" s="93" t="b">
        <v>0</v>
      </c>
      <c r="H1033" s="93"/>
      <c r="I1033" s="90"/>
      <c r="J1033" s="90"/>
      <c r="K1033" s="90"/>
      <c r="L1033" s="90"/>
      <c r="M1033" s="90"/>
      <c r="N1033" s="90"/>
      <c r="O1033" s="90"/>
      <c r="P1033" s="90"/>
      <c r="Q1033" s="90"/>
      <c r="R1033" s="90"/>
      <c r="S1033" s="90"/>
      <c r="T1033" s="90"/>
      <c r="U1033" s="90"/>
      <c r="V1033" s="90"/>
      <c r="W1033" s="90"/>
      <c r="X1033" s="90"/>
      <c r="Y1033" s="90"/>
      <c r="Z1033" s="90"/>
      <c r="AA1033" s="90"/>
      <c r="AB1033" s="90"/>
    </row>
    <row r="1034" spans="1:28" ht="16">
      <c r="A1034" s="100"/>
      <c r="B1034" s="87"/>
      <c r="C1034" s="94"/>
      <c r="D1034" s="95"/>
      <c r="E1034" s="96"/>
      <c r="F1034" s="88"/>
      <c r="G1034" s="89" t="b">
        <v>0</v>
      </c>
      <c r="H1034" s="89"/>
      <c r="I1034" s="90"/>
      <c r="J1034" s="90"/>
      <c r="K1034" s="90"/>
      <c r="L1034" s="90"/>
      <c r="M1034" s="90"/>
      <c r="N1034" s="90"/>
      <c r="O1034" s="90"/>
      <c r="P1034" s="90"/>
      <c r="Q1034" s="90"/>
      <c r="R1034" s="90"/>
      <c r="S1034" s="90"/>
      <c r="T1034" s="90"/>
      <c r="U1034" s="90"/>
      <c r="V1034" s="90"/>
      <c r="W1034" s="90"/>
      <c r="X1034" s="90"/>
      <c r="Y1034" s="90"/>
      <c r="Z1034" s="90"/>
      <c r="AA1034" s="90"/>
      <c r="AB1034" s="90"/>
    </row>
    <row r="1035" spans="1:28" ht="16">
      <c r="A1035" s="100"/>
      <c r="B1035" s="91"/>
      <c r="C1035" s="97"/>
      <c r="D1035" s="98"/>
      <c r="E1035" s="99"/>
      <c r="F1035" s="92"/>
      <c r="G1035" s="93" t="b">
        <v>0</v>
      </c>
      <c r="H1035" s="93"/>
      <c r="I1035" s="90"/>
      <c r="J1035" s="90"/>
      <c r="K1035" s="90"/>
      <c r="L1035" s="90"/>
      <c r="M1035" s="90"/>
      <c r="N1035" s="90"/>
      <c r="O1035" s="90"/>
      <c r="P1035" s="90"/>
      <c r="Q1035" s="90"/>
      <c r="R1035" s="90"/>
      <c r="S1035" s="90"/>
      <c r="T1035" s="90"/>
      <c r="U1035" s="90"/>
      <c r="V1035" s="90"/>
      <c r="W1035" s="90"/>
      <c r="X1035" s="90"/>
      <c r="Y1035" s="90"/>
      <c r="Z1035" s="90"/>
      <c r="AA1035" s="90"/>
      <c r="AB1035" s="90"/>
    </row>
    <row r="1036" spans="1:28" ht="16">
      <c r="A1036" s="100"/>
      <c r="B1036" s="87"/>
      <c r="C1036" s="94"/>
      <c r="D1036" s="95"/>
      <c r="E1036" s="96"/>
      <c r="F1036" s="88"/>
      <c r="G1036" s="89" t="b">
        <v>0</v>
      </c>
      <c r="H1036" s="89"/>
      <c r="I1036" s="90"/>
      <c r="J1036" s="90"/>
      <c r="K1036" s="90"/>
      <c r="L1036" s="90"/>
      <c r="M1036" s="90"/>
      <c r="N1036" s="90"/>
      <c r="O1036" s="90"/>
      <c r="P1036" s="90"/>
      <c r="Q1036" s="90"/>
      <c r="R1036" s="90"/>
      <c r="S1036" s="90"/>
      <c r="T1036" s="90"/>
      <c r="U1036" s="90"/>
      <c r="V1036" s="90"/>
      <c r="W1036" s="90"/>
      <c r="X1036" s="90"/>
      <c r="Y1036" s="90"/>
      <c r="Z1036" s="90"/>
      <c r="AA1036" s="90"/>
      <c r="AB1036" s="90"/>
    </row>
    <row r="1037" spans="1:28" ht="16">
      <c r="A1037" s="100"/>
      <c r="B1037" s="91"/>
      <c r="C1037" s="97"/>
      <c r="D1037" s="98"/>
      <c r="E1037" s="99"/>
      <c r="F1037" s="92"/>
      <c r="G1037" s="93" t="b">
        <v>0</v>
      </c>
      <c r="H1037" s="93"/>
      <c r="I1037" s="90"/>
      <c r="J1037" s="90"/>
      <c r="K1037" s="90"/>
      <c r="L1037" s="90"/>
      <c r="M1037" s="90"/>
      <c r="N1037" s="90"/>
      <c r="O1037" s="90"/>
      <c r="P1037" s="90"/>
      <c r="Q1037" s="90"/>
      <c r="R1037" s="90"/>
      <c r="S1037" s="90"/>
      <c r="T1037" s="90"/>
      <c r="U1037" s="90"/>
      <c r="V1037" s="90"/>
      <c r="W1037" s="90"/>
      <c r="X1037" s="90"/>
      <c r="Y1037" s="90"/>
      <c r="Z1037" s="90"/>
      <c r="AA1037" s="90"/>
      <c r="AB1037" s="90"/>
    </row>
    <row r="1038" spans="1:28" ht="16">
      <c r="A1038" s="100"/>
      <c r="B1038" s="87"/>
      <c r="C1038" s="94"/>
      <c r="D1038" s="95"/>
      <c r="E1038" s="96"/>
      <c r="F1038" s="88"/>
      <c r="G1038" s="89" t="b">
        <v>0</v>
      </c>
      <c r="H1038" s="89"/>
      <c r="I1038" s="90"/>
      <c r="J1038" s="90"/>
      <c r="K1038" s="90"/>
      <c r="L1038" s="90"/>
      <c r="M1038" s="90"/>
      <c r="N1038" s="90"/>
      <c r="O1038" s="90"/>
      <c r="P1038" s="90"/>
      <c r="Q1038" s="90"/>
      <c r="R1038" s="90"/>
      <c r="S1038" s="90"/>
      <c r="T1038" s="90"/>
      <c r="U1038" s="90"/>
      <c r="V1038" s="90"/>
      <c r="W1038" s="90"/>
      <c r="X1038" s="90"/>
      <c r="Y1038" s="90"/>
      <c r="Z1038" s="90"/>
      <c r="AA1038" s="90"/>
      <c r="AB1038" s="90"/>
    </row>
    <row r="1039" spans="1:28" ht="16">
      <c r="A1039" s="100"/>
      <c r="B1039" s="91"/>
      <c r="C1039" s="97"/>
      <c r="D1039" s="98"/>
      <c r="E1039" s="99"/>
      <c r="F1039" s="92"/>
      <c r="G1039" s="93" t="b">
        <v>0</v>
      </c>
      <c r="H1039" s="93"/>
      <c r="I1039" s="90"/>
      <c r="J1039" s="90"/>
      <c r="K1039" s="90"/>
      <c r="L1039" s="90"/>
      <c r="M1039" s="90"/>
      <c r="N1039" s="90"/>
      <c r="O1039" s="90"/>
      <c r="P1039" s="90"/>
      <c r="Q1039" s="90"/>
      <c r="R1039" s="90"/>
      <c r="S1039" s="90"/>
      <c r="T1039" s="90"/>
      <c r="U1039" s="90"/>
      <c r="V1039" s="90"/>
      <c r="W1039" s="90"/>
      <c r="X1039" s="90"/>
      <c r="Y1039" s="90"/>
      <c r="Z1039" s="90"/>
      <c r="AA1039" s="90"/>
      <c r="AB1039" s="90"/>
    </row>
    <row r="1040" spans="1:28" ht="16">
      <c r="A1040" s="100"/>
      <c r="B1040" s="87"/>
      <c r="C1040" s="94"/>
      <c r="D1040" s="95"/>
      <c r="E1040" s="96"/>
      <c r="F1040" s="88"/>
      <c r="G1040" s="89" t="b">
        <v>0</v>
      </c>
      <c r="H1040" s="89"/>
      <c r="I1040" s="90"/>
      <c r="J1040" s="90"/>
      <c r="K1040" s="90"/>
      <c r="L1040" s="90"/>
      <c r="M1040" s="90"/>
      <c r="N1040" s="90"/>
      <c r="O1040" s="90"/>
      <c r="P1040" s="90"/>
      <c r="Q1040" s="90"/>
      <c r="R1040" s="90"/>
      <c r="S1040" s="90"/>
      <c r="T1040" s="90"/>
      <c r="U1040" s="90"/>
      <c r="V1040" s="90"/>
      <c r="W1040" s="90"/>
      <c r="X1040" s="90"/>
      <c r="Y1040" s="90"/>
      <c r="Z1040" s="90"/>
      <c r="AA1040" s="90"/>
      <c r="AB1040" s="90"/>
    </row>
    <row r="1041" spans="1:28" ht="16">
      <c r="A1041" s="100"/>
      <c r="B1041" s="91"/>
      <c r="C1041" s="97"/>
      <c r="D1041" s="98"/>
      <c r="E1041" s="99"/>
      <c r="F1041" s="92"/>
      <c r="G1041" s="93" t="b">
        <v>0</v>
      </c>
      <c r="H1041" s="93"/>
      <c r="I1041" s="90"/>
      <c r="J1041" s="90"/>
      <c r="K1041" s="90"/>
      <c r="L1041" s="90"/>
      <c r="M1041" s="90"/>
      <c r="N1041" s="90"/>
      <c r="O1041" s="90"/>
      <c r="P1041" s="90"/>
      <c r="Q1041" s="90"/>
      <c r="R1041" s="90"/>
      <c r="S1041" s="90"/>
      <c r="T1041" s="90"/>
      <c r="U1041" s="90"/>
      <c r="V1041" s="90"/>
      <c r="W1041" s="90"/>
      <c r="X1041" s="90"/>
      <c r="Y1041" s="90"/>
      <c r="Z1041" s="90"/>
      <c r="AA1041" s="90"/>
      <c r="AB1041" s="90"/>
    </row>
    <row r="1042" spans="1:28" ht="16">
      <c r="A1042" s="100"/>
      <c r="B1042" s="87"/>
      <c r="C1042" s="94"/>
      <c r="D1042" s="95"/>
      <c r="E1042" s="96"/>
      <c r="F1042" s="88"/>
      <c r="G1042" s="89" t="b">
        <v>0</v>
      </c>
      <c r="H1042" s="89"/>
      <c r="I1042" s="90"/>
      <c r="J1042" s="90"/>
      <c r="K1042" s="90"/>
      <c r="L1042" s="90"/>
      <c r="M1042" s="90"/>
      <c r="N1042" s="90"/>
      <c r="O1042" s="90"/>
      <c r="P1042" s="90"/>
      <c r="Q1042" s="90"/>
      <c r="R1042" s="90"/>
      <c r="S1042" s="90"/>
      <c r="T1042" s="90"/>
      <c r="U1042" s="90"/>
      <c r="V1042" s="90"/>
      <c r="W1042" s="90"/>
      <c r="X1042" s="90"/>
      <c r="Y1042" s="90"/>
      <c r="Z1042" s="90"/>
      <c r="AA1042" s="90"/>
      <c r="AB1042" s="90"/>
    </row>
    <row r="1043" spans="1:28" ht="16">
      <c r="A1043" s="100"/>
      <c r="B1043" s="91"/>
      <c r="C1043" s="97"/>
      <c r="D1043" s="98"/>
      <c r="E1043" s="99"/>
      <c r="F1043" s="92"/>
      <c r="G1043" s="93" t="b">
        <v>0</v>
      </c>
      <c r="H1043" s="93"/>
      <c r="I1043" s="90"/>
      <c r="J1043" s="90"/>
      <c r="K1043" s="90"/>
      <c r="L1043" s="90"/>
      <c r="M1043" s="90"/>
      <c r="N1043" s="90"/>
      <c r="O1043" s="90"/>
      <c r="P1043" s="90"/>
      <c r="Q1043" s="90"/>
      <c r="R1043" s="90"/>
      <c r="S1043" s="90"/>
      <c r="T1043" s="90"/>
      <c r="U1043" s="90"/>
      <c r="V1043" s="90"/>
      <c r="W1043" s="90"/>
      <c r="X1043" s="90"/>
      <c r="Y1043" s="90"/>
      <c r="Z1043" s="90"/>
      <c r="AA1043" s="90"/>
      <c r="AB1043" s="90"/>
    </row>
    <row r="1044" spans="1:28" ht="16">
      <c r="A1044" s="100"/>
      <c r="B1044" s="87"/>
      <c r="C1044" s="94"/>
      <c r="D1044" s="95"/>
      <c r="E1044" s="96"/>
      <c r="F1044" s="88"/>
      <c r="G1044" s="89" t="b">
        <v>0</v>
      </c>
      <c r="H1044" s="89"/>
      <c r="I1044" s="90"/>
      <c r="J1044" s="90"/>
      <c r="K1044" s="90"/>
      <c r="L1044" s="90"/>
      <c r="M1044" s="90"/>
      <c r="N1044" s="90"/>
      <c r="O1044" s="90"/>
      <c r="P1044" s="90"/>
      <c r="Q1044" s="90"/>
      <c r="R1044" s="90"/>
      <c r="S1044" s="90"/>
      <c r="T1044" s="90"/>
      <c r="U1044" s="90"/>
      <c r="V1044" s="90"/>
      <c r="W1044" s="90"/>
      <c r="X1044" s="90"/>
      <c r="Y1044" s="90"/>
      <c r="Z1044" s="90"/>
      <c r="AA1044" s="90"/>
      <c r="AB1044" s="90"/>
    </row>
    <row r="1045" spans="1:28" ht="16">
      <c r="A1045" s="100"/>
      <c r="B1045" s="91"/>
      <c r="C1045" s="97"/>
      <c r="D1045" s="98"/>
      <c r="E1045" s="99"/>
      <c r="F1045" s="92"/>
      <c r="G1045" s="93" t="b">
        <v>0</v>
      </c>
      <c r="H1045" s="93"/>
      <c r="I1045" s="90"/>
      <c r="J1045" s="90"/>
      <c r="K1045" s="90"/>
      <c r="L1045" s="90"/>
      <c r="M1045" s="90"/>
      <c r="N1045" s="90"/>
      <c r="O1045" s="90"/>
      <c r="P1045" s="90"/>
      <c r="Q1045" s="90"/>
      <c r="R1045" s="90"/>
      <c r="S1045" s="90"/>
      <c r="T1045" s="90"/>
      <c r="U1045" s="90"/>
      <c r="V1045" s="90"/>
      <c r="W1045" s="90"/>
      <c r="X1045" s="90"/>
      <c r="Y1045" s="90"/>
      <c r="Z1045" s="90"/>
      <c r="AA1045" s="90"/>
      <c r="AB1045" s="90"/>
    </row>
    <row r="1046" spans="1:28" ht="16">
      <c r="A1046" s="100"/>
      <c r="B1046" s="87"/>
      <c r="C1046" s="94"/>
      <c r="D1046" s="95"/>
      <c r="E1046" s="96"/>
      <c r="F1046" s="88"/>
      <c r="G1046" s="89" t="b">
        <v>0</v>
      </c>
      <c r="H1046" s="89"/>
      <c r="I1046" s="90"/>
      <c r="J1046" s="90"/>
      <c r="K1046" s="90"/>
      <c r="L1046" s="90"/>
      <c r="M1046" s="90"/>
      <c r="N1046" s="90"/>
      <c r="O1046" s="90"/>
      <c r="P1046" s="90"/>
      <c r="Q1046" s="90"/>
      <c r="R1046" s="90"/>
      <c r="S1046" s="90"/>
      <c r="T1046" s="90"/>
      <c r="U1046" s="90"/>
      <c r="V1046" s="90"/>
      <c r="W1046" s="90"/>
      <c r="X1046" s="90"/>
      <c r="Y1046" s="90"/>
      <c r="Z1046" s="90"/>
      <c r="AA1046" s="90"/>
      <c r="AB1046" s="90"/>
    </row>
    <row r="1047" spans="1:28" ht="16">
      <c r="A1047" s="100"/>
      <c r="B1047" s="91"/>
      <c r="C1047" s="97"/>
      <c r="D1047" s="98"/>
      <c r="E1047" s="99"/>
      <c r="F1047" s="92"/>
      <c r="G1047" s="93" t="b">
        <v>0</v>
      </c>
      <c r="H1047" s="93"/>
      <c r="I1047" s="90"/>
      <c r="J1047" s="90"/>
      <c r="K1047" s="90"/>
      <c r="L1047" s="90"/>
      <c r="M1047" s="90"/>
      <c r="N1047" s="90"/>
      <c r="O1047" s="90"/>
      <c r="P1047" s="90"/>
      <c r="Q1047" s="90"/>
      <c r="R1047" s="90"/>
      <c r="S1047" s="90"/>
      <c r="T1047" s="90"/>
      <c r="U1047" s="90"/>
      <c r="V1047" s="90"/>
      <c r="W1047" s="90"/>
      <c r="X1047" s="90"/>
      <c r="Y1047" s="90"/>
      <c r="Z1047" s="90"/>
      <c r="AA1047" s="90"/>
      <c r="AB1047" s="90"/>
    </row>
    <row r="1048" spans="1:28" ht="16">
      <c r="A1048" s="100"/>
      <c r="B1048" s="87"/>
      <c r="C1048" s="94"/>
      <c r="D1048" s="95"/>
      <c r="E1048" s="96"/>
      <c r="F1048" s="88"/>
      <c r="G1048" s="89" t="b">
        <v>0</v>
      </c>
      <c r="H1048" s="89"/>
      <c r="I1048" s="90"/>
      <c r="J1048" s="90"/>
      <c r="K1048" s="90"/>
      <c r="L1048" s="90"/>
      <c r="M1048" s="90"/>
      <c r="N1048" s="90"/>
      <c r="O1048" s="90"/>
      <c r="P1048" s="90"/>
      <c r="Q1048" s="90"/>
      <c r="R1048" s="90"/>
      <c r="S1048" s="90"/>
      <c r="T1048" s="90"/>
      <c r="U1048" s="90"/>
      <c r="V1048" s="90"/>
      <c r="W1048" s="90"/>
      <c r="X1048" s="90"/>
      <c r="Y1048" s="90"/>
      <c r="Z1048" s="90"/>
      <c r="AA1048" s="90"/>
      <c r="AB1048" s="90"/>
    </row>
    <row r="1049" spans="1:28" ht="16">
      <c r="A1049" s="100"/>
      <c r="B1049" s="91"/>
      <c r="C1049" s="97"/>
      <c r="D1049" s="98"/>
      <c r="E1049" s="99"/>
      <c r="F1049" s="92"/>
      <c r="G1049" s="93" t="b">
        <v>0</v>
      </c>
      <c r="H1049" s="93"/>
      <c r="I1049" s="90"/>
      <c r="J1049" s="90"/>
      <c r="K1049" s="90"/>
      <c r="L1049" s="90"/>
      <c r="M1049" s="90"/>
      <c r="N1049" s="90"/>
      <c r="O1049" s="90"/>
      <c r="P1049" s="90"/>
      <c r="Q1049" s="90"/>
      <c r="R1049" s="90"/>
      <c r="S1049" s="90"/>
      <c r="T1049" s="90"/>
      <c r="U1049" s="90"/>
      <c r="V1049" s="90"/>
      <c r="W1049" s="90"/>
      <c r="X1049" s="90"/>
      <c r="Y1049" s="90"/>
      <c r="Z1049" s="90"/>
      <c r="AA1049" s="90"/>
      <c r="AB1049" s="90"/>
    </row>
    <row r="1050" spans="1:28" ht="16">
      <c r="A1050" s="100"/>
      <c r="B1050" s="87"/>
      <c r="C1050" s="94"/>
      <c r="D1050" s="95"/>
      <c r="E1050" s="96"/>
      <c r="F1050" s="88"/>
      <c r="G1050" s="89" t="b">
        <v>0</v>
      </c>
      <c r="H1050" s="89"/>
      <c r="I1050" s="90"/>
      <c r="J1050" s="90"/>
      <c r="K1050" s="90"/>
      <c r="L1050" s="90"/>
      <c r="M1050" s="90"/>
      <c r="N1050" s="90"/>
      <c r="O1050" s="90"/>
      <c r="P1050" s="90"/>
      <c r="Q1050" s="90"/>
      <c r="R1050" s="90"/>
      <c r="S1050" s="90"/>
      <c r="T1050" s="90"/>
      <c r="U1050" s="90"/>
      <c r="V1050" s="90"/>
      <c r="W1050" s="90"/>
      <c r="X1050" s="90"/>
      <c r="Y1050" s="90"/>
      <c r="Z1050" s="90"/>
      <c r="AA1050" s="90"/>
      <c r="AB1050" s="90"/>
    </row>
    <row r="1051" spans="1:28" ht="16">
      <c r="A1051" s="100"/>
      <c r="B1051" s="91"/>
      <c r="C1051" s="97"/>
      <c r="D1051" s="98"/>
      <c r="E1051" s="99"/>
      <c r="F1051" s="92"/>
      <c r="G1051" s="93" t="b">
        <v>0</v>
      </c>
      <c r="H1051" s="93"/>
      <c r="I1051" s="90"/>
      <c r="J1051" s="90"/>
      <c r="K1051" s="90"/>
      <c r="L1051" s="90"/>
      <c r="M1051" s="90"/>
      <c r="N1051" s="90"/>
      <c r="O1051" s="90"/>
      <c r="P1051" s="90"/>
      <c r="Q1051" s="90"/>
      <c r="R1051" s="90"/>
      <c r="S1051" s="90"/>
      <c r="T1051" s="90"/>
      <c r="U1051" s="90"/>
      <c r="V1051" s="90"/>
      <c r="W1051" s="90"/>
      <c r="X1051" s="90"/>
      <c r="Y1051" s="90"/>
      <c r="Z1051" s="90"/>
      <c r="AA1051" s="90"/>
      <c r="AB1051" s="90"/>
    </row>
    <row r="1052" spans="1:28" ht="16">
      <c r="A1052" s="100"/>
      <c r="B1052" s="87"/>
      <c r="C1052" s="94"/>
      <c r="D1052" s="95"/>
      <c r="E1052" s="96"/>
      <c r="F1052" s="88"/>
      <c r="G1052" s="89" t="b">
        <v>0</v>
      </c>
      <c r="H1052" s="89"/>
      <c r="I1052" s="90"/>
      <c r="J1052" s="90"/>
      <c r="K1052" s="90"/>
      <c r="L1052" s="90"/>
      <c r="M1052" s="90"/>
      <c r="N1052" s="90"/>
      <c r="O1052" s="90"/>
      <c r="P1052" s="90"/>
      <c r="Q1052" s="90"/>
      <c r="R1052" s="90"/>
      <c r="S1052" s="90"/>
      <c r="T1052" s="90"/>
      <c r="U1052" s="90"/>
      <c r="V1052" s="90"/>
      <c r="W1052" s="90"/>
      <c r="X1052" s="90"/>
      <c r="Y1052" s="90"/>
      <c r="Z1052" s="90"/>
      <c r="AA1052" s="90"/>
      <c r="AB1052" s="90"/>
    </row>
    <row r="1053" spans="1:28" ht="16">
      <c r="A1053" s="100"/>
      <c r="B1053" s="91"/>
      <c r="C1053" s="97"/>
      <c r="D1053" s="98"/>
      <c r="E1053" s="99"/>
      <c r="F1053" s="92"/>
      <c r="G1053" s="93" t="b">
        <v>0</v>
      </c>
      <c r="H1053" s="93"/>
      <c r="I1053" s="90"/>
      <c r="J1053" s="90"/>
      <c r="K1053" s="90"/>
      <c r="L1053" s="90"/>
      <c r="M1053" s="90"/>
      <c r="N1053" s="90"/>
      <c r="O1053" s="90"/>
      <c r="P1053" s="90"/>
      <c r="Q1053" s="90"/>
      <c r="R1053" s="90"/>
      <c r="S1053" s="90"/>
      <c r="T1053" s="90"/>
      <c r="U1053" s="90"/>
      <c r="V1053" s="90"/>
      <c r="W1053" s="90"/>
      <c r="X1053" s="90"/>
      <c r="Y1053" s="90"/>
      <c r="Z1053" s="90"/>
      <c r="AA1053" s="90"/>
      <c r="AB1053" s="90"/>
    </row>
    <row r="1054" spans="1:28" ht="16">
      <c r="A1054" s="100"/>
      <c r="B1054" s="87"/>
      <c r="C1054" s="94"/>
      <c r="D1054" s="95"/>
      <c r="E1054" s="96"/>
      <c r="F1054" s="88"/>
      <c r="G1054" s="89" t="b">
        <v>0</v>
      </c>
      <c r="H1054" s="89"/>
      <c r="I1054" s="90"/>
      <c r="J1054" s="90"/>
      <c r="K1054" s="90"/>
      <c r="L1054" s="90"/>
      <c r="M1054" s="90"/>
      <c r="N1054" s="90"/>
      <c r="O1054" s="90"/>
      <c r="P1054" s="90"/>
      <c r="Q1054" s="90"/>
      <c r="R1054" s="90"/>
      <c r="S1054" s="90"/>
      <c r="T1054" s="90"/>
      <c r="U1054" s="90"/>
      <c r="V1054" s="90"/>
      <c r="W1054" s="90"/>
      <c r="X1054" s="90"/>
      <c r="Y1054" s="90"/>
      <c r="Z1054" s="90"/>
      <c r="AA1054" s="90"/>
      <c r="AB1054" s="90"/>
    </row>
    <row r="1055" spans="1:28" ht="16">
      <c r="A1055" s="100"/>
      <c r="B1055" s="91"/>
      <c r="C1055" s="97"/>
      <c r="D1055" s="98"/>
      <c r="E1055" s="99"/>
      <c r="F1055" s="92"/>
      <c r="G1055" s="93" t="b">
        <v>0</v>
      </c>
      <c r="H1055" s="93"/>
      <c r="I1055" s="90"/>
      <c r="J1055" s="90"/>
      <c r="K1055" s="90"/>
      <c r="L1055" s="90"/>
      <c r="M1055" s="90"/>
      <c r="N1055" s="90"/>
      <c r="O1055" s="90"/>
      <c r="P1055" s="90"/>
      <c r="Q1055" s="90"/>
      <c r="R1055" s="90"/>
      <c r="S1055" s="90"/>
      <c r="T1055" s="90"/>
      <c r="U1055" s="90"/>
      <c r="V1055" s="90"/>
      <c r="W1055" s="90"/>
      <c r="X1055" s="90"/>
      <c r="Y1055" s="90"/>
      <c r="Z1055" s="90"/>
      <c r="AA1055" s="90"/>
      <c r="AB1055" s="90"/>
    </row>
    <row r="1056" spans="1:28" ht="16">
      <c r="A1056" s="100"/>
      <c r="B1056" s="87"/>
      <c r="C1056" s="94"/>
      <c r="D1056" s="95"/>
      <c r="E1056" s="96"/>
      <c r="F1056" s="88"/>
      <c r="G1056" s="89" t="b">
        <v>0</v>
      </c>
      <c r="H1056" s="89"/>
      <c r="I1056" s="90"/>
      <c r="J1056" s="90"/>
      <c r="K1056" s="90"/>
      <c r="L1056" s="90"/>
      <c r="M1056" s="90"/>
      <c r="N1056" s="90"/>
      <c r="O1056" s="90"/>
      <c r="P1056" s="90"/>
      <c r="Q1056" s="90"/>
      <c r="R1056" s="90"/>
      <c r="S1056" s="90"/>
      <c r="T1056" s="90"/>
      <c r="U1056" s="90"/>
      <c r="V1056" s="90"/>
      <c r="W1056" s="90"/>
      <c r="X1056" s="90"/>
      <c r="Y1056" s="90"/>
      <c r="Z1056" s="90"/>
      <c r="AA1056" s="90"/>
      <c r="AB1056" s="90"/>
    </row>
    <row r="1057" spans="1:28" ht="16">
      <c r="A1057" s="100"/>
      <c r="B1057" s="91"/>
      <c r="C1057" s="97"/>
      <c r="D1057" s="98"/>
      <c r="E1057" s="99"/>
      <c r="F1057" s="92"/>
      <c r="G1057" s="93" t="b">
        <v>0</v>
      </c>
      <c r="H1057" s="93"/>
      <c r="I1057" s="90"/>
      <c r="J1057" s="90"/>
      <c r="K1057" s="90"/>
      <c r="L1057" s="90"/>
      <c r="M1057" s="90"/>
      <c r="N1057" s="90"/>
      <c r="O1057" s="90"/>
      <c r="P1057" s="90"/>
      <c r="Q1057" s="90"/>
      <c r="R1057" s="90"/>
      <c r="S1057" s="90"/>
      <c r="T1057" s="90"/>
      <c r="U1057" s="90"/>
      <c r="V1057" s="90"/>
      <c r="W1057" s="90"/>
      <c r="X1057" s="90"/>
      <c r="Y1057" s="90"/>
      <c r="Z1057" s="90"/>
      <c r="AA1057" s="90"/>
      <c r="AB1057" s="90"/>
    </row>
    <row r="1058" spans="1:28" ht="16">
      <c r="A1058" s="100"/>
      <c r="B1058" s="87"/>
      <c r="C1058" s="94"/>
      <c r="D1058" s="95"/>
      <c r="E1058" s="96"/>
      <c r="F1058" s="88"/>
      <c r="G1058" s="89" t="b">
        <v>0</v>
      </c>
      <c r="H1058" s="89"/>
      <c r="I1058" s="90"/>
      <c r="J1058" s="90"/>
      <c r="K1058" s="90"/>
      <c r="L1058" s="90"/>
      <c r="M1058" s="90"/>
      <c r="N1058" s="90"/>
      <c r="O1058" s="90"/>
      <c r="P1058" s="90"/>
      <c r="Q1058" s="90"/>
      <c r="R1058" s="90"/>
      <c r="S1058" s="90"/>
      <c r="T1058" s="90"/>
      <c r="U1058" s="90"/>
      <c r="V1058" s="90"/>
      <c r="W1058" s="90"/>
      <c r="X1058" s="90"/>
      <c r="Y1058" s="90"/>
      <c r="Z1058" s="90"/>
      <c r="AA1058" s="90"/>
      <c r="AB1058" s="90"/>
    </row>
    <row r="1059" spans="1:28" ht="16">
      <c r="A1059" s="86"/>
      <c r="B1059" s="91"/>
      <c r="C1059" s="97"/>
      <c r="D1059" s="98"/>
      <c r="E1059" s="99"/>
      <c r="F1059" s="92"/>
      <c r="G1059" s="93" t="b">
        <v>0</v>
      </c>
      <c r="H1059" s="93"/>
      <c r="I1059" s="90"/>
      <c r="J1059" s="90"/>
      <c r="K1059" s="90"/>
      <c r="L1059" s="90"/>
      <c r="M1059" s="90"/>
      <c r="N1059" s="90"/>
      <c r="O1059" s="90"/>
      <c r="P1059" s="90"/>
      <c r="Q1059" s="90"/>
      <c r="R1059" s="90"/>
      <c r="S1059" s="90"/>
      <c r="T1059" s="90"/>
      <c r="U1059" s="90"/>
      <c r="V1059" s="90"/>
      <c r="W1059" s="90"/>
      <c r="X1059" s="90"/>
      <c r="Y1059" s="90"/>
      <c r="Z1059" s="90"/>
      <c r="AA1059" s="90"/>
      <c r="AB1059" s="90"/>
    </row>
  </sheetData>
  <mergeCells count="103">
    <mergeCell ref="A251:A255"/>
    <mergeCell ref="A256:A264"/>
    <mergeCell ref="A166:A173"/>
    <mergeCell ref="A174:A175"/>
    <mergeCell ref="A176:A178"/>
    <mergeCell ref="A180:A182"/>
    <mergeCell ref="A183:A184"/>
    <mergeCell ref="A185:A196"/>
    <mergeCell ref="A197:A223"/>
    <mergeCell ref="A224:A233"/>
    <mergeCell ref="A235:A247"/>
    <mergeCell ref="A135:A140"/>
    <mergeCell ref="A141:A142"/>
    <mergeCell ref="A143:A145"/>
    <mergeCell ref="A147:A149"/>
    <mergeCell ref="A150:A151"/>
    <mergeCell ref="A152:A158"/>
    <mergeCell ref="A159:A160"/>
    <mergeCell ref="A162:A163"/>
    <mergeCell ref="A164:A165"/>
    <mergeCell ref="C10:F10"/>
    <mergeCell ref="C12:F12"/>
    <mergeCell ref="C3:F3"/>
    <mergeCell ref="C4:F4"/>
    <mergeCell ref="C5:F5"/>
    <mergeCell ref="C6:F6"/>
    <mergeCell ref="C8:F8"/>
    <mergeCell ref="C9:F9"/>
    <mergeCell ref="C41:F41"/>
    <mergeCell ref="A341:A344"/>
    <mergeCell ref="A345:A349"/>
    <mergeCell ref="A351:A358"/>
    <mergeCell ref="A360:A367"/>
    <mergeCell ref="A429:A434"/>
    <mergeCell ref="A435:A459"/>
    <mergeCell ref="A460:A471"/>
    <mergeCell ref="A368:A374"/>
    <mergeCell ref="A375:A385"/>
    <mergeCell ref="A386:A393"/>
    <mergeCell ref="A394:A395"/>
    <mergeCell ref="A396:A408"/>
    <mergeCell ref="A409:A416"/>
    <mergeCell ref="A417:A428"/>
    <mergeCell ref="A302:A304"/>
    <mergeCell ref="A305:A308"/>
    <mergeCell ref="A309:A310"/>
    <mergeCell ref="A311:A316"/>
    <mergeCell ref="A318:A319"/>
    <mergeCell ref="A320:A325"/>
    <mergeCell ref="A327:A330"/>
    <mergeCell ref="A331:A334"/>
    <mergeCell ref="A335:A340"/>
    <mergeCell ref="C40:F40"/>
    <mergeCell ref="A265:A268"/>
    <mergeCell ref="A269:A272"/>
    <mergeCell ref="A273:A276"/>
    <mergeCell ref="A277:A279"/>
    <mergeCell ref="A280:A286"/>
    <mergeCell ref="A287:A293"/>
    <mergeCell ref="A294:A296"/>
    <mergeCell ref="A297:A300"/>
    <mergeCell ref="A2:A41"/>
    <mergeCell ref="A42:A55"/>
    <mergeCell ref="A56:A68"/>
    <mergeCell ref="A69:A81"/>
    <mergeCell ref="A82:A86"/>
    <mergeCell ref="A87:A93"/>
    <mergeCell ref="A94:A98"/>
    <mergeCell ref="A99:A102"/>
    <mergeCell ref="A103:A107"/>
    <mergeCell ref="A108:A120"/>
    <mergeCell ref="A121:A125"/>
    <mergeCell ref="A126:A127"/>
    <mergeCell ref="A128:A129"/>
    <mergeCell ref="A131:A132"/>
    <mergeCell ref="A133:A134"/>
    <mergeCell ref="C31:F31"/>
    <mergeCell ref="C32:F32"/>
    <mergeCell ref="C33:F33"/>
    <mergeCell ref="C34:F34"/>
    <mergeCell ref="C35:F35"/>
    <mergeCell ref="C36:F36"/>
    <mergeCell ref="C37:F37"/>
    <mergeCell ref="C38:F38"/>
    <mergeCell ref="C39:F39"/>
    <mergeCell ref="C22:F22"/>
    <mergeCell ref="C23:F23"/>
    <mergeCell ref="C24:F24"/>
    <mergeCell ref="C25:F25"/>
    <mergeCell ref="C26:F26"/>
    <mergeCell ref="C27:F27"/>
    <mergeCell ref="C28:F28"/>
    <mergeCell ref="C29:F29"/>
    <mergeCell ref="C30:F30"/>
    <mergeCell ref="C13:F13"/>
    <mergeCell ref="C14:F14"/>
    <mergeCell ref="C15:F15"/>
    <mergeCell ref="C16:F16"/>
    <mergeCell ref="C17:F17"/>
    <mergeCell ref="C18:F18"/>
    <mergeCell ref="C19:F19"/>
    <mergeCell ref="C20:F20"/>
    <mergeCell ref="C21:F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bom</vt:lpstr>
      <vt:lpstr>Sheet7</vt:lpstr>
      <vt:lpstr>Copy of bom</vt:lpstr>
      <vt:lpstr>ordering pivot</vt:lpstr>
      <vt:lpstr>stock pivot</vt:lpstr>
      <vt:lpstr>ORDER_103</vt:lpstr>
      <vt:lpstr>ORDER_102</vt:lpstr>
      <vt:lpstr>ORDER_101</vt:lpstr>
      <vt:lpstr>thorlabs copy list</vt:lpstr>
      <vt:lpstr>system_sim</vt:lpstr>
      <vt:lpstr>zeguan config 1 sim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Quilee Simeon</cp:lastModifiedBy>
  <dcterms:created xsi:type="dcterms:W3CDTF">2026-02-04T19:26:44Z</dcterms:created>
  <dcterms:modified xsi:type="dcterms:W3CDTF">2026-02-04T19:26:45Z</dcterms:modified>
</cp:coreProperties>
</file>